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FFF1A015-882F-4DC1-89CF-B530DD7D304D}" xr6:coauthVersionLast="47" xr6:coauthVersionMax="47" xr10:uidLastSave="{00000000-0000-0000-0000-000000000000}"/>
  <bookViews>
    <workbookView xWindow="-120" yWindow="-120" windowWidth="20730" windowHeight="11160" tabRatio="764" firstSheet="5" activeTab="12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inputPlan" sheetId="72" r:id="rId8"/>
    <sheet name="plansPivot" sheetId="59" r:id="rId9"/>
    <sheet name="cuttsPivot" sheetId="61" r:id="rId10"/>
    <sheet name="packesPivot" sheetId="60" r:id="rId11"/>
    <sheet name="reportPivot" sheetId="71" r:id="rId12"/>
    <sheet name="data" sheetId="55" r:id="rId13"/>
    <sheet name="paperA5" sheetId="69" r:id="rId14"/>
    <sheet name="paperA4" sheetId="74" r:id="rId15"/>
  </sheets>
  <functionGroups builtInGroupCount="19"/>
  <externalReferences>
    <externalReference r:id="rId16"/>
  </externalReferences>
  <definedNames>
    <definedName name="availableTime">data!$B$2</definedName>
    <definedName name="batchAmount">300</definedName>
    <definedName name="batchId">1653</definedName>
    <definedName name="cutOrdAmount">3000</definedName>
    <definedName name="cutOrdDdate">"1404/06/11"</definedName>
    <definedName name="cutOrdId">217</definedName>
    <definedName name="description">"="</definedName>
    <definedName name="lastBatchId">1653</definedName>
    <definedName name="pid">140310007</definedName>
    <definedName name="_xlnm.Print_Area" localSheetId="6">IIITbl[#All]</definedName>
    <definedName name="_xlnm.Print_Area" localSheetId="13">paperA5!$A$1:$J$15</definedName>
    <definedName name="_xlnm.Print_Area" localSheetId="4">progress!$A$1:$N$22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-9500</definedName>
    <definedName name="unityCycleTime">data!$B$3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0" l="1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60" i="50"/>
  <c r="G61" i="50"/>
  <c r="G62" i="50"/>
  <c r="G63" i="50"/>
  <c r="G64" i="50"/>
  <c r="G65" i="50"/>
  <c r="G66" i="50"/>
  <c r="G67" i="50"/>
  <c r="G68" i="50"/>
  <c r="G69" i="50"/>
  <c r="G70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97" i="50"/>
  <c r="G98" i="50"/>
  <c r="G99" i="50"/>
  <c r="G100" i="50"/>
  <c r="G101" i="50"/>
  <c r="G102" i="50"/>
  <c r="G103" i="50"/>
  <c r="G104" i="50"/>
  <c r="G105" i="50"/>
  <c r="G106" i="50"/>
  <c r="G107" i="50"/>
  <c r="G108" i="50"/>
  <c r="G109" i="50"/>
  <c r="G110" i="50"/>
  <c r="G111" i="50"/>
  <c r="G112" i="50"/>
  <c r="G113" i="50"/>
  <c r="G114" i="50"/>
  <c r="G115" i="50"/>
  <c r="G116" i="50"/>
  <c r="G117" i="50"/>
  <c r="G118" i="50"/>
  <c r="G119" i="50"/>
  <c r="G120" i="50"/>
  <c r="G121" i="50"/>
  <c r="G122" i="50"/>
  <c r="G123" i="50"/>
  <c r="G124" i="50"/>
  <c r="G125" i="50"/>
  <c r="G126" i="50"/>
  <c r="G127" i="50"/>
  <c r="G128" i="50"/>
  <c r="G129" i="50"/>
  <c r="G130" i="50"/>
  <c r="G131" i="50"/>
  <c r="G132" i="50"/>
  <c r="G133" i="50"/>
  <c r="G134" i="50"/>
  <c r="G135" i="50"/>
  <c r="G136" i="50"/>
  <c r="G137" i="50"/>
  <c r="G138" i="50"/>
  <c r="G139" i="50"/>
  <c r="G140" i="50"/>
  <c r="G141" i="50"/>
  <c r="G142" i="50"/>
  <c r="G143" i="50"/>
  <c r="G144" i="50"/>
  <c r="G145" i="50"/>
  <c r="G146" i="50"/>
  <c r="G147" i="50"/>
  <c r="G148" i="50"/>
  <c r="G149" i="50"/>
  <c r="G150" i="50"/>
  <c r="G151" i="50"/>
  <c r="G152" i="50"/>
  <c r="G153" i="50"/>
  <c r="G154" i="50"/>
  <c r="G155" i="50"/>
  <c r="G156" i="50"/>
  <c r="G157" i="50"/>
  <c r="G158" i="50"/>
  <c r="G159" i="50"/>
  <c r="G160" i="50"/>
  <c r="G161" i="50"/>
  <c r="G162" i="50"/>
  <c r="G163" i="50"/>
  <c r="G164" i="50"/>
  <c r="G165" i="50"/>
  <c r="G166" i="50"/>
  <c r="G167" i="50"/>
  <c r="G168" i="50"/>
  <c r="G169" i="50"/>
  <c r="G170" i="50"/>
  <c r="G171" i="50"/>
  <c r="G172" i="50"/>
  <c r="G173" i="50"/>
  <c r="G174" i="50"/>
  <c r="G175" i="50"/>
  <c r="G176" i="50"/>
  <c r="G177" i="50"/>
  <c r="G178" i="50"/>
  <c r="G179" i="50"/>
  <c r="G180" i="50"/>
  <c r="G181" i="50"/>
  <c r="G182" i="50"/>
  <c r="G183" i="50"/>
  <c r="G184" i="50"/>
  <c r="G185" i="50"/>
  <c r="G186" i="50"/>
  <c r="G187" i="50"/>
  <c r="G188" i="50"/>
  <c r="G189" i="50"/>
  <c r="G190" i="50"/>
  <c r="G191" i="50"/>
  <c r="G192" i="50"/>
  <c r="G193" i="50"/>
  <c r="G194" i="50"/>
  <c r="G195" i="50"/>
  <c r="G196" i="50"/>
  <c r="G197" i="50"/>
  <c r="G198" i="50"/>
  <c r="G199" i="50"/>
  <c r="G200" i="50"/>
  <c r="G201" i="50"/>
  <c r="G202" i="50"/>
  <c r="G203" i="50"/>
  <c r="G204" i="50"/>
  <c r="G205" i="50"/>
  <c r="G206" i="50"/>
  <c r="G207" i="50"/>
  <c r="G208" i="50"/>
  <c r="G209" i="50"/>
  <c r="G210" i="50"/>
  <c r="G211" i="50"/>
  <c r="G212" i="50"/>
  <c r="G213" i="50"/>
  <c r="G214" i="50"/>
  <c r="G215" i="50"/>
  <c r="G216" i="50"/>
  <c r="G217" i="50"/>
  <c r="G218" i="50"/>
  <c r="F2" i="50"/>
  <c r="F3" i="50"/>
  <c r="F4" i="50"/>
  <c r="F5" i="50"/>
  <c r="F6" i="50"/>
  <c r="F7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F60" i="50"/>
  <c r="F61" i="50"/>
  <c r="F62" i="50"/>
  <c r="F63" i="50"/>
  <c r="F64" i="50"/>
  <c r="F65" i="50"/>
  <c r="F66" i="50"/>
  <c r="F67" i="50"/>
  <c r="F68" i="50"/>
  <c r="F69" i="50"/>
  <c r="F70" i="50"/>
  <c r="F71" i="50"/>
  <c r="F72" i="50"/>
  <c r="F73" i="50"/>
  <c r="F74" i="50"/>
  <c r="F75" i="50"/>
  <c r="F76" i="50"/>
  <c r="F77" i="50"/>
  <c r="F78" i="50"/>
  <c r="F79" i="50"/>
  <c r="F80" i="50"/>
  <c r="F81" i="50"/>
  <c r="F82" i="50"/>
  <c r="F83" i="50"/>
  <c r="F84" i="50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E498" i="57" l="1"/>
  <c r="F498" i="57" s="1"/>
  <c r="H498" i="57"/>
  <c r="E497" i="57"/>
  <c r="F497" i="57" s="1"/>
  <c r="H497" i="57"/>
  <c r="E496" i="57"/>
  <c r="F496" i="57" s="1"/>
  <c r="H496" i="57"/>
  <c r="E495" i="57"/>
  <c r="F495" i="57" s="1"/>
  <c r="H495" i="57"/>
  <c r="E494" i="57"/>
  <c r="F494" i="57" s="1"/>
  <c r="H494" i="57"/>
  <c r="E493" i="57"/>
  <c r="F493" i="57" s="1"/>
  <c r="H493" i="57"/>
  <c r="E492" i="57"/>
  <c r="F492" i="57" s="1"/>
  <c r="H492" i="57"/>
  <c r="E491" i="57"/>
  <c r="F491" i="57" s="1"/>
  <c r="H491" i="57"/>
  <c r="E490" i="57"/>
  <c r="F490" i="57" s="1"/>
  <c r="H490" i="57"/>
  <c r="J218" i="50"/>
  <c r="O218" i="50"/>
  <c r="J217" i="50" l="1"/>
  <c r="O217" i="50"/>
  <c r="J216" i="50"/>
  <c r="O216" i="50"/>
  <c r="E489" i="57"/>
  <c r="F489" i="57" s="1"/>
  <c r="H489" i="57"/>
  <c r="E488" i="57"/>
  <c r="F488" i="57" s="1"/>
  <c r="H488" i="57"/>
  <c r="E487" i="57"/>
  <c r="F487" i="57" s="1"/>
  <c r="H487" i="57"/>
  <c r="E486" i="57"/>
  <c r="F486" i="57" s="1"/>
  <c r="H486" i="57"/>
  <c r="D11" i="56"/>
  <c r="E11" i="56"/>
  <c r="F11" i="56"/>
  <c r="G11" i="56"/>
  <c r="H11" i="56"/>
  <c r="I11" i="56"/>
  <c r="E485" i="57"/>
  <c r="F485" i="57" s="1"/>
  <c r="H485" i="57"/>
  <c r="E484" i="57"/>
  <c r="F484" i="57" s="1"/>
  <c r="H484" i="57"/>
  <c r="K11" i="56" s="1"/>
  <c r="M11" i="56" s="1"/>
  <c r="E483" i="57"/>
  <c r="F483" i="57" s="1"/>
  <c r="H483" i="57"/>
  <c r="E482" i="57"/>
  <c r="F482" i="57" s="1"/>
  <c r="H482" i="57"/>
  <c r="E481" i="57"/>
  <c r="F481" i="57" s="1"/>
  <c r="H481" i="57"/>
  <c r="J215" i="50"/>
  <c r="O215" i="50"/>
  <c r="J214" i="50"/>
  <c r="O214" i="50"/>
  <c r="J213" i="50"/>
  <c r="O213" i="50"/>
  <c r="E477" i="57"/>
  <c r="E478" i="57"/>
  <c r="E479" i="57"/>
  <c r="E480" i="57"/>
  <c r="F477" i="57"/>
  <c r="F478" i="57"/>
  <c r="F479" i="57"/>
  <c r="F480" i="57"/>
  <c r="H477" i="57"/>
  <c r="H478" i="57"/>
  <c r="H479" i="57"/>
  <c r="H480" i="57"/>
  <c r="J212" i="50"/>
  <c r="O212" i="50"/>
  <c r="E476" i="57"/>
  <c r="F476" i="57" s="1"/>
  <c r="H476" i="57"/>
  <c r="E475" i="57"/>
  <c r="F475" i="57" s="1"/>
  <c r="H475" i="57"/>
  <c r="E474" i="57"/>
  <c r="F474" i="57" s="1"/>
  <c r="H474" i="57"/>
  <c r="E473" i="57"/>
  <c r="F473" i="57" s="1"/>
  <c r="H473" i="57"/>
  <c r="J211" i="50"/>
  <c r="O211" i="50"/>
  <c r="J210" i="50"/>
  <c r="J11" i="56" s="1"/>
  <c r="O210" i="50"/>
  <c r="E472" i="57"/>
  <c r="F472" i="57" s="1"/>
  <c r="H472" i="57"/>
  <c r="E471" i="57"/>
  <c r="F471" i="57" s="1"/>
  <c r="H471" i="57"/>
  <c r="E470" i="57"/>
  <c r="F470" i="57" s="1"/>
  <c r="H470" i="57"/>
  <c r="E469" i="57"/>
  <c r="F469" i="57" s="1"/>
  <c r="H469" i="57"/>
  <c r="E468" i="57"/>
  <c r="F468" i="57" s="1"/>
  <c r="H468" i="57"/>
  <c r="K4" i="56" s="1"/>
  <c r="E467" i="57"/>
  <c r="F467" i="57" s="1"/>
  <c r="H467" i="57"/>
  <c r="K5" i="56" s="1"/>
  <c r="J209" i="50"/>
  <c r="O209" i="50"/>
  <c r="D8" i="56"/>
  <c r="E8" i="56"/>
  <c r="F8" i="56"/>
  <c r="G8" i="56"/>
  <c r="H8" i="56"/>
  <c r="I8" i="56"/>
  <c r="J8" i="56"/>
  <c r="K8" i="56"/>
  <c r="E463" i="57"/>
  <c r="F463" i="57" s="1"/>
  <c r="E464" i="57"/>
  <c r="F464" i="57" s="1"/>
  <c r="E465" i="57"/>
  <c r="F465" i="57" s="1"/>
  <c r="E466" i="57"/>
  <c r="F466" i="57" s="1"/>
  <c r="H463" i="57"/>
  <c r="H464" i="57"/>
  <c r="H465" i="57"/>
  <c r="H466" i="57"/>
  <c r="J207" i="50"/>
  <c r="J208" i="50"/>
  <c r="O207" i="50"/>
  <c r="O208" i="50"/>
  <c r="J206" i="50"/>
  <c r="O206" i="50"/>
  <c r="E462" i="57"/>
  <c r="F462" i="57" s="1"/>
  <c r="H462" i="57"/>
  <c r="E461" i="57"/>
  <c r="F461" i="57" s="1"/>
  <c r="H461" i="57"/>
  <c r="E460" i="57"/>
  <c r="F460" i="57" s="1"/>
  <c r="H460" i="57"/>
  <c r="E459" i="57"/>
  <c r="F459" i="57" s="1"/>
  <c r="H459" i="57"/>
  <c r="E292" i="57"/>
  <c r="F292" i="57" s="1"/>
  <c r="H292" i="57"/>
  <c r="E458" i="57"/>
  <c r="F458" i="57" s="1"/>
  <c r="H458" i="57"/>
  <c r="E457" i="57"/>
  <c r="F457" i="57" s="1"/>
  <c r="H457" i="57"/>
  <c r="E456" i="57"/>
  <c r="F456" i="57" s="1"/>
  <c r="H456" i="57"/>
  <c r="E455" i="57"/>
  <c r="F455" i="57" s="1"/>
  <c r="H455" i="57"/>
  <c r="E454" i="57"/>
  <c r="F454" i="57" s="1"/>
  <c r="H454" i="57"/>
  <c r="J204" i="50"/>
  <c r="J205" i="50"/>
  <c r="O204" i="50"/>
  <c r="O205" i="50"/>
  <c r="J202" i="50"/>
  <c r="J203" i="50"/>
  <c r="O202" i="50"/>
  <c r="O203" i="50"/>
  <c r="J201" i="50"/>
  <c r="O201" i="50"/>
  <c r="J200" i="50"/>
  <c r="O200" i="50"/>
  <c r="J199" i="50"/>
  <c r="O199" i="50"/>
  <c r="J198" i="50"/>
  <c r="O198" i="50"/>
  <c r="D7" i="56"/>
  <c r="E7" i="56"/>
  <c r="F7" i="56"/>
  <c r="G7" i="56"/>
  <c r="H7" i="56"/>
  <c r="I7" i="56"/>
  <c r="J7" i="56"/>
  <c r="K7" i="56"/>
  <c r="D4" i="56"/>
  <c r="E4" i="56"/>
  <c r="F4" i="56"/>
  <c r="G4" i="56"/>
  <c r="H4" i="56"/>
  <c r="I4" i="56"/>
  <c r="D5" i="56"/>
  <c r="E5" i="56"/>
  <c r="F5" i="56"/>
  <c r="G5" i="56"/>
  <c r="H5" i="56"/>
  <c r="I5" i="56"/>
  <c r="E453" i="57"/>
  <c r="F453" i="57" s="1"/>
  <c r="H453" i="57"/>
  <c r="E452" i="57"/>
  <c r="F452" i="57" s="1"/>
  <c r="H452" i="57"/>
  <c r="J197" i="50"/>
  <c r="O197" i="50"/>
  <c r="K8" i="74"/>
  <c r="J196" i="50"/>
  <c r="O196" i="50"/>
  <c r="E451" i="57"/>
  <c r="F451" i="57" s="1"/>
  <c r="H451" i="57"/>
  <c r="E450" i="57"/>
  <c r="F450" i="57" s="1"/>
  <c r="H450" i="57"/>
  <c r="E449" i="57"/>
  <c r="F449" i="57" s="1"/>
  <c r="H449" i="57"/>
  <c r="E448" i="57"/>
  <c r="F448" i="57" s="1"/>
  <c r="H448" i="57"/>
  <c r="E444" i="57"/>
  <c r="F444" i="57" s="1"/>
  <c r="E445" i="57"/>
  <c r="F445" i="57" s="1"/>
  <c r="E446" i="57"/>
  <c r="F446" i="57" s="1"/>
  <c r="E447" i="57"/>
  <c r="F447" i="57" s="1"/>
  <c r="H444" i="57"/>
  <c r="H445" i="57"/>
  <c r="H446" i="57"/>
  <c r="H447" i="57"/>
  <c r="J195" i="50"/>
  <c r="O195" i="50"/>
  <c r="J5" i="56" l="1"/>
  <c r="L5" i="56" s="1"/>
  <c r="N11" i="56"/>
  <c r="L11" i="56"/>
  <c r="M5" i="56"/>
  <c r="M8" i="56"/>
  <c r="J4" i="56"/>
  <c r="N4" i="56" s="1"/>
  <c r="N8" i="56"/>
  <c r="L8" i="56"/>
  <c r="M7" i="56"/>
  <c r="M4" i="56"/>
  <c r="N7" i="56"/>
  <c r="L7" i="56"/>
  <c r="E441" i="57"/>
  <c r="F441" i="57" s="1"/>
  <c r="E442" i="57"/>
  <c r="F442" i="57" s="1"/>
  <c r="E443" i="57"/>
  <c r="F443" i="57" s="1"/>
  <c r="H441" i="57"/>
  <c r="H442" i="57"/>
  <c r="H443" i="57"/>
  <c r="E440" i="57"/>
  <c r="F440" i="57" s="1"/>
  <c r="H440" i="57"/>
  <c r="E439" i="57"/>
  <c r="F439" i="57" s="1"/>
  <c r="H439" i="57"/>
  <c r="E438" i="57"/>
  <c r="F438" i="57" s="1"/>
  <c r="H438" i="57"/>
  <c r="E437" i="57"/>
  <c r="F437" i="57" s="1"/>
  <c r="H437" i="57"/>
  <c r="E436" i="57"/>
  <c r="F436" i="57" s="1"/>
  <c r="H436" i="57"/>
  <c r="E435" i="57"/>
  <c r="F435" i="57" s="1"/>
  <c r="H435" i="57"/>
  <c r="E434" i="57"/>
  <c r="F434" i="57" s="1"/>
  <c r="H434" i="57"/>
  <c r="J5" i="69"/>
  <c r="A3" i="69"/>
  <c r="J194" i="50"/>
  <c r="O194" i="50"/>
  <c r="L39" i="74"/>
  <c r="J193" i="50"/>
  <c r="O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J192" i="50"/>
  <c r="O192" i="50"/>
  <c r="J191" i="50"/>
  <c r="O191" i="50"/>
  <c r="E433" i="57"/>
  <c r="F433" i="57" s="1"/>
  <c r="H433" i="57"/>
  <c r="E432" i="57"/>
  <c r="F432" i="57" s="1"/>
  <c r="H432" i="57"/>
  <c r="E431" i="57"/>
  <c r="F431" i="57" s="1"/>
  <c r="H431" i="57"/>
  <c r="E430" i="57"/>
  <c r="F430" i="57" s="1"/>
  <c r="H430" i="57"/>
  <c r="E429" i="57"/>
  <c r="F429" i="57" s="1"/>
  <c r="H429" i="57"/>
  <c r="I5" i="69"/>
  <c r="D4" i="69"/>
  <c r="J3" i="69"/>
  <c r="F4" i="69"/>
  <c r="A5" i="69"/>
  <c r="F5" i="69"/>
  <c r="D5" i="69"/>
  <c r="A4" i="69"/>
  <c r="D3" i="69"/>
  <c r="I4" i="69"/>
  <c r="J190" i="50"/>
  <c r="O190" i="50"/>
  <c r="J189" i="50"/>
  <c r="O189" i="50"/>
  <c r="E428" i="57"/>
  <c r="F428" i="57" s="1"/>
  <c r="H428" i="57"/>
  <c r="E427" i="57"/>
  <c r="F427" i="57" s="1"/>
  <c r="H427" i="57"/>
  <c r="E426" i="57"/>
  <c r="F426" i="57" s="1"/>
  <c r="H426" i="57"/>
  <c r="E425" i="57"/>
  <c r="F425" i="57" s="1"/>
  <c r="H425" i="57"/>
  <c r="J188" i="50"/>
  <c r="O188" i="50"/>
  <c r="E424" i="57"/>
  <c r="F424" i="57" s="1"/>
  <c r="H424" i="57"/>
  <c r="E423" i="57"/>
  <c r="F423" i="57" s="1"/>
  <c r="H423" i="57"/>
  <c r="E422" i="57"/>
  <c r="F422" i="57" s="1"/>
  <c r="H422" i="57"/>
  <c r="E421" i="57"/>
  <c r="F421" i="57" s="1"/>
  <c r="H421" i="57"/>
  <c r="J187" i="50"/>
  <c r="O187" i="50"/>
  <c r="J186" i="50"/>
  <c r="O186" i="50"/>
  <c r="E420" i="57"/>
  <c r="F420" i="57" s="1"/>
  <c r="H420" i="57"/>
  <c r="E419" i="57"/>
  <c r="F419" i="57" s="1"/>
  <c r="H419" i="57"/>
  <c r="E418" i="57"/>
  <c r="F418" i="57" s="1"/>
  <c r="H418" i="57"/>
  <c r="E417" i="57"/>
  <c r="F417" i="57" s="1"/>
  <c r="H417" i="57"/>
  <c r="J185" i="50"/>
  <c r="O185" i="50"/>
  <c r="J184" i="50"/>
  <c r="O184" i="50"/>
  <c r="J183" i="50"/>
  <c r="O183" i="50"/>
  <c r="E416" i="57"/>
  <c r="F416" i="57" s="1"/>
  <c r="H416" i="57"/>
  <c r="E415" i="57"/>
  <c r="F415" i="57" s="1"/>
  <c r="H415" i="57"/>
  <c r="E414" i="57"/>
  <c r="F414" i="57" s="1"/>
  <c r="H414" i="57"/>
  <c r="E413" i="57"/>
  <c r="F413" i="57" s="1"/>
  <c r="H413" i="57"/>
  <c r="E412" i="57"/>
  <c r="F412" i="57" s="1"/>
  <c r="H412" i="57"/>
  <c r="E411" i="57"/>
  <c r="F411" i="57" s="1"/>
  <c r="H411" i="57"/>
  <c r="J182" i="50"/>
  <c r="O182" i="50"/>
  <c r="E410" i="57"/>
  <c r="F410" i="57" s="1"/>
  <c r="H410" i="57"/>
  <c r="E409" i="57"/>
  <c r="F409" i="57" s="1"/>
  <c r="H409" i="57"/>
  <c r="E408" i="57"/>
  <c r="F408" i="57" s="1"/>
  <c r="H408" i="57"/>
  <c r="E407" i="57"/>
  <c r="F407" i="57" s="1"/>
  <c r="H407" i="57"/>
  <c r="E406" i="57"/>
  <c r="F406" i="57" s="1"/>
  <c r="H406" i="57"/>
  <c r="J181" i="50"/>
  <c r="O181" i="50"/>
  <c r="J180" i="50"/>
  <c r="O180" i="50"/>
  <c r="J179" i="50"/>
  <c r="O179" i="50"/>
  <c r="J178" i="50"/>
  <c r="O178" i="50"/>
  <c r="D376" i="57"/>
  <c r="H376" i="57" s="1"/>
  <c r="J177" i="50"/>
  <c r="O177" i="50"/>
  <c r="J176" i="50"/>
  <c r="O176" i="50"/>
  <c r="E405" i="57"/>
  <c r="F405" i="57" s="1"/>
  <c r="H405" i="57"/>
  <c r="E404" i="57"/>
  <c r="F404" i="57" s="1"/>
  <c r="H404" i="57"/>
  <c r="E403" i="57"/>
  <c r="F403" i="57" s="1"/>
  <c r="H403" i="57"/>
  <c r="E402" i="57"/>
  <c r="F402" i="57" s="1"/>
  <c r="H402" i="57"/>
  <c r="E401" i="57"/>
  <c r="F401" i="57" s="1"/>
  <c r="H401" i="57"/>
  <c r="E400" i="57"/>
  <c r="F400" i="57" s="1"/>
  <c r="H400" i="57"/>
  <c r="E399" i="57"/>
  <c r="F399" i="57" s="1"/>
  <c r="H399" i="57"/>
  <c r="J175" i="50"/>
  <c r="O175" i="50"/>
  <c r="G1" i="55"/>
  <c r="J174" i="50"/>
  <c r="O174" i="50"/>
  <c r="E398" i="57"/>
  <c r="F398" i="57" s="1"/>
  <c r="H398" i="57"/>
  <c r="E397" i="57"/>
  <c r="F397" i="57" s="1"/>
  <c r="H397" i="57"/>
  <c r="E396" i="57"/>
  <c r="F396" i="57" s="1"/>
  <c r="H396" i="57"/>
  <c r="E395" i="57"/>
  <c r="F395" i="57" s="1"/>
  <c r="H395" i="57"/>
  <c r="E394" i="57"/>
  <c r="F394" i="57" s="1"/>
  <c r="H394" i="57"/>
  <c r="E393" i="57"/>
  <c r="F393" i="57" s="1"/>
  <c r="H393" i="57"/>
  <c r="E392" i="57"/>
  <c r="F392" i="57" s="1"/>
  <c r="H392" i="57"/>
  <c r="J173" i="50"/>
  <c r="O173" i="50"/>
  <c r="J172" i="50"/>
  <c r="O172" i="50"/>
  <c r="J171" i="50"/>
  <c r="O171" i="50"/>
  <c r="J170" i="50"/>
  <c r="O170" i="50"/>
  <c r="E391" i="57"/>
  <c r="F391" i="57" s="1"/>
  <c r="H391" i="57"/>
  <c r="E390" i="57"/>
  <c r="F390" i="57" s="1"/>
  <c r="H390" i="57"/>
  <c r="E389" i="57"/>
  <c r="F389" i="57" s="1"/>
  <c r="H389" i="57"/>
  <c r="E388" i="57"/>
  <c r="F388" i="57" s="1"/>
  <c r="H388" i="57"/>
  <c r="E387" i="57"/>
  <c r="F387" i="57" s="1"/>
  <c r="H387" i="57"/>
  <c r="E386" i="57"/>
  <c r="F386" i="57" s="1"/>
  <c r="H386" i="57"/>
  <c r="E385" i="57"/>
  <c r="F385" i="57" s="1"/>
  <c r="H385" i="57"/>
  <c r="E384" i="57"/>
  <c r="F384" i="57" s="1"/>
  <c r="H384" i="57"/>
  <c r="E383" i="57"/>
  <c r="F383" i="57" s="1"/>
  <c r="H383" i="57"/>
  <c r="E382" i="57"/>
  <c r="F382" i="57" s="1"/>
  <c r="H382" i="57"/>
  <c r="E381" i="57"/>
  <c r="F381" i="57" s="1"/>
  <c r="H381" i="57"/>
  <c r="E380" i="57"/>
  <c r="F380" i="57" s="1"/>
  <c r="H380" i="57"/>
  <c r="E379" i="57"/>
  <c r="F379" i="57" s="1"/>
  <c r="H379" i="57"/>
  <c r="E378" i="57"/>
  <c r="F378" i="57" s="1"/>
  <c r="H378" i="57"/>
  <c r="J169" i="50"/>
  <c r="O169" i="50"/>
  <c r="J168" i="50"/>
  <c r="O168" i="50"/>
  <c r="E377" i="57"/>
  <c r="F377" i="57" s="1"/>
  <c r="H377" i="57"/>
  <c r="E376" i="57"/>
  <c r="F376" i="57" s="1"/>
  <c r="E375" i="57"/>
  <c r="F375" i="57" s="1"/>
  <c r="H375" i="57"/>
  <c r="E374" i="57"/>
  <c r="F374" i="57" s="1"/>
  <c r="H374" i="57"/>
  <c r="E373" i="57"/>
  <c r="F373" i="57" s="1"/>
  <c r="H373" i="57"/>
  <c r="E372" i="57"/>
  <c r="F372" i="57" s="1"/>
  <c r="H372" i="57"/>
  <c r="E371" i="57"/>
  <c r="F371" i="57" s="1"/>
  <c r="H371" i="57"/>
  <c r="J167" i="50"/>
  <c r="O167" i="50"/>
  <c r="J166" i="50"/>
  <c r="O166" i="50"/>
  <c r="E370" i="57"/>
  <c r="F370" i="57" s="1"/>
  <c r="H370" i="57"/>
  <c r="E369" i="57"/>
  <c r="F369" i="57" s="1"/>
  <c r="H369" i="57"/>
  <c r="E368" i="57"/>
  <c r="F368" i="57" s="1"/>
  <c r="H368" i="57"/>
  <c r="E367" i="57"/>
  <c r="F367" i="57" s="1"/>
  <c r="H367" i="57"/>
  <c r="E366" i="57"/>
  <c r="F366" i="57" s="1"/>
  <c r="H366" i="57"/>
  <c r="E365" i="57"/>
  <c r="F365" i="57" s="1"/>
  <c r="H365" i="57"/>
  <c r="E364" i="57"/>
  <c r="F364" i="57" s="1"/>
  <c r="H364" i="57"/>
  <c r="E363" i="57"/>
  <c r="F363" i="57" s="1"/>
  <c r="H363" i="57"/>
  <c r="E362" i="57"/>
  <c r="F362" i="57" s="1"/>
  <c r="H362" i="57"/>
  <c r="E361" i="57"/>
  <c r="F361" i="57" s="1"/>
  <c r="H361" i="57"/>
  <c r="E360" i="57"/>
  <c r="F360" i="57" s="1"/>
  <c r="H360" i="57"/>
  <c r="E359" i="57"/>
  <c r="F359" i="57" s="1"/>
  <c r="H359" i="57"/>
  <c r="E358" i="57"/>
  <c r="F358" i="57" s="1"/>
  <c r="H358" i="57"/>
  <c r="J165" i="50"/>
  <c r="O165" i="50"/>
  <c r="J164" i="50"/>
  <c r="O164" i="50"/>
  <c r="E357" i="57"/>
  <c r="F357" i="57" s="1"/>
  <c r="H357" i="57"/>
  <c r="E356" i="57"/>
  <c r="F356" i="57" s="1"/>
  <c r="H356" i="57"/>
  <c r="E355" i="57"/>
  <c r="F355" i="57" s="1"/>
  <c r="H355" i="57"/>
  <c r="E354" i="57"/>
  <c r="F354" i="57" s="1"/>
  <c r="H354" i="57"/>
  <c r="E353" i="57"/>
  <c r="F353" i="57" s="1"/>
  <c r="H353" i="57"/>
  <c r="E352" i="57"/>
  <c r="F352" i="57" s="1"/>
  <c r="H352" i="57"/>
  <c r="E351" i="57"/>
  <c r="F351" i="57" s="1"/>
  <c r="H351" i="57"/>
  <c r="E350" i="57"/>
  <c r="F350" i="57" s="1"/>
  <c r="H350" i="57"/>
  <c r="E349" i="57"/>
  <c r="F349" i="57" s="1"/>
  <c r="H349" i="57"/>
  <c r="E348" i="57"/>
  <c r="F348" i="57" s="1"/>
  <c r="H348" i="57"/>
  <c r="E347" i="57"/>
  <c r="F347" i="57" s="1"/>
  <c r="H347" i="57"/>
  <c r="E346" i="57"/>
  <c r="F346" i="57" s="1"/>
  <c r="H346" i="57"/>
  <c r="E345" i="57"/>
  <c r="F345" i="57" s="1"/>
  <c r="H345" i="57"/>
  <c r="E344" i="57"/>
  <c r="F344" i="57" s="1"/>
  <c r="H344" i="57"/>
  <c r="J163" i="50"/>
  <c r="O163" i="50"/>
  <c r="J162" i="50"/>
  <c r="O162" i="50"/>
  <c r="E343" i="57"/>
  <c r="F343" i="57" s="1"/>
  <c r="H343" i="57"/>
  <c r="E342" i="57"/>
  <c r="F342" i="57" s="1"/>
  <c r="H342" i="57"/>
  <c r="E341" i="57"/>
  <c r="F341" i="57" s="1"/>
  <c r="H341" i="57"/>
  <c r="E340" i="57"/>
  <c r="F340" i="57" s="1"/>
  <c r="H340" i="57"/>
  <c r="E339" i="57"/>
  <c r="F339" i="57" s="1"/>
  <c r="H339" i="57"/>
  <c r="E338" i="57"/>
  <c r="F338" i="57" s="1"/>
  <c r="H338" i="57"/>
  <c r="J161" i="50"/>
  <c r="O161" i="50"/>
  <c r="E337" i="57"/>
  <c r="F337" i="57" s="1"/>
  <c r="H337" i="57"/>
  <c r="E336" i="57"/>
  <c r="F336" i="57" s="1"/>
  <c r="H336" i="57"/>
  <c r="E335" i="57"/>
  <c r="F335" i="57" s="1"/>
  <c r="H335" i="57"/>
  <c r="J160" i="50"/>
  <c r="O160" i="50"/>
  <c r="E334" i="57"/>
  <c r="F334" i="57" s="1"/>
  <c r="H334" i="57"/>
  <c r="E333" i="57"/>
  <c r="F333" i="57" s="1"/>
  <c r="H333" i="57"/>
  <c r="E332" i="57"/>
  <c r="F332" i="57" s="1"/>
  <c r="H332" i="57"/>
  <c r="E331" i="57"/>
  <c r="F331" i="57" s="1"/>
  <c r="H331" i="57"/>
  <c r="J159" i="50"/>
  <c r="O159" i="50"/>
  <c r="J158" i="50"/>
  <c r="O158" i="50"/>
  <c r="J157" i="50"/>
  <c r="O157" i="50"/>
  <c r="D10" i="56"/>
  <c r="E10" i="56"/>
  <c r="F10" i="56"/>
  <c r="G10" i="56"/>
  <c r="H10" i="56"/>
  <c r="I10" i="56"/>
  <c r="E330" i="57"/>
  <c r="F330" i="57" s="1"/>
  <c r="H330" i="57"/>
  <c r="E329" i="57"/>
  <c r="F329" i="57" s="1"/>
  <c r="H329" i="57"/>
  <c r="E328" i="57"/>
  <c r="F328" i="57" s="1"/>
  <c r="H328" i="57"/>
  <c r="E327" i="57"/>
  <c r="F327" i="57" s="1"/>
  <c r="H327" i="57"/>
  <c r="E326" i="57"/>
  <c r="F326" i="57" s="1"/>
  <c r="H326" i="57"/>
  <c r="E325" i="57"/>
  <c r="F325" i="57" s="1"/>
  <c r="H325" i="57"/>
  <c r="J156" i="50"/>
  <c r="O156" i="50"/>
  <c r="E324" i="57"/>
  <c r="F324" i="57" s="1"/>
  <c r="H324" i="57"/>
  <c r="E323" i="57"/>
  <c r="F323" i="57" s="1"/>
  <c r="H323" i="57"/>
  <c r="E322" i="57"/>
  <c r="F322" i="57" s="1"/>
  <c r="H322" i="57"/>
  <c r="E321" i="57"/>
  <c r="F321" i="57" s="1"/>
  <c r="H321" i="57"/>
  <c r="E320" i="57"/>
  <c r="F320" i="57" s="1"/>
  <c r="H320" i="57"/>
  <c r="E319" i="57"/>
  <c r="F319" i="57" s="1"/>
  <c r="H319" i="57"/>
  <c r="E318" i="57"/>
  <c r="F318" i="57" s="1"/>
  <c r="H318" i="57"/>
  <c r="E317" i="57"/>
  <c r="F317" i="57" s="1"/>
  <c r="H317" i="57"/>
  <c r="E316" i="57"/>
  <c r="F316" i="57" s="1"/>
  <c r="H316" i="57"/>
  <c r="E315" i="57"/>
  <c r="F315" i="57" s="1"/>
  <c r="H315" i="57"/>
  <c r="E314" i="57"/>
  <c r="F314" i="57" s="1"/>
  <c r="H314" i="57"/>
  <c r="E313" i="57"/>
  <c r="F313" i="57" s="1"/>
  <c r="H313" i="57"/>
  <c r="E312" i="57"/>
  <c r="F312" i="57" s="1"/>
  <c r="H312" i="57"/>
  <c r="E311" i="57"/>
  <c r="F311" i="57" s="1"/>
  <c r="H311" i="57"/>
  <c r="E310" i="57"/>
  <c r="F310" i="57" s="1"/>
  <c r="H310" i="57"/>
  <c r="E309" i="57"/>
  <c r="F309" i="57" s="1"/>
  <c r="H309" i="57"/>
  <c r="J155" i="50"/>
  <c r="O155" i="50"/>
  <c r="J154" i="50"/>
  <c r="O154" i="50"/>
  <c r="J153" i="50"/>
  <c r="O153" i="50"/>
  <c r="E308" i="57"/>
  <c r="F308" i="57" s="1"/>
  <c r="H308" i="57"/>
  <c r="E307" i="57"/>
  <c r="F307" i="57" s="1"/>
  <c r="H307" i="57"/>
  <c r="E306" i="57"/>
  <c r="F306" i="57" s="1"/>
  <c r="H306" i="57"/>
  <c r="E305" i="57"/>
  <c r="F305" i="57" s="1"/>
  <c r="H305" i="57"/>
  <c r="J152" i="50"/>
  <c r="O152" i="50"/>
  <c r="J151" i="50"/>
  <c r="O151" i="50"/>
  <c r="E304" i="57"/>
  <c r="F304" i="57" s="1"/>
  <c r="H304" i="57"/>
  <c r="E303" i="57"/>
  <c r="F303" i="57" s="1"/>
  <c r="H303" i="57"/>
  <c r="E302" i="57"/>
  <c r="F302" i="57" s="1"/>
  <c r="H302" i="57"/>
  <c r="E301" i="57"/>
  <c r="F301" i="57" s="1"/>
  <c r="H301" i="57"/>
  <c r="E300" i="57"/>
  <c r="F300" i="57" s="1"/>
  <c r="H300" i="57"/>
  <c r="E299" i="57"/>
  <c r="F299" i="57" s="1"/>
  <c r="H299" i="57"/>
  <c r="E298" i="57"/>
  <c r="F298" i="57" s="1"/>
  <c r="H298" i="57"/>
  <c r="E297" i="57"/>
  <c r="F297" i="57" s="1"/>
  <c r="H297" i="57"/>
  <c r="E296" i="57"/>
  <c r="F296" i="57" s="1"/>
  <c r="H296" i="57"/>
  <c r="E286" i="57"/>
  <c r="F286" i="57" s="1"/>
  <c r="H286" i="57"/>
  <c r="E295" i="57"/>
  <c r="F295" i="57" s="1"/>
  <c r="H295" i="57"/>
  <c r="E294" i="57"/>
  <c r="F294" i="57" s="1"/>
  <c r="H294" i="57"/>
  <c r="E293" i="57"/>
  <c r="F293" i="57" s="1"/>
  <c r="H293" i="57"/>
  <c r="E291" i="57"/>
  <c r="F291" i="57" s="1"/>
  <c r="H291" i="57"/>
  <c r="D290" i="57"/>
  <c r="H290" i="57" s="1"/>
  <c r="E290" i="57"/>
  <c r="E289" i="57"/>
  <c r="F289" i="57" s="1"/>
  <c r="H289" i="57"/>
  <c r="E288" i="57"/>
  <c r="F288" i="57" s="1"/>
  <c r="H288" i="57"/>
  <c r="E287" i="57"/>
  <c r="F287" i="57" s="1"/>
  <c r="H287" i="57"/>
  <c r="J150" i="50"/>
  <c r="O150" i="50"/>
  <c r="J149" i="50"/>
  <c r="O149" i="50"/>
  <c r="D3" i="56"/>
  <c r="E3" i="56"/>
  <c r="F3" i="56"/>
  <c r="G3" i="56"/>
  <c r="H3" i="56"/>
  <c r="I3" i="56"/>
  <c r="J148" i="50"/>
  <c r="O148" i="50"/>
  <c r="E282" i="57"/>
  <c r="F282" i="57" s="1"/>
  <c r="E283" i="57"/>
  <c r="F283" i="57" s="1"/>
  <c r="E284" i="57"/>
  <c r="F284" i="57" s="1"/>
  <c r="E285" i="57"/>
  <c r="F285" i="57" s="1"/>
  <c r="H282" i="57"/>
  <c r="H283" i="57"/>
  <c r="H284" i="57"/>
  <c r="H285" i="57"/>
  <c r="E281" i="57"/>
  <c r="F281" i="57" s="1"/>
  <c r="H281" i="57"/>
  <c r="J147" i="50"/>
  <c r="O147" i="50"/>
  <c r="E280" i="57"/>
  <c r="F280" i="57" s="1"/>
  <c r="H280" i="57"/>
  <c r="E279" i="57"/>
  <c r="F279" i="57" s="1"/>
  <c r="H279" i="57"/>
  <c r="E278" i="57"/>
  <c r="F278" i="57" s="1"/>
  <c r="H278" i="57"/>
  <c r="E277" i="57"/>
  <c r="F277" i="57" s="1"/>
  <c r="H277" i="57"/>
  <c r="E276" i="57"/>
  <c r="F276" i="57" s="1"/>
  <c r="H276" i="57"/>
  <c r="E275" i="57"/>
  <c r="F275" i="57" s="1"/>
  <c r="H275" i="57"/>
  <c r="E274" i="57"/>
  <c r="F274" i="57" s="1"/>
  <c r="H274" i="57"/>
  <c r="J146" i="50"/>
  <c r="O146" i="50"/>
  <c r="J145" i="50"/>
  <c r="O145" i="50"/>
  <c r="J144" i="50"/>
  <c r="O144" i="50"/>
  <c r="E273" i="57"/>
  <c r="F273" i="57" s="1"/>
  <c r="H273" i="57"/>
  <c r="E272" i="57"/>
  <c r="F272" i="57" s="1"/>
  <c r="H272" i="57"/>
  <c r="E271" i="57"/>
  <c r="F271" i="57" s="1"/>
  <c r="H271" i="57"/>
  <c r="E270" i="57"/>
  <c r="F270" i="57" s="1"/>
  <c r="H270" i="57"/>
  <c r="E269" i="57"/>
  <c r="F269" i="57" s="1"/>
  <c r="H269" i="57"/>
  <c r="J143" i="50"/>
  <c r="O143" i="50"/>
  <c r="J142" i="50"/>
  <c r="O142" i="50"/>
  <c r="E268" i="57"/>
  <c r="F268" i="57" s="1"/>
  <c r="H268" i="57"/>
  <c r="E267" i="57"/>
  <c r="F267" i="57" s="1"/>
  <c r="H267" i="57"/>
  <c r="E266" i="57"/>
  <c r="F266" i="57" s="1"/>
  <c r="H266" i="57"/>
  <c r="J141" i="50"/>
  <c r="O141" i="50"/>
  <c r="E265" i="57"/>
  <c r="F265" i="57" s="1"/>
  <c r="H265" i="57"/>
  <c r="E264" i="57"/>
  <c r="F264" i="57" s="1"/>
  <c r="H264" i="57"/>
  <c r="E263" i="57"/>
  <c r="F263" i="57" s="1"/>
  <c r="H263" i="57"/>
  <c r="E262" i="57"/>
  <c r="F262" i="57" s="1"/>
  <c r="H262" i="57"/>
  <c r="E261" i="57"/>
  <c r="F261" i="57" s="1"/>
  <c r="H261" i="57"/>
  <c r="J140" i="50"/>
  <c r="O140" i="50"/>
  <c r="J139" i="50"/>
  <c r="O139" i="50"/>
  <c r="J138" i="50"/>
  <c r="O138" i="50"/>
  <c r="E260" i="57"/>
  <c r="F260" i="57" s="1"/>
  <c r="H260" i="57"/>
  <c r="E259" i="57"/>
  <c r="F259" i="57" s="1"/>
  <c r="H259" i="57"/>
  <c r="E258" i="57"/>
  <c r="F258" i="57" s="1"/>
  <c r="H258" i="57"/>
  <c r="E257" i="57"/>
  <c r="F257" i="57" s="1"/>
  <c r="H257" i="57"/>
  <c r="E252" i="57"/>
  <c r="F252" i="57" s="1"/>
  <c r="H252" i="57"/>
  <c r="J137" i="50"/>
  <c r="O137" i="50"/>
  <c r="J136" i="50"/>
  <c r="O136" i="50"/>
  <c r="J135" i="50"/>
  <c r="O135" i="50"/>
  <c r="J134" i="50"/>
  <c r="O134" i="50"/>
  <c r="J133" i="50"/>
  <c r="O133" i="50"/>
  <c r="D6" i="56"/>
  <c r="E6" i="56"/>
  <c r="F6" i="56"/>
  <c r="G6" i="56"/>
  <c r="H6" i="56"/>
  <c r="I6" i="56"/>
  <c r="E256" i="57"/>
  <c r="F256" i="57" s="1"/>
  <c r="H256" i="57"/>
  <c r="E255" i="57"/>
  <c r="F255" i="57" s="1"/>
  <c r="H255" i="57"/>
  <c r="E254" i="57"/>
  <c r="F254" i="57" s="1"/>
  <c r="H254" i="57"/>
  <c r="E253" i="57"/>
  <c r="F253" i="57" s="1"/>
  <c r="H253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 s="1"/>
  <c r="F44" i="72"/>
  <c r="D44" i="72" s="1"/>
  <c r="F43" i="72"/>
  <c r="D43" i="72" s="1"/>
  <c r="F42" i="72"/>
  <c r="D42" i="72" s="1"/>
  <c r="F41" i="72"/>
  <c r="D41" i="72" s="1"/>
  <c r="F40" i="72"/>
  <c r="D40" i="72" s="1"/>
  <c r="F39" i="72"/>
  <c r="D39" i="72" s="1"/>
  <c r="F38" i="72"/>
  <c r="D38" i="72" s="1"/>
  <c r="F37" i="72"/>
  <c r="D37" i="72" s="1"/>
  <c r="F36" i="72"/>
  <c r="D36" i="72" s="1"/>
  <c r="F35" i="72"/>
  <c r="D35" i="72" s="1"/>
  <c r="F34" i="72"/>
  <c r="D34" i="72" s="1"/>
  <c r="F33" i="72"/>
  <c r="D33" i="72" s="1"/>
  <c r="F32" i="72"/>
  <c r="D32" i="72" s="1"/>
  <c r="F31" i="72"/>
  <c r="D31" i="72" s="1"/>
  <c r="F30" i="72"/>
  <c r="D30" i="72" s="1"/>
  <c r="F29" i="72"/>
  <c r="D29" i="72" s="1"/>
  <c r="F28" i="72"/>
  <c r="D28" i="72" s="1"/>
  <c r="F27" i="72"/>
  <c r="D27" i="72" s="1"/>
  <c r="F26" i="72"/>
  <c r="D26" i="72" s="1"/>
  <c r="F25" i="72"/>
  <c r="D25" i="72" s="1"/>
  <c r="F24" i="72"/>
  <c r="D24" i="72" s="1"/>
  <c r="F23" i="72"/>
  <c r="D23" i="72" s="1"/>
  <c r="F22" i="72"/>
  <c r="D22" i="72" s="1"/>
  <c r="F21" i="72"/>
  <c r="D21" i="72" s="1"/>
  <c r="F20" i="72"/>
  <c r="D20" i="72" s="1"/>
  <c r="F19" i="72"/>
  <c r="D19" i="72" s="1"/>
  <c r="F18" i="72"/>
  <c r="D18" i="72" s="1"/>
  <c r="F17" i="72"/>
  <c r="D17" i="72" s="1"/>
  <c r="F16" i="72"/>
  <c r="D16" i="72" s="1"/>
  <c r="F15" i="72"/>
  <c r="D15" i="72" s="1"/>
  <c r="F14" i="72"/>
  <c r="D14" i="72" s="1"/>
  <c r="F13" i="72"/>
  <c r="D13" i="72" s="1"/>
  <c r="F12" i="72"/>
  <c r="D12" i="72" s="1"/>
  <c r="F11" i="72"/>
  <c r="D11" i="72" s="1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J131" i="50"/>
  <c r="J132" i="50"/>
  <c r="O131" i="50"/>
  <c r="O132" i="50"/>
  <c r="J5" i="50"/>
  <c r="O5" i="50"/>
  <c r="J3" i="50"/>
  <c r="O3" i="50"/>
  <c r="J4" i="50"/>
  <c r="O4" i="50"/>
  <c r="J2" i="50"/>
  <c r="O2" i="50"/>
  <c r="E251" i="57"/>
  <c r="F251" i="57" s="1"/>
  <c r="H251" i="57"/>
  <c r="E250" i="57"/>
  <c r="F250" i="57" s="1"/>
  <c r="H250" i="57"/>
  <c r="E249" i="57"/>
  <c r="F249" i="57" s="1"/>
  <c r="H249" i="57"/>
  <c r="E248" i="57"/>
  <c r="F248" i="57" s="1"/>
  <c r="H248" i="57"/>
  <c r="E247" i="57"/>
  <c r="F247" i="57" s="1"/>
  <c r="H247" i="57"/>
  <c r="E246" i="57"/>
  <c r="F246" i="57" s="1"/>
  <c r="H246" i="57"/>
  <c r="J130" i="50"/>
  <c r="O130" i="50"/>
  <c r="J129" i="50"/>
  <c r="O129" i="50"/>
  <c r="J128" i="50"/>
  <c r="O128" i="50"/>
  <c r="J127" i="50"/>
  <c r="O127" i="50"/>
  <c r="J126" i="50"/>
  <c r="O126" i="50"/>
  <c r="J125" i="50"/>
  <c r="O125" i="50"/>
  <c r="J124" i="50"/>
  <c r="O124" i="50"/>
  <c r="E245" i="57"/>
  <c r="F245" i="57" s="1"/>
  <c r="H245" i="57"/>
  <c r="E244" i="57"/>
  <c r="F244" i="57" s="1"/>
  <c r="H244" i="57"/>
  <c r="E243" i="57"/>
  <c r="F243" i="57" s="1"/>
  <c r="H243" i="57"/>
  <c r="E242" i="57"/>
  <c r="F242" i="57" s="1"/>
  <c r="H242" i="57"/>
  <c r="E241" i="57"/>
  <c r="F241" i="57" s="1"/>
  <c r="H241" i="57"/>
  <c r="E240" i="57"/>
  <c r="F240" i="57" s="1"/>
  <c r="H240" i="57"/>
  <c r="B32" i="72" a="1"/>
  <c r="B38" i="72" a="1"/>
  <c r="B30" i="72" a="1"/>
  <c r="B18" i="72" a="1"/>
  <c r="B45" i="72" a="1"/>
  <c r="B44" i="72" a="1"/>
  <c r="B37" i="72" a="1"/>
  <c r="B12" i="72" a="1"/>
  <c r="B13" i="72" a="1"/>
  <c r="B42" i="72" a="1"/>
  <c r="B41" i="72" a="1"/>
  <c r="B19" i="72" a="1"/>
  <c r="B25" i="72" a="1"/>
  <c r="B33" i="72" a="1"/>
  <c r="B43" i="72" a="1"/>
  <c r="B24" i="72" a="1"/>
  <c r="B14" i="72" a="1"/>
  <c r="B35" i="72" a="1"/>
  <c r="B16" i="72" a="1"/>
  <c r="B34" i="72" a="1"/>
  <c r="B22" i="72" a="1"/>
  <c r="B40" i="72" a="1"/>
  <c r="B20" i="72" a="1"/>
  <c r="B29" i="72" a="1"/>
  <c r="A1" i="56" a="1"/>
  <c r="B39" i="72" a="1"/>
  <c r="B28" i="72" a="1"/>
  <c r="B21" i="72" a="1"/>
  <c r="B36" i="72" a="1"/>
  <c r="B23" i="72" a="1"/>
  <c r="B17" i="72" a="1"/>
  <c r="B31" i="72" a="1"/>
  <c r="B15" i="72" a="1"/>
  <c r="B11" i="72" a="1"/>
  <c r="B26" i="72" a="1"/>
  <c r="B27" i="72" a="1"/>
  <c r="N5" i="56" l="1"/>
  <c r="L4" i="56"/>
  <c r="J10" i="56"/>
  <c r="L10" i="56" s="1"/>
  <c r="K10" i="56"/>
  <c r="M10" i="56" s="1"/>
  <c r="J3" i="56"/>
  <c r="L3" i="56" s="1"/>
  <c r="K3" i="56"/>
  <c r="M3" i="56" s="1"/>
  <c r="K6" i="56"/>
  <c r="M6" i="56" s="1"/>
  <c r="J6" i="56"/>
  <c r="L6" i="56" s="1"/>
  <c r="F290" i="57"/>
  <c r="B44" i="72"/>
  <c r="B42" i="72"/>
  <c r="B40" i="72"/>
  <c r="B45" i="72"/>
  <c r="B43" i="72"/>
  <c r="B41" i="72"/>
  <c r="B39" i="72"/>
  <c r="B37" i="72"/>
  <c r="B35" i="72"/>
  <c r="B33" i="72"/>
  <c r="B38" i="72"/>
  <c r="B36" i="72"/>
  <c r="B34" i="72"/>
  <c r="B32" i="72"/>
  <c r="B28" i="72"/>
  <c r="B30" i="72"/>
  <c r="B26" i="72"/>
  <c r="B31" i="72"/>
  <c r="B29" i="72"/>
  <c r="B27" i="72"/>
  <c r="B25" i="72"/>
  <c r="B23" i="72"/>
  <c r="B21" i="72"/>
  <c r="B24" i="72"/>
  <c r="B22" i="72"/>
  <c r="B20" i="72"/>
  <c r="B18" i="72"/>
  <c r="B16" i="72"/>
  <c r="B14" i="72"/>
  <c r="B12" i="72"/>
  <c r="B19" i="72"/>
  <c r="B17" i="72"/>
  <c r="B15" i="72"/>
  <c r="B13" i="72"/>
  <c r="B11" i="72"/>
  <c r="A1" i="56"/>
  <c r="J123" i="50"/>
  <c r="O123" i="50"/>
  <c r="E239" i="57"/>
  <c r="F239" i="57" s="1"/>
  <c r="H239" i="57"/>
  <c r="E238" i="57"/>
  <c r="F238" i="57" s="1"/>
  <c r="H238" i="57"/>
  <c r="E237" i="57"/>
  <c r="F237" i="57" s="1"/>
  <c r="H237" i="57"/>
  <c r="E236" i="57"/>
  <c r="F236" i="57" s="1"/>
  <c r="H236" i="57"/>
  <c r="J122" i="50"/>
  <c r="O122" i="50"/>
  <c r="E228" i="57"/>
  <c r="F228" i="57" s="1"/>
  <c r="H228" i="57"/>
  <c r="E235" i="57"/>
  <c r="F235" i="57" s="1"/>
  <c r="H235" i="57"/>
  <c r="E234" i="57"/>
  <c r="F234" i="57" s="1"/>
  <c r="H234" i="57"/>
  <c r="E233" i="57"/>
  <c r="F233" i="57" s="1"/>
  <c r="H233" i="57"/>
  <c r="E232" i="57"/>
  <c r="F232" i="57" s="1"/>
  <c r="H232" i="57"/>
  <c r="E231" i="57"/>
  <c r="F231" i="57" s="1"/>
  <c r="H231" i="57"/>
  <c r="E230" i="57"/>
  <c r="F230" i="57" s="1"/>
  <c r="H230" i="57"/>
  <c r="E229" i="57"/>
  <c r="F229" i="57" s="1"/>
  <c r="H229" i="57"/>
  <c r="E227" i="57"/>
  <c r="F227" i="57" s="1"/>
  <c r="H227" i="57"/>
  <c r="E226" i="57"/>
  <c r="F226" i="57" s="1"/>
  <c r="H226" i="57"/>
  <c r="J121" i="50"/>
  <c r="O121" i="50"/>
  <c r="Q66" i="36"/>
  <c r="Q73" i="36"/>
  <c r="N7" i="51"/>
  <c r="N6" i="51"/>
  <c r="N5" i="51"/>
  <c r="N4" i="51"/>
  <c r="N2" i="51"/>
  <c r="G139" i="47" l="1"/>
  <c r="G140" i="47"/>
  <c r="G137" i="47"/>
  <c r="G138" i="47"/>
  <c r="G135" i="47"/>
  <c r="G136" i="47"/>
  <c r="G133" i="47"/>
  <c r="G134" i="47"/>
  <c r="G128" i="47"/>
  <c r="G132" i="47"/>
  <c r="G129" i="47"/>
  <c r="G130" i="47"/>
  <c r="G131" i="47"/>
  <c r="G123" i="47"/>
  <c r="G127" i="47"/>
  <c r="G126" i="47"/>
  <c r="G124" i="47"/>
  <c r="G125" i="47"/>
  <c r="G117" i="47"/>
  <c r="G118" i="47"/>
  <c r="G122" i="47"/>
  <c r="G119" i="47"/>
  <c r="G120" i="47"/>
  <c r="G121" i="47"/>
  <c r="N10" i="56"/>
  <c r="N3" i="56"/>
  <c r="N6" i="56"/>
  <c r="G110" i="47"/>
  <c r="G111" i="47"/>
  <c r="G115" i="47"/>
  <c r="G112" i="47"/>
  <c r="G116" i="47"/>
  <c r="G113" i="47"/>
  <c r="G114" i="47"/>
  <c r="G108" i="47"/>
  <c r="G109" i="47"/>
  <c r="G104" i="47"/>
  <c r="G107" i="47"/>
  <c r="G105" i="47"/>
  <c r="G106" i="47"/>
  <c r="G99" i="47"/>
  <c r="G100" i="47"/>
  <c r="G102" i="47"/>
  <c r="G103" i="47"/>
  <c r="G101" i="47"/>
  <c r="G96" i="47"/>
  <c r="G97" i="47"/>
  <c r="G98" i="47"/>
  <c r="F30" i="51"/>
  <c r="G30" i="51"/>
  <c r="H30" i="51" s="1"/>
  <c r="F29" i="51"/>
  <c r="G29" i="51"/>
  <c r="H29" i="51" s="1"/>
  <c r="F28" i="51"/>
  <c r="G28" i="51"/>
  <c r="H28" i="51" s="1"/>
  <c r="F27" i="51"/>
  <c r="G27" i="51"/>
  <c r="H27" i="51" s="1"/>
  <c r="F26" i="51"/>
  <c r="G26" i="51"/>
  <c r="H26" i="51" s="1"/>
  <c r="F25" i="51"/>
  <c r="G25" i="51"/>
  <c r="H25" i="51" s="1"/>
  <c r="F24" i="51"/>
  <c r="G24" i="51"/>
  <c r="H24" i="51" s="1"/>
  <c r="F23" i="51"/>
  <c r="G23" i="51"/>
  <c r="H23" i="51" s="1"/>
  <c r="F22" i="51"/>
  <c r="G22" i="51"/>
  <c r="H22" i="51" s="1"/>
  <c r="F21" i="51"/>
  <c r="G21" i="51"/>
  <c r="H21" i="51" s="1"/>
  <c r="F20" i="51"/>
  <c r="G20" i="51"/>
  <c r="H20" i="51" s="1"/>
  <c r="F19" i="51"/>
  <c r="G19" i="51"/>
  <c r="H19" i="51" s="1"/>
  <c r="F18" i="51"/>
  <c r="G18" i="51"/>
  <c r="H18" i="51" s="1"/>
  <c r="J120" i="50"/>
  <c r="O120" i="50"/>
  <c r="E225" i="57" l="1"/>
  <c r="F225" i="57" s="1"/>
  <c r="H225" i="57"/>
  <c r="E224" i="57"/>
  <c r="F224" i="57" s="1"/>
  <c r="H224" i="57"/>
  <c r="E223" i="57"/>
  <c r="F223" i="57" s="1"/>
  <c r="H223" i="57"/>
  <c r="E222" i="57"/>
  <c r="F222" i="57" s="1"/>
  <c r="H222" i="57"/>
  <c r="E221" i="57"/>
  <c r="F221" i="57" s="1"/>
  <c r="H221" i="57"/>
  <c r="E220" i="57"/>
  <c r="F220" i="57" s="1"/>
  <c r="H220" i="57"/>
  <c r="E219" i="57"/>
  <c r="F219" i="57" s="1"/>
  <c r="H219" i="57"/>
  <c r="E218" i="57"/>
  <c r="F218" i="57" s="1"/>
  <c r="H218" i="57"/>
  <c r="J119" i="50"/>
  <c r="O119" i="50"/>
  <c r="J118" i="50"/>
  <c r="O118" i="50"/>
  <c r="J117" i="50"/>
  <c r="O117" i="50"/>
  <c r="E217" i="57"/>
  <c r="F217" i="57" s="1"/>
  <c r="H217" i="57"/>
  <c r="E216" i="57"/>
  <c r="F216" i="57" s="1"/>
  <c r="H216" i="57"/>
  <c r="E215" i="57"/>
  <c r="F215" i="57" s="1"/>
  <c r="H215" i="57"/>
  <c r="E214" i="57"/>
  <c r="F214" i="57" s="1"/>
  <c r="H214" i="57"/>
  <c r="E213" i="57"/>
  <c r="F213" i="57" s="1"/>
  <c r="H213" i="57"/>
  <c r="E212" i="57"/>
  <c r="F212" i="57" s="1"/>
  <c r="H212" i="57"/>
  <c r="E211" i="57"/>
  <c r="F211" i="57" s="1"/>
  <c r="H211" i="57"/>
  <c r="E210" i="57"/>
  <c r="F210" i="57" s="1"/>
  <c r="H210" i="57"/>
  <c r="E209" i="57"/>
  <c r="F209" i="57" s="1"/>
  <c r="H209" i="57"/>
  <c r="E208" i="57"/>
  <c r="F208" i="57" s="1"/>
  <c r="H208" i="57"/>
  <c r="E207" i="57"/>
  <c r="F207" i="57" s="1"/>
  <c r="H207" i="57"/>
  <c r="E206" i="57"/>
  <c r="F206" i="57" s="1"/>
  <c r="H206" i="57"/>
  <c r="E205" i="57"/>
  <c r="F205" i="57" s="1"/>
  <c r="H205" i="57"/>
  <c r="E204" i="57"/>
  <c r="F204" i="57" s="1"/>
  <c r="H204" i="57"/>
  <c r="E203" i="57"/>
  <c r="F203" i="57" s="1"/>
  <c r="H203" i="57"/>
  <c r="E202" i="57"/>
  <c r="F202" i="57" s="1"/>
  <c r="H202" i="57"/>
  <c r="E201" i="57"/>
  <c r="F201" i="57" s="1"/>
  <c r="H201" i="57"/>
  <c r="J116" i="50"/>
  <c r="O116" i="50"/>
  <c r="J115" i="50"/>
  <c r="O115" i="50"/>
  <c r="J114" i="50"/>
  <c r="O114" i="50"/>
  <c r="J113" i="50"/>
  <c r="O113" i="50"/>
  <c r="J112" i="50"/>
  <c r="O112" i="50"/>
  <c r="E200" i="57"/>
  <c r="F200" i="57" s="1"/>
  <c r="H200" i="57"/>
  <c r="E199" i="57"/>
  <c r="F199" i="57" s="1"/>
  <c r="H199" i="57"/>
  <c r="E198" i="57"/>
  <c r="F198" i="57" s="1"/>
  <c r="H198" i="57"/>
  <c r="E197" i="57"/>
  <c r="F197" i="57" s="1"/>
  <c r="H197" i="57"/>
  <c r="E196" i="57"/>
  <c r="F196" i="57" s="1"/>
  <c r="H196" i="57"/>
  <c r="E195" i="57"/>
  <c r="F195" i="57" s="1"/>
  <c r="H195" i="57"/>
  <c r="E194" i="57"/>
  <c r="F194" i="57" s="1"/>
  <c r="H194" i="57"/>
  <c r="J111" i="50"/>
  <c r="O111" i="50"/>
  <c r="J109" i="50" l="1"/>
  <c r="O109" i="50"/>
  <c r="J110" i="50"/>
  <c r="O110" i="50"/>
  <c r="E193" i="57"/>
  <c r="F193" i="57" s="1"/>
  <c r="H193" i="57"/>
  <c r="E192" i="57"/>
  <c r="F192" i="57" s="1"/>
  <c r="H192" i="57"/>
  <c r="E191" i="57"/>
  <c r="F191" i="57" s="1"/>
  <c r="H191" i="57"/>
  <c r="E190" i="57"/>
  <c r="F190" i="57" s="1"/>
  <c r="H190" i="57"/>
  <c r="E189" i="57"/>
  <c r="F189" i="57" s="1"/>
  <c r="H189" i="57"/>
  <c r="E188" i="57"/>
  <c r="F188" i="57" s="1"/>
  <c r="H188" i="57"/>
  <c r="E187" i="57"/>
  <c r="F187" i="57" s="1"/>
  <c r="H187" i="57"/>
  <c r="E186" i="57"/>
  <c r="F186" i="57" s="1"/>
  <c r="H186" i="57"/>
  <c r="J108" i="50"/>
  <c r="O108" i="50"/>
  <c r="E185" i="57"/>
  <c r="F185" i="57" s="1"/>
  <c r="H185" i="57"/>
  <c r="E184" i="57"/>
  <c r="F184" i="57" s="1"/>
  <c r="H184" i="57"/>
  <c r="E183" i="57"/>
  <c r="F183" i="57" s="1"/>
  <c r="H183" i="57"/>
  <c r="E182" i="57"/>
  <c r="F182" i="57" s="1"/>
  <c r="H182" i="57"/>
  <c r="E181" i="57"/>
  <c r="F181" i="57" s="1"/>
  <c r="H181" i="57"/>
  <c r="E180" i="57"/>
  <c r="F180" i="57" s="1"/>
  <c r="H180" i="57"/>
  <c r="E179" i="57"/>
  <c r="F179" i="57" s="1"/>
  <c r="H179" i="57"/>
  <c r="E178" i="57"/>
  <c r="F178" i="57" s="1"/>
  <c r="H178" i="57"/>
  <c r="E177" i="57"/>
  <c r="F177" i="57" s="1"/>
  <c r="H177" i="57"/>
  <c r="E176" i="57"/>
  <c r="F176" i="57" s="1"/>
  <c r="H176" i="57"/>
  <c r="E175" i="57"/>
  <c r="F175" i="57" s="1"/>
  <c r="H175" i="57"/>
  <c r="E174" i="57"/>
  <c r="F174" i="57" s="1"/>
  <c r="H174" i="57"/>
  <c r="E173" i="57"/>
  <c r="F173" i="57" s="1"/>
  <c r="H173" i="57"/>
  <c r="E172" i="57"/>
  <c r="F172" i="57" s="1"/>
  <c r="H172" i="57"/>
  <c r="E171" i="57"/>
  <c r="F171" i="57" s="1"/>
  <c r="H171" i="57"/>
  <c r="R103" i="50"/>
  <c r="R107" i="50"/>
  <c r="R106" i="50"/>
  <c r="R105" i="50"/>
  <c r="R104" i="50"/>
  <c r="J107" i="50"/>
  <c r="O107" i="50"/>
  <c r="J106" i="50"/>
  <c r="O106" i="50"/>
  <c r="J105" i="50"/>
  <c r="O105" i="50"/>
  <c r="J104" i="50"/>
  <c r="O104" i="50"/>
  <c r="J103" i="50"/>
  <c r="O103" i="50"/>
  <c r="J102" i="50"/>
  <c r="O102" i="50"/>
  <c r="J101" i="50"/>
  <c r="O101" i="50"/>
  <c r="J100" i="50"/>
  <c r="O100" i="50"/>
  <c r="J99" i="50"/>
  <c r="O99" i="50"/>
  <c r="E170" i="57"/>
  <c r="F170" i="57" s="1"/>
  <c r="H170" i="57"/>
  <c r="E169" i="57"/>
  <c r="F169" i="57" s="1"/>
  <c r="H169" i="57"/>
  <c r="E168" i="57"/>
  <c r="F168" i="57" s="1"/>
  <c r="H168" i="57"/>
  <c r="E167" i="57"/>
  <c r="F167" i="57" s="1"/>
  <c r="H167" i="57"/>
  <c r="E166" i="57"/>
  <c r="F166" i="57" s="1"/>
  <c r="H166" i="57"/>
  <c r="D165" i="57"/>
  <c r="H165" i="57" s="1"/>
  <c r="E165" i="57"/>
  <c r="J98" i="50"/>
  <c r="O98" i="50"/>
  <c r="J97" i="50"/>
  <c r="O97" i="50"/>
  <c r="J96" i="50"/>
  <c r="O96" i="50"/>
  <c r="E164" i="57"/>
  <c r="F164" i="57" s="1"/>
  <c r="H164" i="57"/>
  <c r="E163" i="57"/>
  <c r="F163" i="57" s="1"/>
  <c r="H163" i="57"/>
  <c r="E162" i="57"/>
  <c r="F162" i="57" s="1"/>
  <c r="H162" i="57"/>
  <c r="E161" i="57"/>
  <c r="F161" i="57" s="1"/>
  <c r="H161" i="57"/>
  <c r="E160" i="57"/>
  <c r="F160" i="57" s="1"/>
  <c r="H160" i="57"/>
  <c r="E159" i="57"/>
  <c r="F159" i="57" s="1"/>
  <c r="H159" i="57"/>
  <c r="J95" i="50"/>
  <c r="O95" i="50"/>
  <c r="J94" i="50"/>
  <c r="O94" i="50"/>
  <c r="J92" i="50"/>
  <c r="J93" i="50"/>
  <c r="O92" i="50"/>
  <c r="O93" i="50"/>
  <c r="J91" i="50"/>
  <c r="O91" i="50"/>
  <c r="E158" i="57"/>
  <c r="F158" i="57" s="1"/>
  <c r="H158" i="57"/>
  <c r="E157" i="57"/>
  <c r="F157" i="57" s="1"/>
  <c r="H157" i="57"/>
  <c r="E156" i="57"/>
  <c r="F156" i="57" s="1"/>
  <c r="H156" i="57"/>
  <c r="E155" i="57"/>
  <c r="F155" i="57" s="1"/>
  <c r="H155" i="57"/>
  <c r="E154" i="57"/>
  <c r="F154" i="57" s="1"/>
  <c r="H154" i="57"/>
  <c r="E153" i="57"/>
  <c r="F153" i="57" s="1"/>
  <c r="H153" i="57"/>
  <c r="E152" i="57"/>
  <c r="F152" i="57" s="1"/>
  <c r="H152" i="57"/>
  <c r="E151" i="57"/>
  <c r="F151" i="57" s="1"/>
  <c r="H151" i="57"/>
  <c r="E150" i="57"/>
  <c r="F150" i="57" s="1"/>
  <c r="H150" i="57"/>
  <c r="E149" i="57"/>
  <c r="F149" i="57" s="1"/>
  <c r="H149" i="57"/>
  <c r="J90" i="50"/>
  <c r="O90" i="50"/>
  <c r="J89" i="50"/>
  <c r="O89" i="50"/>
  <c r="J88" i="50"/>
  <c r="O88" i="50"/>
  <c r="J87" i="50"/>
  <c r="O87" i="50"/>
  <c r="J86" i="50"/>
  <c r="O86" i="50"/>
  <c r="E148" i="57"/>
  <c r="F148" i="57" s="1"/>
  <c r="H148" i="57"/>
  <c r="E147" i="57"/>
  <c r="F147" i="57" s="1"/>
  <c r="H147" i="57"/>
  <c r="E146" i="57"/>
  <c r="F146" i="57" s="1"/>
  <c r="H146" i="57"/>
  <c r="F165" i="57" l="1"/>
  <c r="J84" i="50"/>
  <c r="J85" i="50"/>
  <c r="O84" i="50"/>
  <c r="O85" i="50"/>
  <c r="E145" i="57"/>
  <c r="F145" i="57" s="1"/>
  <c r="H145" i="57"/>
  <c r="E144" i="57"/>
  <c r="F144" i="57" s="1"/>
  <c r="H144" i="57"/>
  <c r="J83" i="50"/>
  <c r="O83" i="50"/>
  <c r="J82" i="50"/>
  <c r="O82" i="50"/>
  <c r="J81" i="50"/>
  <c r="O81" i="50"/>
  <c r="F3" i="55"/>
  <c r="G3" i="55" s="1"/>
  <c r="B3" i="55" l="1"/>
  <c r="E143" i="57" l="1"/>
  <c r="F143" i="57" s="1"/>
  <c r="H143" i="57"/>
  <c r="E142" i="57"/>
  <c r="F142" i="57" s="1"/>
  <c r="H142" i="57"/>
  <c r="J79" i="50"/>
  <c r="J80" i="50"/>
  <c r="O79" i="50"/>
  <c r="O80" i="50"/>
  <c r="J77" i="50"/>
  <c r="O77" i="50"/>
  <c r="J78" i="50"/>
  <c r="O78" i="50"/>
  <c r="J76" i="50"/>
  <c r="O76" i="50"/>
  <c r="J75" i="50"/>
  <c r="O75" i="50"/>
  <c r="J74" i="50"/>
  <c r="O74" i="50"/>
  <c r="J73" i="50"/>
  <c r="O73" i="50"/>
  <c r="E141" i="57"/>
  <c r="F141" i="57" s="1"/>
  <c r="H141" i="57"/>
  <c r="E140" i="57"/>
  <c r="F140" i="57" s="1"/>
  <c r="H140" i="57"/>
  <c r="E139" i="57"/>
  <c r="F139" i="57" s="1"/>
  <c r="H139" i="57"/>
  <c r="E138" i="57"/>
  <c r="F138" i="57" s="1"/>
  <c r="H138" i="57"/>
  <c r="E137" i="57"/>
  <c r="F137" i="57" s="1"/>
  <c r="H137" i="57"/>
  <c r="E136" i="57"/>
  <c r="F136" i="57" s="1"/>
  <c r="H136" i="57"/>
  <c r="E135" i="57"/>
  <c r="F135" i="57" s="1"/>
  <c r="H135" i="57"/>
  <c r="J72" i="50"/>
  <c r="O72" i="50"/>
  <c r="J71" i="50"/>
  <c r="O71" i="50"/>
  <c r="J70" i="50"/>
  <c r="O70" i="50"/>
  <c r="H9" i="56"/>
  <c r="E134" i="57"/>
  <c r="F134" i="57" s="1"/>
  <c r="H134" i="57"/>
  <c r="E133" i="57"/>
  <c r="F133" i="57" s="1"/>
  <c r="H133" i="57"/>
  <c r="E132" i="57"/>
  <c r="F132" i="57" s="1"/>
  <c r="H132" i="57"/>
  <c r="J69" i="50"/>
  <c r="O69" i="50"/>
  <c r="F17" i="51"/>
  <c r="G17" i="51"/>
  <c r="H17" i="51" s="1"/>
  <c r="F16" i="51"/>
  <c r="G16" i="51"/>
  <c r="H16" i="51" s="1"/>
  <c r="F15" i="51"/>
  <c r="G15" i="51"/>
  <c r="H15" i="51" s="1"/>
  <c r="J68" i="50"/>
  <c r="O68" i="50"/>
  <c r="E131" i="57"/>
  <c r="F131" i="57" s="1"/>
  <c r="H131" i="57"/>
  <c r="E130" i="57"/>
  <c r="F130" i="57" s="1"/>
  <c r="H130" i="57"/>
  <c r="E129" i="57"/>
  <c r="F129" i="57" s="1"/>
  <c r="H129" i="57"/>
  <c r="J67" i="50"/>
  <c r="O67" i="50"/>
  <c r="J66" i="50"/>
  <c r="O66" i="50"/>
  <c r="J65" i="50"/>
  <c r="O65" i="50"/>
  <c r="J64" i="50"/>
  <c r="O64" i="50"/>
  <c r="G9" i="56"/>
  <c r="F9" i="56"/>
  <c r="E9" i="56"/>
  <c r="D9" i="56"/>
  <c r="K9" i="56"/>
  <c r="E2" i="57"/>
  <c r="E3" i="57"/>
  <c r="E4" i="57"/>
  <c r="E8" i="57"/>
  <c r="E9" i="57"/>
  <c r="E10" i="57"/>
  <c r="E5" i="57"/>
  <c r="E6" i="57"/>
  <c r="E7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F119" i="57" s="1"/>
  <c r="E120" i="57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F117" i="57"/>
  <c r="F118" i="57"/>
  <c r="F120" i="57"/>
  <c r="J63" i="50"/>
  <c r="O63" i="50"/>
  <c r="H128" i="57"/>
  <c r="H127" i="57"/>
  <c r="J62" i="50"/>
  <c r="O62" i="50"/>
  <c r="H126" i="57"/>
  <c r="H125" i="57"/>
  <c r="H124" i="57"/>
  <c r="H123" i="57"/>
  <c r="H122" i="57"/>
  <c r="H121" i="57"/>
  <c r="H120" i="57"/>
  <c r="J61" i="50"/>
  <c r="O61" i="50"/>
  <c r="J60" i="50"/>
  <c r="O60" i="50"/>
  <c r="H119" i="57"/>
  <c r="J59" i="50"/>
  <c r="O59" i="50"/>
  <c r="J58" i="50"/>
  <c r="O58" i="50"/>
  <c r="J57" i="50"/>
  <c r="O57" i="50"/>
  <c r="H118" i="57"/>
  <c r="H117" i="57"/>
  <c r="I9" i="56" l="1"/>
  <c r="M9" i="56" s="1"/>
  <c r="J9" i="56"/>
  <c r="H31" i="36"/>
  <c r="L9" i="56" l="1"/>
  <c r="N9" i="56"/>
  <c r="B4" i="55"/>
  <c r="F116" i="57"/>
  <c r="H116" i="57"/>
  <c r="F115" i="57"/>
  <c r="H115" i="57"/>
  <c r="F114" i="57"/>
  <c r="H114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 l="1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 s="1"/>
  <c r="Q18" i="36" s="1"/>
  <c r="G3" i="51"/>
  <c r="H3" i="51" s="1"/>
  <c r="G4" i="51"/>
  <c r="H4" i="51" s="1"/>
  <c r="Q19" i="36" s="1"/>
  <c r="G5" i="51"/>
  <c r="H5" i="51" s="1"/>
  <c r="Q20" i="36" s="1"/>
  <c r="G6" i="51"/>
  <c r="H6" i="51" s="1"/>
  <c r="Q24" i="36" s="1"/>
  <c r="G7" i="51"/>
  <c r="H7" i="51" s="1"/>
  <c r="G8" i="51"/>
  <c r="H8" i="51" s="1"/>
  <c r="Q26" i="36" s="1"/>
  <c r="G9" i="51"/>
  <c r="H9" i="51" s="1"/>
  <c r="Q27" i="36" s="1"/>
  <c r="G10" i="51"/>
  <c r="H10" i="51" s="1"/>
  <c r="G11" i="51"/>
  <c r="H11" i="51" s="1"/>
  <c r="Q29" i="36" s="1"/>
  <c r="G12" i="51"/>
  <c r="H12" i="51" s="1"/>
  <c r="Q31" i="36" s="1"/>
  <c r="G13" i="51"/>
  <c r="H13" i="51" s="1"/>
  <c r="Q38" i="36" s="1"/>
  <c r="G14" i="51"/>
  <c r="H14" i="51" s="1"/>
  <c r="Q42" i="36" s="1"/>
  <c r="F113" i="57" l="1"/>
  <c r="H113" i="57"/>
  <c r="F112" i="57"/>
  <c r="H112" i="57"/>
  <c r="F111" i="57"/>
  <c r="H111" i="57"/>
  <c r="F110" i="57"/>
  <c r="H110" i="57"/>
  <c r="F109" i="57"/>
  <c r="H109" i="57"/>
  <c r="F108" i="57"/>
  <c r="H108" i="57"/>
  <c r="F107" i="57"/>
  <c r="H107" i="57"/>
  <c r="F106" i="57"/>
  <c r="H106" i="57"/>
  <c r="F14" i="51"/>
  <c r="F13" i="51"/>
  <c r="F105" i="57" l="1"/>
  <c r="H105" i="57"/>
  <c r="F104" i="57"/>
  <c r="H104" i="57"/>
  <c r="F103" i="57"/>
  <c r="H103" i="57"/>
  <c r="F102" i="57"/>
  <c r="H102" i="57"/>
  <c r="F101" i="57"/>
  <c r="H101" i="57"/>
  <c r="F100" i="57"/>
  <c r="H100" i="57"/>
  <c r="J56" i="50"/>
  <c r="O56" i="50"/>
  <c r="F96" i="57"/>
  <c r="H96" i="57"/>
  <c r="F99" i="57"/>
  <c r="H99" i="57"/>
  <c r="F98" i="57"/>
  <c r="H98" i="57"/>
  <c r="F97" i="57"/>
  <c r="H97" i="57"/>
  <c r="F95" i="57"/>
  <c r="H95" i="57"/>
  <c r="F94" i="57"/>
  <c r="H94" i="57"/>
  <c r="F93" i="57"/>
  <c r="H93" i="57"/>
  <c r="F92" i="57"/>
  <c r="H92" i="57"/>
  <c r="F91" i="57"/>
  <c r="H91" i="57"/>
  <c r="F90" i="57"/>
  <c r="H90" i="57"/>
  <c r="F89" i="57"/>
  <c r="H89" i="57"/>
  <c r="J55" i="50"/>
  <c r="O55" i="50"/>
  <c r="J54" i="50"/>
  <c r="O54" i="50"/>
  <c r="J53" i="50"/>
  <c r="O53" i="50"/>
  <c r="J52" i="50"/>
  <c r="O52" i="50"/>
  <c r="F88" i="57"/>
  <c r="H88" i="57"/>
  <c r="F87" i="57"/>
  <c r="H87" i="57"/>
  <c r="F86" i="57"/>
  <c r="H86" i="57"/>
  <c r="F85" i="57"/>
  <c r="H85" i="57"/>
  <c r="F84" i="57"/>
  <c r="H84" i="57"/>
  <c r="F83" i="57"/>
  <c r="H83" i="57"/>
  <c r="J51" i="50"/>
  <c r="O51" i="50"/>
  <c r="J50" i="50"/>
  <c r="O50" i="50"/>
  <c r="J49" i="50"/>
  <c r="O49" i="50"/>
  <c r="F82" i="57"/>
  <c r="H82" i="57"/>
  <c r="F81" i="57"/>
  <c r="H81" i="57"/>
  <c r="F80" i="57"/>
  <c r="H80" i="57"/>
  <c r="F79" i="57"/>
  <c r="H79" i="57"/>
  <c r="F78" i="57"/>
  <c r="H78" i="57"/>
  <c r="F77" i="57"/>
  <c r="H77" i="57"/>
  <c r="J48" i="50"/>
  <c r="O48" i="50"/>
  <c r="F367" i="36" l="1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F189" i="36"/>
  <c r="I189" i="36" s="1"/>
  <c r="E189" i="36"/>
  <c r="F188" i="36"/>
  <c r="I188" i="36" s="1"/>
  <c r="E188" i="36"/>
  <c r="F187" i="36"/>
  <c r="I187" i="36" s="1"/>
  <c r="E187" i="36"/>
  <c r="F186" i="36"/>
  <c r="I186" i="36" s="1"/>
  <c r="E186" i="36"/>
  <c r="F185" i="36"/>
  <c r="I185" i="36" s="1"/>
  <c r="E185" i="36"/>
  <c r="F184" i="36"/>
  <c r="I184" i="36" s="1"/>
  <c r="E184" i="36"/>
  <c r="F183" i="36"/>
  <c r="I183" i="36" s="1"/>
  <c r="E183" i="36"/>
  <c r="F182" i="36"/>
  <c r="I182" i="36" s="1"/>
  <c r="E182" i="36"/>
  <c r="F181" i="36"/>
  <c r="I181" i="36" s="1"/>
  <c r="E181" i="36"/>
  <c r="F180" i="36"/>
  <c r="I180" i="36" s="1"/>
  <c r="E180" i="36"/>
  <c r="F179" i="36"/>
  <c r="I179" i="36" s="1"/>
  <c r="E179" i="36"/>
  <c r="F178" i="36"/>
  <c r="I178" i="36" s="1"/>
  <c r="E178" i="36"/>
  <c r="F177" i="36"/>
  <c r="I177" i="36" s="1"/>
  <c r="E177" i="36"/>
  <c r="F176" i="36"/>
  <c r="I176" i="36" s="1"/>
  <c r="E176" i="36"/>
  <c r="F175" i="36"/>
  <c r="I175" i="36" s="1"/>
  <c r="E175" i="36"/>
  <c r="F174" i="36"/>
  <c r="I174" i="36" s="1"/>
  <c r="E174" i="36"/>
  <c r="F173" i="36"/>
  <c r="I173" i="36" s="1"/>
  <c r="E173" i="36"/>
  <c r="F172" i="36"/>
  <c r="I172" i="36" s="1"/>
  <c r="E172" i="36"/>
  <c r="F171" i="36"/>
  <c r="I171" i="36" s="1"/>
  <c r="E171" i="36"/>
  <c r="F170" i="36"/>
  <c r="I170" i="36" s="1"/>
  <c r="E170" i="36"/>
  <c r="F169" i="36"/>
  <c r="I169" i="36" s="1"/>
  <c r="E169" i="36"/>
  <c r="F168" i="36"/>
  <c r="I168" i="36" s="1"/>
  <c r="E168" i="36"/>
  <c r="F167" i="36"/>
  <c r="I167" i="36" s="1"/>
  <c r="E167" i="36"/>
  <c r="F166" i="36"/>
  <c r="I166" i="36" s="1"/>
  <c r="E166" i="36"/>
  <c r="F165" i="36"/>
  <c r="I165" i="36" s="1"/>
  <c r="E165" i="36"/>
  <c r="F164" i="36"/>
  <c r="I164" i="36" s="1"/>
  <c r="E164" i="36"/>
  <c r="F163" i="36"/>
  <c r="I163" i="36" s="1"/>
  <c r="E163" i="36"/>
  <c r="F162" i="36"/>
  <c r="I162" i="36" s="1"/>
  <c r="E162" i="36"/>
  <c r="F161" i="36"/>
  <c r="I161" i="36" s="1"/>
  <c r="E161" i="36"/>
  <c r="F160" i="36"/>
  <c r="I160" i="36" s="1"/>
  <c r="E160" i="36"/>
  <c r="F159" i="36"/>
  <c r="I159" i="36" s="1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F154" i="36"/>
  <c r="I154" i="36" s="1"/>
  <c r="E154" i="36"/>
  <c r="F153" i="36"/>
  <c r="I153" i="36" s="1"/>
  <c r="E153" i="36"/>
  <c r="F152" i="36"/>
  <c r="I152" i="36" s="1"/>
  <c r="E152" i="36"/>
  <c r="F151" i="36"/>
  <c r="I151" i="36" s="1"/>
  <c r="E151" i="36"/>
  <c r="F150" i="36"/>
  <c r="I150" i="36" s="1"/>
  <c r="E150" i="36"/>
  <c r="F149" i="36"/>
  <c r="I149" i="36" s="1"/>
  <c r="E149" i="36"/>
  <c r="F148" i="36"/>
  <c r="I148" i="36" s="1"/>
  <c r="E148" i="36"/>
  <c r="F147" i="36"/>
  <c r="I147" i="36" s="1"/>
  <c r="E147" i="36"/>
  <c r="F146" i="36"/>
  <c r="I146" i="36" s="1"/>
  <c r="E146" i="36"/>
  <c r="F145" i="36"/>
  <c r="I145" i="36" s="1"/>
  <c r="E145" i="36"/>
  <c r="F144" i="36"/>
  <c r="I144" i="36" s="1"/>
  <c r="E144" i="36"/>
  <c r="F143" i="36"/>
  <c r="I143" i="36" s="1"/>
  <c r="E143" i="36"/>
  <c r="F142" i="36"/>
  <c r="I142" i="36" s="1"/>
  <c r="E142" i="36"/>
  <c r="F141" i="36"/>
  <c r="I141" i="36" s="1"/>
  <c r="E141" i="36"/>
  <c r="F140" i="36"/>
  <c r="I140" i="36" s="1"/>
  <c r="E140" i="36"/>
  <c r="F139" i="36"/>
  <c r="I139" i="36" s="1"/>
  <c r="E139" i="36"/>
  <c r="F138" i="36"/>
  <c r="I138" i="36" s="1"/>
  <c r="E138" i="36"/>
  <c r="F137" i="36"/>
  <c r="I137" i="36" s="1"/>
  <c r="E137" i="36"/>
  <c r="F136" i="36"/>
  <c r="I136" i="36" s="1"/>
  <c r="E136" i="36"/>
  <c r="F135" i="36"/>
  <c r="I135" i="36" s="1"/>
  <c r="E135" i="36"/>
  <c r="F134" i="36"/>
  <c r="I134" i="36" s="1"/>
  <c r="E134" i="36"/>
  <c r="F133" i="36"/>
  <c r="I133" i="36" s="1"/>
  <c r="E133" i="36"/>
  <c r="F132" i="36"/>
  <c r="I132" i="36" s="1"/>
  <c r="E132" i="36"/>
  <c r="F131" i="36"/>
  <c r="I131" i="36" s="1"/>
  <c r="E131" i="36"/>
  <c r="F130" i="36"/>
  <c r="I130" i="36" s="1"/>
  <c r="E130" i="36"/>
  <c r="F129" i="36"/>
  <c r="I129" i="36" s="1"/>
  <c r="E129" i="36"/>
  <c r="F128" i="36"/>
  <c r="I128" i="36" s="1"/>
  <c r="E128" i="36"/>
  <c r="F127" i="36"/>
  <c r="I127" i="36" s="1"/>
  <c r="E127" i="36"/>
  <c r="F126" i="36"/>
  <c r="I126" i="36" s="1"/>
  <c r="E126" i="36"/>
  <c r="F125" i="36"/>
  <c r="I125" i="36" s="1"/>
  <c r="E125" i="36"/>
  <c r="F124" i="36"/>
  <c r="I124" i="36" s="1"/>
  <c r="E124" i="36"/>
  <c r="F123" i="36"/>
  <c r="I123" i="36" s="1"/>
  <c r="E123" i="36"/>
  <c r="F122" i="36"/>
  <c r="I122" i="36" s="1"/>
  <c r="E122" i="36"/>
  <c r="F121" i="36"/>
  <c r="I121" i="36" s="1"/>
  <c r="E121" i="36"/>
  <c r="F120" i="36"/>
  <c r="I120" i="36" s="1"/>
  <c r="E120" i="36"/>
  <c r="F119" i="36"/>
  <c r="I119" i="36" s="1"/>
  <c r="E119" i="36"/>
  <c r="F118" i="36"/>
  <c r="I118" i="36" s="1"/>
  <c r="E118" i="36"/>
  <c r="F117" i="36"/>
  <c r="I117" i="36" s="1"/>
  <c r="E117" i="36"/>
  <c r="F116" i="36"/>
  <c r="I116" i="36" s="1"/>
  <c r="E116" i="36"/>
  <c r="F115" i="36"/>
  <c r="I115" i="36" s="1"/>
  <c r="E115" i="36"/>
  <c r="F114" i="36"/>
  <c r="I114" i="36" s="1"/>
  <c r="E114" i="36"/>
  <c r="F113" i="36"/>
  <c r="I113" i="36" s="1"/>
  <c r="E113" i="36"/>
  <c r="F112" i="36"/>
  <c r="I112" i="36" s="1"/>
  <c r="E112" i="36"/>
  <c r="F111" i="36"/>
  <c r="I111" i="36" s="1"/>
  <c r="E111" i="36"/>
  <c r="F110" i="36"/>
  <c r="I110" i="36" s="1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F105" i="36"/>
  <c r="I105" i="36" s="1"/>
  <c r="E105" i="36"/>
  <c r="F104" i="36"/>
  <c r="I104" i="36" s="1"/>
  <c r="E104" i="36"/>
  <c r="F103" i="36"/>
  <c r="I103" i="36" s="1"/>
  <c r="E103" i="36"/>
  <c r="F102" i="36"/>
  <c r="I102" i="36" s="1"/>
  <c r="E102" i="36"/>
  <c r="F101" i="36"/>
  <c r="I101" i="36" s="1"/>
  <c r="E101" i="36"/>
  <c r="F100" i="36"/>
  <c r="I100" i="36" s="1"/>
  <c r="E100" i="36"/>
  <c r="F99" i="36"/>
  <c r="I99" i="36" s="1"/>
  <c r="E99" i="36"/>
  <c r="F98" i="36"/>
  <c r="I98" i="36" s="1"/>
  <c r="E98" i="36"/>
  <c r="F97" i="36"/>
  <c r="I97" i="36" s="1"/>
  <c r="E97" i="36"/>
  <c r="F96" i="36"/>
  <c r="I96" i="36" s="1"/>
  <c r="E96" i="36"/>
  <c r="F95" i="36"/>
  <c r="I95" i="36" s="1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F83" i="36"/>
  <c r="I83" i="36" s="1"/>
  <c r="E83" i="36"/>
  <c r="F82" i="36"/>
  <c r="I82" i="36" s="1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F75" i="36"/>
  <c r="I75" i="36" s="1"/>
  <c r="E75" i="36"/>
  <c r="F74" i="36"/>
  <c r="I74" i="36" s="1"/>
  <c r="E74" i="36"/>
  <c r="F73" i="36"/>
  <c r="I73" i="36" s="1"/>
  <c r="E73" i="36"/>
  <c r="F72" i="36"/>
  <c r="I72" i="36" s="1"/>
  <c r="E72" i="36"/>
  <c r="F71" i="36"/>
  <c r="I71" i="36" s="1"/>
  <c r="E71" i="36"/>
  <c r="F70" i="36"/>
  <c r="I70" i="36" s="1"/>
  <c r="E70" i="36"/>
  <c r="F69" i="36"/>
  <c r="I69" i="36" s="1"/>
  <c r="E69" i="36"/>
  <c r="F68" i="36"/>
  <c r="I68" i="36" s="1"/>
  <c r="E68" i="36"/>
  <c r="F67" i="36"/>
  <c r="I67" i="36" s="1"/>
  <c r="E67" i="36"/>
  <c r="F66" i="36"/>
  <c r="I66" i="36" s="1"/>
  <c r="E66" i="36"/>
  <c r="F65" i="36"/>
  <c r="I65" i="36" s="1"/>
  <c r="E65" i="36"/>
  <c r="F64" i="36"/>
  <c r="I64" i="36" s="1"/>
  <c r="E64" i="36"/>
  <c r="F63" i="36"/>
  <c r="I63" i="36" s="1"/>
  <c r="E63" i="36"/>
  <c r="F62" i="36"/>
  <c r="I62" i="36" s="1"/>
  <c r="E62" i="36"/>
  <c r="F61" i="36"/>
  <c r="I61" i="36" s="1"/>
  <c r="E61" i="36"/>
  <c r="F60" i="36"/>
  <c r="I60" i="36" s="1"/>
  <c r="E60" i="36"/>
  <c r="F59" i="36"/>
  <c r="I59" i="36" s="1"/>
  <c r="E59" i="36"/>
  <c r="F58" i="36"/>
  <c r="I58" i="36" s="1"/>
  <c r="E58" i="36"/>
  <c r="F57" i="36"/>
  <c r="I57" i="36" s="1"/>
  <c r="E57" i="36"/>
  <c r="F56" i="36"/>
  <c r="I56" i="36" s="1"/>
  <c r="E56" i="36"/>
  <c r="F55" i="36"/>
  <c r="I55" i="36" s="1"/>
  <c r="E55" i="36"/>
  <c r="F54" i="36"/>
  <c r="I54" i="36" s="1"/>
  <c r="E54" i="36"/>
  <c r="F53" i="36"/>
  <c r="I53" i="36" s="1"/>
  <c r="E53" i="36"/>
  <c r="F52" i="36"/>
  <c r="I52" i="36" s="1"/>
  <c r="E52" i="36"/>
  <c r="F51" i="36"/>
  <c r="I51" i="36" s="1"/>
  <c r="E51" i="36"/>
  <c r="F50" i="36"/>
  <c r="I50" i="36" s="1"/>
  <c r="E50" i="36"/>
  <c r="F49" i="36"/>
  <c r="I49" i="36" s="1"/>
  <c r="E49" i="36"/>
  <c r="F48" i="36"/>
  <c r="I48" i="36" s="1"/>
  <c r="E48" i="36"/>
  <c r="F47" i="36"/>
  <c r="I47" i="36" s="1"/>
  <c r="E47" i="36"/>
  <c r="F46" i="36"/>
  <c r="I46" i="36" s="1"/>
  <c r="E46" i="36"/>
  <c r="F45" i="36"/>
  <c r="I45" i="36" s="1"/>
  <c r="E45" i="36"/>
  <c r="F44" i="36"/>
  <c r="I44" i="36" s="1"/>
  <c r="E44" i="36"/>
  <c r="F43" i="36"/>
  <c r="I43" i="36" s="1"/>
  <c r="E43" i="36"/>
  <c r="F42" i="36"/>
  <c r="I42" i="36" s="1"/>
  <c r="E42" i="36"/>
  <c r="F41" i="36"/>
  <c r="I41" i="36" s="1"/>
  <c r="E41" i="36"/>
  <c r="F40" i="36"/>
  <c r="I40" i="36" s="1"/>
  <c r="E40" i="36"/>
  <c r="F39" i="36"/>
  <c r="I39" i="36" s="1"/>
  <c r="E39" i="36"/>
  <c r="F38" i="36"/>
  <c r="I38" i="36" s="1"/>
  <c r="E38" i="36"/>
  <c r="F37" i="36"/>
  <c r="I37" i="36" s="1"/>
  <c r="E37" i="36"/>
  <c r="F36" i="36"/>
  <c r="I36" i="36" s="1"/>
  <c r="E36" i="36"/>
  <c r="F35" i="36"/>
  <c r="I35" i="36" s="1"/>
  <c r="E35" i="36"/>
  <c r="E34" i="36"/>
  <c r="E33" i="36"/>
  <c r="F76" i="57"/>
  <c r="H76" i="57"/>
  <c r="F75" i="57"/>
  <c r="H75" i="57"/>
  <c r="F74" i="57"/>
  <c r="H74" i="57"/>
  <c r="F73" i="57"/>
  <c r="H73" i="57"/>
  <c r="F72" i="57"/>
  <c r="H72" i="57"/>
  <c r="F71" i="57"/>
  <c r="H71" i="57"/>
  <c r="L1" i="56" l="1"/>
  <c r="F34" i="36"/>
  <c r="I34" i="36" s="1"/>
  <c r="G93" i="47"/>
  <c r="G89" i="47" l="1"/>
  <c r="G91" i="47"/>
  <c r="G90" i="47"/>
  <c r="G92" i="47"/>
  <c r="G85" i="47"/>
  <c r="G86" i="47"/>
  <c r="G87" i="47"/>
  <c r="G88" i="47"/>
  <c r="G82" i="47"/>
  <c r="G83" i="47"/>
  <c r="G84" i="47"/>
  <c r="G78" i="47"/>
  <c r="G79" i="47"/>
  <c r="G80" i="47"/>
  <c r="G81" i="47"/>
  <c r="G76" i="47"/>
  <c r="G77" i="47"/>
  <c r="G73" i="47"/>
  <c r="G74" i="47"/>
  <c r="G75" i="47"/>
  <c r="G71" i="47"/>
  <c r="G72" i="47"/>
  <c r="G60" i="47"/>
  <c r="G67" i="47"/>
  <c r="G68" i="47"/>
  <c r="G69" i="47"/>
  <c r="G70" i="47"/>
  <c r="G61" i="47"/>
  <c r="G65" i="47"/>
  <c r="G62" i="47"/>
  <c r="G66" i="47"/>
  <c r="G64" i="47"/>
  <c r="G63" i="47"/>
  <c r="G56" i="47"/>
  <c r="G57" i="47"/>
  <c r="G59" i="47"/>
  <c r="G58" i="47"/>
  <c r="G53" i="47"/>
  <c r="G55" i="47"/>
  <c r="G54" i="47"/>
  <c r="G48" i="47"/>
  <c r="G49" i="47"/>
  <c r="G50" i="47"/>
  <c r="G51" i="47"/>
  <c r="G52" i="47"/>
  <c r="G44" i="47"/>
  <c r="G45" i="47"/>
  <c r="G47" i="47"/>
  <c r="G46" i="47"/>
  <c r="G42" i="47"/>
  <c r="G43" i="47"/>
  <c r="G40" i="47"/>
  <c r="G41" i="47"/>
  <c r="G35" i="47"/>
  <c r="G36" i="47"/>
  <c r="G37" i="47"/>
  <c r="G38" i="47"/>
  <c r="G39" i="47"/>
  <c r="G32" i="47"/>
  <c r="G33" i="47"/>
  <c r="G34" i="47"/>
  <c r="G95" i="47"/>
  <c r="G3" i="47"/>
  <c r="G7" i="47"/>
  <c r="G11" i="47"/>
  <c r="G15" i="47"/>
  <c r="G19" i="47"/>
  <c r="G23" i="47"/>
  <c r="G27" i="47"/>
  <c r="G31" i="47"/>
  <c r="G4" i="47"/>
  <c r="G8" i="47"/>
  <c r="G12" i="47"/>
  <c r="G16" i="47"/>
  <c r="G20" i="47"/>
  <c r="G24" i="47"/>
  <c r="G28" i="47"/>
  <c r="G5" i="47"/>
  <c r="G9" i="47"/>
  <c r="G13" i="47"/>
  <c r="G17" i="47"/>
  <c r="G21" i="47"/>
  <c r="G25" i="47"/>
  <c r="G29" i="47"/>
  <c r="G94" i="47"/>
  <c r="G2" i="47"/>
  <c r="G6" i="47"/>
  <c r="G10" i="47"/>
  <c r="G14" i="47"/>
  <c r="G18" i="47"/>
  <c r="G22" i="47"/>
  <c r="G26" i="47"/>
  <c r="G30" i="47"/>
  <c r="J47" i="50" l="1"/>
  <c r="O47" i="50"/>
  <c r="J46" i="50"/>
  <c r="O46" i="50"/>
  <c r="F70" i="57"/>
  <c r="H70" i="57"/>
  <c r="F69" i="57"/>
  <c r="H69" i="57"/>
  <c r="F68" i="57"/>
  <c r="H68" i="57"/>
  <c r="C367" i="36"/>
  <c r="J44" i="50"/>
  <c r="J45" i="50"/>
  <c r="O44" i="50"/>
  <c r="O45" i="50"/>
  <c r="J43" i="50"/>
  <c r="O43" i="50"/>
  <c r="F33" i="36" l="1"/>
  <c r="I33" i="36" s="1"/>
  <c r="J42" i="50"/>
  <c r="O42" i="50"/>
  <c r="J41" i="50"/>
  <c r="O41" i="50"/>
  <c r="F67" i="57"/>
  <c r="H67" i="57"/>
  <c r="F66" i="57"/>
  <c r="H66" i="57"/>
  <c r="F65" i="57"/>
  <c r="H65" i="57"/>
  <c r="J40" i="50" l="1"/>
  <c r="O40" i="50"/>
  <c r="J38" i="50" l="1"/>
  <c r="J39" i="50"/>
  <c r="O38" i="50"/>
  <c r="O39" i="50"/>
  <c r="F2" i="51"/>
  <c r="F3" i="51"/>
  <c r="F4" i="51"/>
  <c r="F5" i="51"/>
  <c r="F6" i="51"/>
  <c r="F7" i="51"/>
  <c r="F8" i="51"/>
  <c r="F9" i="51"/>
  <c r="F10" i="51"/>
  <c r="F11" i="51"/>
  <c r="F12" i="51"/>
  <c r="J37" i="50" l="1"/>
  <c r="O37" i="50"/>
  <c r="J36" i="50"/>
  <c r="O36" i="50"/>
  <c r="J35" i="50" l="1"/>
  <c r="O35" i="50"/>
  <c r="J34" i="50"/>
  <c r="O34" i="50"/>
  <c r="J33" i="50"/>
  <c r="O33" i="50"/>
  <c r="F64" i="57"/>
  <c r="H64" i="57"/>
  <c r="F63" i="57"/>
  <c r="H63" i="57"/>
  <c r="F62" i="57"/>
  <c r="H62" i="57"/>
  <c r="F61" i="57"/>
  <c r="H61" i="57"/>
  <c r="F60" i="57"/>
  <c r="H60" i="57"/>
  <c r="F59" i="57"/>
  <c r="H59" i="57"/>
  <c r="F58" i="57"/>
  <c r="H58" i="57"/>
  <c r="F57" i="57"/>
  <c r="H57" i="57"/>
  <c r="F56" i="57" l="1"/>
  <c r="H56" i="57"/>
  <c r="F55" i="57"/>
  <c r="H55" i="57"/>
  <c r="F54" i="57"/>
  <c r="H54" i="57"/>
  <c r="F53" i="57"/>
  <c r="H53" i="57"/>
  <c r="F52" i="57"/>
  <c r="H52" i="57"/>
  <c r="F51" i="57"/>
  <c r="H51" i="57"/>
  <c r="F50" i="57"/>
  <c r="H50" i="57"/>
  <c r="F49" i="57"/>
  <c r="H49" i="57"/>
  <c r="F48" i="57"/>
  <c r="H48" i="57"/>
  <c r="F47" i="57"/>
  <c r="H47" i="57"/>
  <c r="F46" i="57"/>
  <c r="H46" i="57"/>
  <c r="F45" i="57"/>
  <c r="H45" i="57"/>
  <c r="J30" i="50"/>
  <c r="J31" i="50"/>
  <c r="J32" i="50"/>
  <c r="O30" i="50"/>
  <c r="O31" i="50"/>
  <c r="O32" i="50"/>
  <c r="J29" i="50"/>
  <c r="O29" i="50"/>
  <c r="J27" i="50" l="1"/>
  <c r="J28" i="50"/>
  <c r="O27" i="50"/>
  <c r="O28" i="50"/>
  <c r="F44" i="57" l="1"/>
  <c r="H44" i="57"/>
  <c r="F43" i="57"/>
  <c r="H43" i="57"/>
  <c r="F42" i="57"/>
  <c r="H42" i="57"/>
  <c r="F41" i="57"/>
  <c r="H41" i="57"/>
  <c r="F40" i="57"/>
  <c r="H40" i="57"/>
  <c r="J25" i="50"/>
  <c r="J26" i="50"/>
  <c r="O25" i="50"/>
  <c r="O26" i="50"/>
  <c r="J24" i="50" l="1"/>
  <c r="O24" i="50"/>
  <c r="J23" i="50"/>
  <c r="O23" i="50"/>
  <c r="J22" i="50"/>
  <c r="O22" i="50"/>
  <c r="T21" i="50" l="1"/>
  <c r="J21" i="50"/>
  <c r="O21" i="50"/>
  <c r="J20" i="50"/>
  <c r="O20" i="50"/>
  <c r="J19" i="50"/>
  <c r="O19" i="50"/>
  <c r="F39" i="57" l="1"/>
  <c r="H39" i="57"/>
  <c r="F38" i="57"/>
  <c r="H38" i="57"/>
  <c r="F37" i="57"/>
  <c r="H37" i="57"/>
  <c r="F36" i="57"/>
  <c r="H36" i="57"/>
  <c r="F35" i="57"/>
  <c r="H35" i="57"/>
  <c r="F34" i="57"/>
  <c r="H34" i="57"/>
  <c r="F33" i="57"/>
  <c r="H33" i="57"/>
  <c r="F32" i="57"/>
  <c r="H32" i="57"/>
  <c r="F31" i="57"/>
  <c r="H31" i="57"/>
  <c r="F30" i="57"/>
  <c r="H30" i="57"/>
  <c r="C2" i="36" l="1"/>
  <c r="F29" i="57"/>
  <c r="H29" i="57"/>
  <c r="F28" i="57"/>
  <c r="H28" i="57"/>
  <c r="F27" i="57"/>
  <c r="H27" i="57"/>
  <c r="F26" i="57"/>
  <c r="H26" i="57"/>
  <c r="F25" i="57"/>
  <c r="H25" i="57"/>
  <c r="O12" i="50"/>
  <c r="J16" i="50"/>
  <c r="J17" i="50"/>
  <c r="J18" i="50"/>
  <c r="O16" i="50"/>
  <c r="O17" i="50"/>
  <c r="O18" i="50"/>
  <c r="F24" i="57"/>
  <c r="H24" i="57"/>
  <c r="F23" i="57"/>
  <c r="H23" i="57"/>
  <c r="F22" i="57"/>
  <c r="H22" i="57"/>
  <c r="F21" i="57"/>
  <c r="H21" i="57"/>
  <c r="F20" i="57"/>
  <c r="H20" i="57"/>
  <c r="F19" i="57"/>
  <c r="H19" i="57"/>
  <c r="F18" i="57"/>
  <c r="H18" i="57"/>
  <c r="F17" i="57"/>
  <c r="H17" i="57"/>
  <c r="J15" i="50"/>
  <c r="O15" i="50"/>
  <c r="J14" i="50"/>
  <c r="O14" i="50"/>
  <c r="J13" i="50"/>
  <c r="O13" i="50"/>
  <c r="J12" i="50"/>
  <c r="J11" i="50"/>
  <c r="O11" i="50"/>
  <c r="F16" i="57"/>
  <c r="H16" i="57"/>
  <c r="F15" i="57"/>
  <c r="H15" i="57"/>
  <c r="F14" i="57"/>
  <c r="H14" i="57"/>
  <c r="F13" i="57"/>
  <c r="H13" i="57"/>
  <c r="F12" i="57"/>
  <c r="H12" i="57"/>
  <c r="F11" i="57"/>
  <c r="H11" i="57"/>
  <c r="J10" i="50"/>
  <c r="O10" i="50"/>
  <c r="J9" i="50"/>
  <c r="O9" i="50"/>
  <c r="J8" i="50" l="1"/>
  <c r="O8" i="50"/>
  <c r="J7" i="50"/>
  <c r="O7" i="50"/>
  <c r="J6" i="50"/>
  <c r="O6" i="50"/>
  <c r="F7" i="57" l="1"/>
  <c r="H7" i="57"/>
  <c r="F6" i="57"/>
  <c r="H6" i="57"/>
  <c r="F5" i="57"/>
  <c r="H5" i="57"/>
  <c r="E2" i="36" l="1"/>
  <c r="H2" i="57" l="1"/>
  <c r="H3" i="57"/>
  <c r="H4" i="57"/>
  <c r="H8" i="57"/>
  <c r="H9" i="57"/>
  <c r="H10" i="57"/>
  <c r="M1" i="56" l="1"/>
  <c r="F10" i="57"/>
  <c r="F9" i="57" l="1"/>
  <c r="F8" i="57" l="1"/>
  <c r="F2" i="57" l="1"/>
  <c r="F3" i="57"/>
  <c r="F4" i="57"/>
  <c r="F2" i="36" l="1"/>
  <c r="I2" i="36" s="1"/>
  <c r="C3" i="36" l="1"/>
  <c r="E3" i="36" l="1"/>
  <c r="F3" i="36"/>
  <c r="I3" i="36" s="1"/>
  <c r="C4" i="36"/>
  <c r="E4" i="36" l="1"/>
  <c r="C5" i="36"/>
  <c r="F4" i="36"/>
  <c r="I4" i="36" s="1"/>
  <c r="E5" i="36" l="1"/>
  <c r="C6" i="36"/>
  <c r="F5" i="36"/>
  <c r="I5" i="36" s="1"/>
  <c r="E6" i="36"/>
  <c r="C7" i="36" l="1"/>
  <c r="F6" i="36"/>
  <c r="I6" i="36" s="1"/>
  <c r="F7" i="36" l="1"/>
  <c r="I7" i="36" s="1"/>
  <c r="C8" i="36"/>
  <c r="E7" i="36"/>
  <c r="F8" i="36" l="1"/>
  <c r="I8" i="36" s="1"/>
  <c r="C9" i="36"/>
  <c r="E8" i="36"/>
  <c r="E9" i="36" l="1"/>
  <c r="C10" i="36"/>
  <c r="F9" i="36"/>
  <c r="I9" i="36" s="1"/>
  <c r="E10" i="36"/>
  <c r="C11" i="36" l="1"/>
  <c r="F10" i="36"/>
  <c r="I10" i="36" s="1"/>
  <c r="C12" i="36" l="1"/>
  <c r="F11" i="36"/>
  <c r="I11" i="36" s="1"/>
  <c r="E11" i="36"/>
  <c r="F12" i="36" l="1"/>
  <c r="I12" i="36" s="1"/>
  <c r="C13" i="36"/>
  <c r="E12" i="36"/>
  <c r="E13" i="36" l="1"/>
  <c r="F13" i="36"/>
  <c r="I13" i="36" s="1"/>
  <c r="E14" i="36" l="1"/>
  <c r="C14" i="36"/>
  <c r="F14" i="36"/>
  <c r="I14" i="36" s="1"/>
  <c r="F15" i="36" l="1"/>
  <c r="I15" i="36" s="1"/>
  <c r="C15" i="36"/>
  <c r="C16" i="36"/>
  <c r="E15" i="36"/>
  <c r="E16" i="36"/>
  <c r="C17" i="36" l="1"/>
  <c r="F16" i="36"/>
  <c r="I16" i="36" s="1"/>
  <c r="E17" i="36" l="1"/>
  <c r="E18" i="36"/>
  <c r="F17" i="36"/>
  <c r="I17" i="36" s="1"/>
  <c r="C18" i="36" l="1"/>
  <c r="F18" i="36"/>
  <c r="I18" i="36" s="1"/>
  <c r="E19" i="36" l="1"/>
  <c r="C19" i="36"/>
  <c r="F19" i="36"/>
  <c r="I19" i="36" s="1"/>
  <c r="E20" i="36" l="1"/>
  <c r="F20" i="36"/>
  <c r="I20" i="36" s="1"/>
  <c r="F21" i="36" l="1"/>
  <c r="I21" i="36" s="1"/>
  <c r="C22" i="36"/>
  <c r="E21" i="36"/>
  <c r="F22" i="36" l="1"/>
  <c r="I22" i="36" s="1"/>
  <c r="E22" i="36"/>
  <c r="E23" i="36" l="1"/>
  <c r="C23" i="36"/>
  <c r="F23" i="36"/>
  <c r="I23" i="36" s="1"/>
  <c r="F24" i="36" l="1"/>
  <c r="I24" i="36" s="1"/>
  <c r="C24" i="36"/>
  <c r="E24" i="36"/>
  <c r="F25" i="36" l="1"/>
  <c r="I25" i="36" s="1"/>
  <c r="C25" i="36"/>
  <c r="E25" i="36"/>
  <c r="E26" i="36" l="1"/>
  <c r="C26" i="36"/>
  <c r="F26" i="36"/>
  <c r="I26" i="36" s="1"/>
  <c r="E27" i="36" l="1"/>
  <c r="C27" i="36"/>
  <c r="F27" i="36"/>
  <c r="I27" i="36" s="1"/>
  <c r="C28" i="36" l="1"/>
  <c r="F28" i="36"/>
  <c r="I28" i="36" s="1"/>
  <c r="C29" i="36"/>
  <c r="E28" i="36"/>
  <c r="F29" i="36" l="1"/>
  <c r="I29" i="36" s="1"/>
  <c r="C30" i="36"/>
  <c r="E29" i="36"/>
  <c r="E30" i="36" l="1"/>
  <c r="C31" i="36"/>
  <c r="F30" i="36"/>
  <c r="I30" i="36" s="1"/>
  <c r="E31" i="36" l="1"/>
  <c r="F31" i="36"/>
  <c r="I31" i="36" s="1"/>
  <c r="C32" i="36" l="1"/>
  <c r="E32" i="36"/>
  <c r="F32" i="36"/>
  <c r="I32" i="36" s="1"/>
  <c r="C33" i="36" l="1"/>
  <c r="C34" i="36" l="1"/>
  <c r="C35" i="36" l="1"/>
  <c r="C36" i="36" l="1"/>
  <c r="C37" i="36" l="1"/>
  <c r="C38" i="36" l="1"/>
  <c r="C39" i="36" l="1"/>
  <c r="C40" i="36" l="1"/>
  <c r="C41" i="36" l="1"/>
  <c r="C42" i="36" l="1"/>
  <c r="C43" i="36" l="1"/>
  <c r="C44" i="36" l="1"/>
  <c r="C45" i="36" l="1"/>
  <c r="C46" i="36" l="1"/>
  <c r="C47" i="36" l="1"/>
  <c r="C48" i="36" l="1"/>
  <c r="C49" i="36" l="1"/>
  <c r="C50" i="36" l="1"/>
  <c r="C51" i="36" l="1"/>
  <c r="C52" i="36" l="1"/>
  <c r="C53" i="36" l="1"/>
  <c r="C54" i="36" l="1"/>
  <c r="C55" i="36" l="1"/>
  <c r="C56" i="36" l="1"/>
  <c r="C57" i="36" l="1"/>
  <c r="C58" i="36" l="1"/>
  <c r="C59" i="36" l="1"/>
  <c r="C60" i="36" l="1"/>
  <c r="C61" i="36" l="1"/>
  <c r="C62" i="36" l="1"/>
  <c r="C63" i="36" l="1"/>
  <c r="C64" i="36" l="1"/>
  <c r="C65" i="36" l="1"/>
  <c r="C66" i="36" l="1"/>
  <c r="C67" i="36" l="1"/>
  <c r="C68" i="36" l="1"/>
  <c r="C69" i="36" l="1"/>
  <c r="C70" i="36" l="1"/>
  <c r="C71" i="36" l="1"/>
  <c r="C72" i="36" l="1"/>
  <c r="C73" i="36" l="1"/>
  <c r="C74" i="36" l="1"/>
  <c r="C75" i="36" l="1"/>
  <c r="C76" i="36" l="1"/>
  <c r="C77" i="36" l="1"/>
  <c r="C78" i="36" l="1"/>
  <c r="C79" i="36" l="1"/>
  <c r="C80" i="36" l="1"/>
  <c r="C81" i="36" l="1"/>
  <c r="C82" i="36" l="1"/>
  <c r="C83" i="36" l="1"/>
  <c r="C84" i="36" l="1"/>
  <c r="C85" i="36" l="1"/>
  <c r="C86" i="36" l="1"/>
  <c r="C87" i="36" l="1"/>
  <c r="C88" i="36" l="1"/>
  <c r="C89" i="36" l="1"/>
  <c r="C90" i="36" l="1"/>
  <c r="C91" i="36" l="1"/>
  <c r="C92" i="36" l="1"/>
  <c r="C93" i="36" l="1"/>
  <c r="C94" i="36" l="1"/>
  <c r="C95" i="36" l="1"/>
  <c r="C96" i="36" l="1"/>
  <c r="C97" i="36" l="1"/>
  <c r="C98" i="36" l="1"/>
  <c r="C99" i="36" l="1"/>
  <c r="C100" i="36" l="1"/>
  <c r="C101" i="36" l="1"/>
  <c r="C102" i="36" l="1"/>
  <c r="C103" i="36" l="1"/>
  <c r="C104" i="36" l="1"/>
  <c r="C105" i="36" l="1"/>
  <c r="C106" i="36" l="1"/>
  <c r="C107" i="36" l="1"/>
  <c r="C108" i="36" l="1"/>
  <c r="C109" i="36" l="1"/>
  <c r="C110" i="36" l="1"/>
  <c r="C111" i="36" l="1"/>
  <c r="C112" i="36" l="1"/>
  <c r="C113" i="36" l="1"/>
  <c r="C114" i="36" l="1"/>
  <c r="C115" i="36" l="1"/>
  <c r="C116" i="36" l="1"/>
  <c r="C117" i="36" l="1"/>
  <c r="C118" i="36" l="1"/>
  <c r="C119" i="36" l="1"/>
  <c r="C120" i="36" l="1"/>
  <c r="C121" i="36" l="1"/>
  <c r="C122" i="36" l="1"/>
  <c r="C123" i="36" l="1"/>
  <c r="C124" i="36" l="1"/>
  <c r="C125" i="36" l="1"/>
  <c r="C126" i="36" l="1"/>
  <c r="C127" i="36" l="1"/>
  <c r="C128" i="36" l="1"/>
  <c r="C129" i="36" l="1"/>
  <c r="C130" i="36" l="1"/>
  <c r="C131" i="36" l="1"/>
  <c r="C132" i="36" l="1"/>
  <c r="C133" i="36" l="1"/>
  <c r="C134" i="36" l="1"/>
  <c r="C135" i="36" l="1"/>
  <c r="C136" i="36" l="1"/>
  <c r="C137" i="36" l="1"/>
  <c r="C138" i="36" l="1"/>
  <c r="C139" i="36" l="1"/>
  <c r="C140" i="36" l="1"/>
  <c r="C141" i="36" l="1"/>
  <c r="C142" i="36" l="1"/>
  <c r="C143" i="36" l="1"/>
  <c r="C144" i="36" l="1"/>
  <c r="C145" i="36" l="1"/>
  <c r="C146" i="36" l="1"/>
  <c r="C147" i="36" l="1"/>
  <c r="C148" i="36" l="1"/>
  <c r="C149" i="36" l="1"/>
  <c r="C150" i="36" l="1"/>
  <c r="C151" i="36" l="1"/>
  <c r="C152" i="36" l="1"/>
  <c r="C153" i="36" l="1"/>
  <c r="C154" i="36" l="1"/>
  <c r="C155" i="36" l="1"/>
  <c r="C156" i="36" l="1"/>
  <c r="C157" i="36" l="1"/>
  <c r="C158" i="36" l="1"/>
  <c r="C159" i="36" l="1"/>
  <c r="C160" i="36" l="1"/>
  <c r="C161" i="36" l="1"/>
  <c r="C162" i="36" l="1"/>
  <c r="C163" i="36" l="1"/>
  <c r="C164" i="36" l="1"/>
  <c r="C165" i="36" l="1"/>
  <c r="C166" i="36" l="1"/>
  <c r="C167" i="36" l="1"/>
  <c r="C168" i="36" l="1"/>
  <c r="C169" i="36" l="1"/>
  <c r="C170" i="36" l="1"/>
  <c r="C171" i="36" l="1"/>
  <c r="C172" i="36" l="1"/>
  <c r="C173" i="36" l="1"/>
  <c r="C174" i="36" l="1"/>
  <c r="C175" i="36" l="1"/>
  <c r="C176" i="36" l="1"/>
  <c r="C177" i="36" l="1"/>
  <c r="C178" i="36" l="1"/>
  <c r="C179" i="36" l="1"/>
  <c r="C180" i="36" l="1"/>
  <c r="C181" i="36" l="1"/>
  <c r="C182" i="36" l="1"/>
  <c r="C183" i="36" l="1"/>
  <c r="C184" i="36" l="1"/>
  <c r="C185" i="36" l="1"/>
  <c r="C186" i="36" l="1"/>
  <c r="C187" i="36" l="1"/>
  <c r="C188" i="36" l="1"/>
  <c r="C189" i="36" l="1"/>
  <c r="C190" i="36" l="1"/>
  <c r="C191" i="36" l="1"/>
  <c r="C192" i="36" l="1"/>
  <c r="C193" i="36" l="1"/>
  <c r="C194" i="36" l="1"/>
  <c r="C195" i="36" l="1"/>
  <c r="C196" i="36" l="1"/>
  <c r="C197" i="36" l="1"/>
  <c r="C198" i="36" l="1"/>
  <c r="C199" i="36" l="1"/>
  <c r="C200" i="36" l="1"/>
  <c r="C201" i="36" l="1"/>
  <c r="C202" i="36" l="1"/>
  <c r="C203" i="36" l="1"/>
  <c r="C204" i="36" l="1"/>
  <c r="C205" i="36" l="1"/>
  <c r="C206" i="36" l="1"/>
  <c r="C207" i="36" l="1"/>
  <c r="C208" i="36" l="1"/>
  <c r="C209" i="36" l="1"/>
  <c r="C210" i="36" l="1"/>
  <c r="C211" i="36" l="1"/>
  <c r="C212" i="36" l="1"/>
  <c r="C213" i="36" l="1"/>
  <c r="C214" i="36" l="1"/>
  <c r="C215" i="36" l="1"/>
  <c r="C216" i="36" l="1"/>
  <c r="C217" i="36" l="1"/>
  <c r="C218" i="36" l="1"/>
  <c r="C219" i="36" l="1"/>
  <c r="C220" i="36" l="1"/>
  <c r="C221" i="36" l="1"/>
  <c r="C222" i="36" l="1"/>
  <c r="C223" i="36" l="1"/>
  <c r="C224" i="36" l="1"/>
  <c r="C225" i="36" l="1"/>
  <c r="C226" i="36" l="1"/>
  <c r="C227" i="36" l="1"/>
  <c r="C228" i="36" l="1"/>
  <c r="C229" i="36" l="1"/>
  <c r="C230" i="36" l="1"/>
  <c r="C231" i="36" l="1"/>
  <c r="C232" i="36" l="1"/>
  <c r="C233" i="36" l="1"/>
  <c r="C234" i="36" l="1"/>
  <c r="C235" i="36" l="1"/>
  <c r="C236" i="36" l="1"/>
  <c r="C237" i="36" l="1"/>
  <c r="C238" i="36" l="1"/>
  <c r="C239" i="36" l="1"/>
  <c r="C240" i="36" l="1"/>
  <c r="C241" i="36" l="1"/>
  <c r="C242" i="36" l="1"/>
  <c r="C243" i="36" l="1"/>
  <c r="C244" i="36" l="1"/>
  <c r="C245" i="36" l="1"/>
  <c r="C246" i="36" l="1"/>
  <c r="C247" i="36" l="1"/>
  <c r="C248" i="36" l="1"/>
  <c r="C249" i="36" l="1"/>
  <c r="C250" i="36" l="1"/>
  <c r="C251" i="36" l="1"/>
  <c r="C252" i="36" l="1"/>
  <c r="C253" i="36" l="1"/>
  <c r="C254" i="36" l="1"/>
  <c r="C255" i="36" l="1"/>
  <c r="C256" i="36" l="1"/>
  <c r="C257" i="36" l="1"/>
  <c r="C258" i="36" l="1"/>
  <c r="C259" i="36" l="1"/>
  <c r="C260" i="36" l="1"/>
  <c r="C261" i="36" l="1"/>
  <c r="C262" i="36" l="1"/>
  <c r="C263" i="36" l="1"/>
  <c r="C264" i="36" l="1"/>
  <c r="C265" i="36" l="1"/>
  <c r="C266" i="36" l="1"/>
  <c r="C267" i="36" l="1"/>
  <c r="C268" i="36" l="1"/>
  <c r="C269" i="36" l="1"/>
  <c r="C270" i="36" l="1"/>
  <c r="C271" i="36" l="1"/>
  <c r="C272" i="36" l="1"/>
  <c r="C273" i="36" l="1"/>
  <c r="C274" i="36" l="1"/>
  <c r="C275" i="36" l="1"/>
  <c r="C276" i="36" l="1"/>
  <c r="C277" i="36" l="1"/>
  <c r="C278" i="36" l="1"/>
  <c r="C279" i="36" l="1"/>
  <c r="C280" i="36" l="1"/>
  <c r="C281" i="36" l="1"/>
  <c r="C282" i="36" l="1"/>
  <c r="C283" i="36" l="1"/>
  <c r="C284" i="36" l="1"/>
  <c r="C285" i="36" l="1"/>
  <c r="C286" i="36" l="1"/>
  <c r="C287" i="36" l="1"/>
  <c r="C288" i="36" l="1"/>
  <c r="C289" i="36" l="1"/>
  <c r="C290" i="36" l="1"/>
  <c r="C291" i="36" l="1"/>
  <c r="C292" i="36" l="1"/>
  <c r="C293" i="36" l="1"/>
  <c r="C294" i="36" l="1"/>
  <c r="C295" i="36" l="1"/>
  <c r="C296" i="36" l="1"/>
  <c r="C297" i="36" l="1"/>
  <c r="C298" i="36" l="1"/>
  <c r="C299" i="36" l="1"/>
  <c r="C300" i="36" l="1"/>
  <c r="C301" i="36" l="1"/>
  <c r="C302" i="36" l="1"/>
  <c r="C303" i="36" l="1"/>
  <c r="C304" i="36" l="1"/>
  <c r="C305" i="36" l="1"/>
  <c r="C306" i="36" l="1"/>
  <c r="C307" i="36" l="1"/>
  <c r="C308" i="36" l="1"/>
  <c r="C309" i="36" l="1"/>
  <c r="C310" i="36" l="1"/>
  <c r="C311" i="36" l="1"/>
  <c r="C312" i="36" l="1"/>
  <c r="C313" i="36" l="1"/>
  <c r="C314" i="36" l="1"/>
  <c r="C315" i="36" l="1"/>
  <c r="C316" i="36" l="1"/>
  <c r="C317" i="36" l="1"/>
  <c r="C318" i="36" l="1"/>
  <c r="C319" i="36" l="1"/>
  <c r="C320" i="36" l="1"/>
  <c r="C321" i="36" l="1"/>
  <c r="C322" i="36" l="1"/>
  <c r="C323" i="36" l="1"/>
  <c r="C324" i="36" l="1"/>
  <c r="C325" i="36" l="1"/>
  <c r="C326" i="36" l="1"/>
  <c r="C327" i="36" l="1"/>
  <c r="C328" i="36" l="1"/>
  <c r="C329" i="36" l="1"/>
  <c r="C330" i="36" l="1"/>
  <c r="C331" i="36" l="1"/>
  <c r="C332" i="36" l="1"/>
  <c r="C333" i="36" l="1"/>
  <c r="C334" i="36" l="1"/>
  <c r="C335" i="36" l="1"/>
  <c r="C336" i="36" l="1"/>
  <c r="C337" i="36" l="1"/>
  <c r="C338" i="36" l="1"/>
  <c r="C339" i="36" l="1"/>
  <c r="C340" i="36" l="1"/>
  <c r="C341" i="36" l="1"/>
  <c r="C342" i="36" l="1"/>
  <c r="C343" i="36" l="1"/>
  <c r="C344" i="36" l="1"/>
  <c r="C345" i="36" l="1"/>
  <c r="C346" i="36" l="1"/>
  <c r="C347" i="36" l="1"/>
  <c r="C348" i="36" l="1"/>
  <c r="C349" i="36" l="1"/>
  <c r="C350" i="36" l="1"/>
  <c r="C351" i="36" l="1"/>
  <c r="C352" i="36" l="1"/>
  <c r="C353" i="36" l="1"/>
  <c r="C354" i="36" l="1"/>
  <c r="C355" i="36" l="1"/>
  <c r="C356" i="36" l="1"/>
  <c r="C357" i="36" l="1"/>
  <c r="C358" i="36" l="1"/>
  <c r="C359" i="36" l="1"/>
  <c r="C360" i="36" l="1"/>
  <c r="C361" i="36" l="1"/>
  <c r="C362" i="36" l="1"/>
  <c r="C363" i="36" l="1"/>
  <c r="C364" i="36" l="1"/>
  <c r="C366" i="36" l="1"/>
  <c r="C36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49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<sst xmlns="http://schemas.openxmlformats.org/spreadsheetml/2006/main" count="6563" uniqueCount="1474">
  <si>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</si>
  <si>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</si>
  <si>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</si>
  <si>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</si>
  <si>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</si>
  <si>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</si>
  <si>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</si>
  <si>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</si>
  <si>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</si>
  <si>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</si>
  <si>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</si>
  <si>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</si>
  <si>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</si>
  <si>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</si>
  <si>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</si>
  <si>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</si>
  <si>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</si>
  <si>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</si>
  <si>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</si>
  <si>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</si>
  <si>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</si>
  <si>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</si>
  <si>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</si>
  <si>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</si>
  <si>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</si>
  <si>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</si>
  <si>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</si>
  <si>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</si>
  <si>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</si>
  <si>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</si>
  <si>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</si>
  <si>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</si>
  <si>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</si>
  <si>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</si>
  <si>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</si>
  <si>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</si>
  <si>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</si>
  <si>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</si>
  <si>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</si>
  <si>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</si>
  <si>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</si>
  <si>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</si>
  <si>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</si>
  <si>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</si>
  <si>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</si>
  <si>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</si>
  <si>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</si>
  <si>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</si>
  <si>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</si>
  <si>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</si>
  <si>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</si>
  <si>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</si>
  <si>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</si>
  <si>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</si>
  <si>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</si>
  <si>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</si>
  <si>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</si>
  <si>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</si>
  <si>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</si>
  <si>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</si>
  <si>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</si>
  <si>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</si>
  <si>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</si>
  <si>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</si>
  <si>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</si>
  <si>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</si>
  <si>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</si>
  <si>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</si>
  <si>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</si>
  <si>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</si>
  <si>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</si>
  <si>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</si>
  <si>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</si>
  <si>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</si>
  <si>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</si>
  <si>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</si>
  <si>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</si>
  <si>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</si>
  <si>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</si>
  <si>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</si>
  <si>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</si>
  <si>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</si>
  <si>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</si>
  <si>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</si>
  <si>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</si>
  <si>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</si>
  <si>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</si>
  <si>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</si>
  <si>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</si>
  <si>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</si>
  <si>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</si>
  <si>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</si>
  <si>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</si>
  <si>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</si>
  <si>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</si>
  <si>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</si>
  <si>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</si>
  <si>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</si>
  <si>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</si>
  <si>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</si>
  <si>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</si>
  <si>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</si>
  <si>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</si>
  <si>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</si>
  <si>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</si>
  <si>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</si>
  <si>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</si>
  <si>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</si>
  <si>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</si>
  <si>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</si>
  <si>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</si>
  <si>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</si>
  <si>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</si>
  <si>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</si>
  <si>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</si>
  <si>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</si>
  <si>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</si>
  <si>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</si>
  <si>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</si>
  <si>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</si>
  <si>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</si>
  <si>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</si>
  <si>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</si>
  <si>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</si>
  <si>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</si>
  <si>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</si>
  <si>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</si>
  <si>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</si>
  <si>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</si>
  <si>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</si>
  <si>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</si>
  <si>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</si>
  <si>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</si>
  <si>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</si>
  <si>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</si>
  <si>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</si>
  <si>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</si>
  <si>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</si>
  <si>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</si>
  <si>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</si>
  <si>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</si>
  <si>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</si>
  <si>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</si>
  <si>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</si>
  <si>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MI007</t>
  </si>
  <si>
    <t>MI004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</si>
  <si>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</si>
  <si>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</si>
  <si>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</si>
  <si>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</si>
  <si>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</si>
  <si>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</si>
  <si>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</si>
  <si>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</si>
  <si>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</si>
  <si>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</si>
  <si>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</si>
  <si>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</si>
  <si>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</si>
  <si>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</si>
  <si>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</si>
  <si>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</si>
  <si>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</si>
  <si>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</si>
  <si>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</si>
  <si>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</si>
  <si>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</si>
  <si>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</si>
  <si>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</si>
  <si>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</si>
  <si>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</si>
  <si>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</si>
  <si>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</si>
  <si>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</si>
  <si>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mlxmlx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</si>
  <si>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</si>
  <si>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</si>
  <si>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</si>
  <si>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</si>
  <si>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</si>
  <si>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</si>
  <si>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</si>
  <si>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</si>
  <si>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</si>
  <si>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</si>
  <si>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</si>
  <si>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</si>
  <si>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</si>
  <si>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</si>
  <si>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</si>
  <si>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</si>
  <si>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</si>
  <si>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</si>
  <si>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</si>
  <si>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</si>
  <si>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</si>
  <si>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</si>
  <si>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</si>
  <si>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</si>
  <si>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</si>
  <si>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</si>
  <si>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</si>
  <si>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</si>
  <si>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</si>
  <si>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</si>
  <si>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</si>
  <si>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</si>
  <si>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</si>
  <si>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</si>
  <si>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</si>
  <si>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</si>
  <si>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</si>
  <si>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</si>
  <si>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</si>
  <si>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</si>
  <si>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</si>
  <si>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</si>
  <si>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</si>
  <si>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</si>
  <si>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</si>
  <si>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</si>
  <si>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</si>
  <si>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</si>
  <si>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</si>
  <si>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</si>
  <si>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</si>
  <si>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</si>
  <si>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</si>
  <si>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</si>
  <si>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</si>
  <si>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</si>
  <si>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</si>
  <si>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</si>
  <si>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</si>
  <si>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</si>
  <si>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</si>
  <si>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</si>
  <si>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</si>
  <si>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</si>
  <si>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</si>
  <si>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</si>
  <si>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</si>
  <si>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</si>
  <si>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</si>
  <si>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</si>
  <si>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</si>
  <si>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</si>
  <si>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</si>
  <si>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</si>
  <si>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</si>
  <si>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</si>
  <si>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</si>
  <si>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</si>
  <si>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</si>
  <si>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</si>
  <si>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</si>
  <si>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</si>
  <si>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</si>
  <si>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</si>
  <si>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</si>
  <si>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</si>
  <si>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</si>
  <si>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</si>
  <si>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</si>
  <si>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</si>
  <si>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</si>
  <si>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</si>
  <si>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</si>
  <si>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</si>
  <si>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</si>
  <si>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</si>
  <si>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</si>
  <si>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</si>
  <si>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</si>
  <si>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</si>
  <si>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</si>
  <si>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</si>
  <si>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</si>
  <si>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</si>
  <si>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</si>
  <si>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</si>
  <si>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</si>
  <si>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</si>
  <si>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</si>
  <si>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</si>
  <si>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</si>
  <si>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</si>
  <si>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</si>
  <si>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</si>
  <si>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</si>
  <si>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</si>
  <si>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</si>
  <si>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</si>
  <si>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</si>
  <si>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</si>
  <si>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</si>
  <si>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</si>
  <si>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</si>
  <si>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</si>
  <si>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</si>
  <si>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</si>
  <si>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</si>
  <si>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</si>
  <si>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</si>
  <si>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</si>
  <si>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</si>
  <si>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</si>
  <si>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</si>
  <si>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</si>
  <si>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</si>
  <si>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</si>
  <si>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</si>
  <si>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</si>
  <si>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</si>
  <si>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</si>
  <si>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</si>
  <si>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</si>
  <si>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</si>
  <si>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</si>
  <si>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</si>
  <si>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</si>
  <si>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</si>
  <si>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</si>
  <si>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</si>
  <si>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</si>
  <si>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</si>
  <si>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</si>
  <si>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</si>
  <si>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</si>
  <si>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</si>
  <si>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</si>
  <si>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</si>
  <si>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</si>
  <si>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</si>
  <si>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</si>
  <si>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</si>
  <si>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</si>
  <si>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</si>
  <si>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</si>
  <si>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</si>
  <si>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</si>
  <si>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</si>
  <si>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</si>
  <si>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</si>
  <si>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</si>
  <si>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</si>
  <si>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</si>
  <si>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</si>
  <si>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</si>
  <si>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</si>
  <si>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</si>
  <si>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</si>
  <si>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</si>
  <si>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</si>
  <si>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</si>
  <si>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</si>
  <si>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</si>
  <si>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</si>
  <si>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</si>
  <si>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</si>
  <si>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</si>
  <si>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</si>
  <si>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</si>
  <si>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</si>
  <si>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</si>
  <si>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</si>
  <si>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</si>
  <si>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</si>
  <si>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</si>
  <si>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</si>
  <si>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</si>
  <si>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</si>
  <si>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</si>
  <si>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</si>
  <si>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</si>
  <si>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</si>
  <si>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</si>
  <si>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</si>
  <si>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</si>
  <si>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</si>
  <si>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</si>
  <si>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</si>
  <si>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</si>
  <si>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</si>
  <si>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</si>
  <si>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</si>
  <si>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</si>
  <si>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</si>
  <si>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</si>
  <si>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</si>
  <si>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</si>
  <si>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</si>
  <si>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</si>
  <si>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</si>
  <si>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</si>
  <si>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</si>
  <si>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</si>
  <si>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</si>
  <si>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</si>
  <si>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</si>
  <si>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</si>
  <si>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</si>
  <si>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</si>
  <si>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</si>
  <si>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</si>
  <si>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</si>
  <si>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</si>
  <si>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</si>
  <si>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</si>
  <si>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</si>
  <si>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</si>
  <si>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</si>
  <si>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</si>
  <si>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</si>
  <si>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</si>
  <si>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</si>
  <si>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</si>
  <si>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</si>
  <si>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</si>
  <si>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</si>
  <si>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</si>
  <si>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</si>
  <si>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</si>
  <si>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</si>
  <si>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</si>
  <si>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</si>
  <si>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</si>
  <si>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</si>
  <si>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</si>
  <si>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</si>
  <si>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</si>
  <si>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</si>
  <si>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</si>
  <si>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</si>
  <si>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</si>
  <si>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</si>
  <si>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</si>
  <si>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</si>
  <si>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</si>
  <si>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</si>
  <si>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</si>
  <si>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</si>
  <si>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</si>
  <si>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</si>
  <si>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</si>
  <si>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</si>
  <si>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</si>
  <si>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</si>
  <si>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</si>
  <si>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</si>
  <si>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</si>
  <si>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</si>
  <si>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</si>
  <si>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</si>
  <si>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</si>
  <si>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</si>
  <si>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</si>
  <si>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</si>
  <si>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</si>
  <si>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</si>
  <si>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</si>
  <si>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</si>
  <si>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</si>
  <si>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</si>
  <si>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</si>
  <si>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</si>
  <si>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</si>
  <si>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</si>
  <si>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</si>
  <si>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</si>
  <si>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</si>
  <si>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</si>
  <si>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</si>
  <si>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</si>
  <si>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</si>
  <si>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</si>
  <si>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</si>
  <si>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</si>
  <si>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</si>
  <si>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</si>
  <si>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</si>
  <si>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</si>
  <si>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</si>
  <si>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</si>
  <si>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</si>
  <si>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</si>
  <si>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</si>
  <si>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</si>
  <si>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</si>
  <si>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</si>
  <si>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</si>
  <si>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</si>
  <si>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</si>
  <si>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</si>
  <si>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</si>
  <si>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</si>
  <si>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</si>
  <si>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</si>
  <si>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</si>
  <si>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</si>
  <si>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</si>
  <si>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</si>
  <si>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</si>
  <si>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</si>
  <si>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</si>
  <si>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</si>
  <si>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</si>
  <si>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</si>
  <si>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</si>
  <si>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</si>
  <si>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</si>
  <si>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</si>
  <si>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</si>
  <si>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</si>
  <si>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</si>
  <si>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</si>
  <si>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</si>
  <si>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</si>
  <si>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</si>
  <si>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</si>
  <si>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</si>
  <si>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</si>
  <si>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</si>
  <si>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</si>
  <si>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</si>
  <si>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</si>
  <si>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</si>
  <si>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</si>
  <si>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</si>
  <si>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</si>
  <si>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</si>
  <si>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</si>
  <si>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</si>
  <si>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</si>
  <si>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</si>
  <si>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</si>
  <si>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</si>
  <si>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</si>
  <si>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</si>
  <si>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</si>
  <si>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</si>
  <si>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</si>
  <si>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</si>
  <si>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</si>
  <si>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</si>
  <si>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</si>
  <si>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</si>
  <si>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</si>
  <si>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</si>
  <si>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</si>
  <si>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</si>
  <si>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</si>
  <si>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</si>
  <si>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</si>
  <si>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</si>
  <si>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</si>
  <si>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</si>
  <si>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</si>
  <si>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</si>
  <si>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</si>
  <si>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</si>
  <si>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</si>
  <si>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</si>
  <si>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</si>
  <si>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</si>
  <si>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</si>
  <si>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</si>
  <si>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</si>
  <si>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</si>
  <si>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</si>
  <si>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</si>
  <si>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</si>
  <si>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</si>
  <si>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</si>
  <si>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</si>
  <si>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</si>
  <si>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</si>
  <si>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</si>
  <si>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</si>
  <si>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</si>
  <si>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</si>
  <si>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</si>
  <si>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</si>
  <si>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</si>
  <si>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</si>
  <si>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</si>
  <si>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</si>
  <si>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</si>
  <si>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</si>
  <si>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</si>
  <si>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</si>
  <si>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</si>
  <si>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</si>
  <si>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</si>
  <si>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</si>
  <si>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</si>
  <si>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</si>
  <si>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</si>
  <si>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</si>
  <si>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</si>
  <si>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</si>
  <si>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</si>
  <si>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</si>
  <si>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</si>
  <si>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</si>
  <si>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</si>
  <si>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</si>
  <si>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</si>
  <si>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</si>
  <si>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</si>
  <si>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</si>
  <si>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</si>
  <si>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</si>
  <si>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</si>
  <si>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</si>
  <si>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</si>
  <si>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</si>
  <si>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</si>
  <si>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</si>
  <si>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</si>
  <si>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</si>
  <si>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</si>
  <si>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</si>
  <si>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</si>
  <si>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</si>
  <si>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</si>
  <si>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</si>
  <si>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</si>
  <si>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</si>
  <si>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</si>
  <si>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</si>
  <si>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</si>
  <si>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</si>
  <si>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</si>
  <si>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</si>
  <si>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</si>
  <si>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</si>
  <si>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</si>
  <si>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</si>
  <si>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</si>
  <si>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</si>
  <si>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</si>
  <si>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</si>
  <si>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</si>
  <si>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</si>
  <si>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</si>
  <si>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</si>
  <si>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</si>
  <si>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</si>
  <si>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</si>
  <si>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</si>
  <si>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</si>
  <si>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</si>
  <si>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</si>
  <si>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</si>
  <si>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</si>
  <si>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</si>
  <si>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</si>
  <si>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</si>
  <si>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</si>
  <si>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</si>
  <si>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</si>
  <si>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</si>
  <si>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</si>
  <si>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</si>
  <si>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</si>
  <si>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</si>
  <si>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</si>
  <si>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</si>
  <si>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</si>
  <si>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</si>
  <si>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</si>
  <si>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</si>
  <si>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</si>
  <si>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</si>
  <si>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</si>
  <si>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</si>
  <si>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</si>
  <si>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</si>
  <si>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</si>
  <si>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</si>
  <si>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</si>
  <si>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</si>
  <si>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</si>
  <si>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</si>
  <si>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</si>
  <si>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</si>
  <si>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</si>
  <si>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</si>
  <si>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</si>
  <si>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</si>
  <si>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</si>
  <si>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</si>
  <si>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</si>
  <si>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</si>
  <si>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</si>
  <si>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</si>
  <si>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</si>
  <si>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</si>
  <si>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</si>
  <si>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</si>
  <si>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</si>
  <si>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</si>
  <si>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</si>
  <si>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</si>
  <si>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</si>
  <si>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</si>
  <si>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</si>
  <si>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</si>
  <si>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</si>
  <si>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</si>
  <si>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</si>
  <si>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</si>
  <si>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</si>
  <si>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</si>
  <si>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</si>
  <si>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</si>
  <si>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</si>
  <si>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</si>
  <si>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</si>
  <si>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</si>
  <si>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</si>
  <si>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</si>
  <si>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</si>
  <si>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</si>
  <si>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</si>
  <si>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</si>
  <si>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</si>
  <si>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</si>
  <si>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</si>
  <si>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</si>
  <si>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</si>
  <si>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</si>
  <si>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</si>
  <si>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</si>
  <si>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</si>
  <si>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</si>
  <si>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</si>
  <si>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</si>
  <si>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</si>
  <si>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</si>
  <si>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</si>
  <si>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</si>
  <si>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</si>
  <si>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</si>
  <si>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</si>
  <si>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</si>
  <si>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</si>
  <si>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</si>
  <si>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</si>
  <si>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</si>
  <si>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</si>
  <si>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</si>
  <si>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</si>
  <si>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</si>
  <si>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</si>
  <si>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</si>
  <si>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</si>
  <si>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</si>
  <si>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</si>
  <si>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</si>
  <si>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</si>
  <si>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</si>
  <si>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</si>
  <si>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</si>
  <si>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</si>
  <si>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</si>
  <si>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</si>
  <si>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</si>
  <si>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</si>
  <si>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</si>
  <si>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</si>
  <si>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</si>
  <si>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</si>
  <si>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</si>
  <si>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</si>
  <si>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</si>
  <si>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</si>
  <si>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</si>
  <si>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</si>
  <si>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</si>
  <si>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</si>
  <si>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</si>
  <si>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</si>
  <si>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</si>
  <si>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</si>
  <si>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</si>
  <si>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</si>
  <si>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</si>
  <si>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</si>
  <si>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</si>
  <si>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</si>
  <si>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</si>
  <si>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</si>
  <si>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</si>
  <si>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</si>
  <si>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</si>
  <si>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</si>
  <si>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</si>
  <si>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</si>
  <si>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</si>
  <si>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</si>
  <si>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</si>
  <si>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</si>
  <si>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</si>
  <si>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</si>
  <si>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</si>
  <si>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</si>
  <si>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</si>
  <si>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</si>
  <si>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</si>
  <si>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</si>
  <si>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</si>
  <si>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</si>
  <si>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</si>
  <si>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</si>
  <si>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</si>
  <si>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</si>
  <si>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</si>
  <si>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</si>
  <si>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</si>
  <si>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</si>
  <si>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</si>
  <si>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</si>
  <si>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</si>
  <si>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</si>
  <si>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</si>
  <si>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</si>
  <si>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</si>
  <si>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</si>
  <si>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</si>
  <si>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</si>
  <si>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</si>
  <si>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</si>
  <si>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</si>
  <si>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</si>
  <si>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</si>
  <si>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</si>
  <si>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</si>
  <si>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</si>
  <si>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</si>
  <si>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</si>
  <si>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</si>
  <si>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</si>
  <si>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</si>
  <si>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</si>
  <si>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</si>
  <si>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</si>
  <si>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</si>
  <si>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</si>
  <si>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</si>
  <si>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</si>
  <si>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</si>
  <si>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</si>
  <si>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</si>
  <si>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</si>
  <si>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</si>
  <si>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</si>
  <si>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</si>
  <si>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</si>
  <si>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</si>
  <si>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</si>
  <si>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</si>
  <si>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</si>
  <si>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</si>
  <si>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</si>
  <si>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</si>
  <si>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</si>
  <si>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</si>
  <si>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</si>
  <si>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</si>
  <si>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</si>
  <si>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</si>
  <si>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</si>
  <si>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</si>
  <si>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</si>
  <si>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</si>
  <si>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</si>
  <si>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</si>
  <si>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</si>
  <si>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</si>
  <si>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</si>
  <si>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</si>
  <si>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</si>
  <si>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</si>
  <si>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</si>
  <si>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</si>
  <si>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</si>
  <si>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</si>
  <si>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</si>
  <si>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</si>
  <si>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</si>
  <si>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</si>
  <si>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</si>
  <si>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</si>
  <si>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</si>
  <si>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</si>
  <si>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</si>
  <si>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</si>
  <si>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</si>
  <si>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</si>
  <si>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</si>
  <si>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</si>
  <si>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</si>
  <si>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</si>
  <si>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</si>
  <si>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</si>
  <si>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</si>
  <si>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</si>
  <si>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</si>
  <si>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</si>
  <si>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</si>
  <si>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</si>
  <si>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</si>
  <si>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</si>
  <si>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</si>
  <si>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</si>
  <si>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</si>
  <si>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</si>
  <si>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</si>
  <si>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</si>
  <si>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</si>
  <si>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</si>
  <si>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</si>
  <si>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</si>
  <si>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</si>
  <si>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</si>
  <si>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</si>
  <si>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</si>
  <si>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</si>
  <si>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</si>
  <si>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</si>
  <si>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</si>
  <si>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</si>
  <si>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</si>
  <si>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</si>
  <si>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</si>
  <si>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</si>
  <si>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</si>
  <si>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</si>
  <si>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</si>
  <si>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</si>
  <si>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</si>
  <si>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</si>
  <si>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</si>
  <si>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</si>
  <si>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</si>
  <si>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</si>
  <si>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</si>
  <si>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</si>
  <si>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</si>
  <si>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</si>
  <si>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</si>
  <si>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</si>
  <si>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</si>
  <si>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</si>
  <si>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</si>
  <si>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</si>
  <si>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</si>
  <si>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</si>
  <si>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</si>
  <si>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</si>
  <si>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</si>
  <si>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</si>
  <si>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</si>
  <si>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</si>
  <si>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</si>
  <si>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</si>
  <si>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</si>
  <si>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</si>
  <si>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</si>
  <si>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</si>
  <si>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</si>
  <si>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</si>
  <si>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</si>
  <si>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</si>
  <si>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</si>
  <si>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</si>
  <si>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</si>
  <si>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</si>
  <si>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</si>
  <si>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</si>
  <si>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</si>
  <si>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</si>
  <si>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</si>
  <si>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</si>
  <si>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</si>
  <si>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</si>
  <si>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</si>
  <si>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</si>
  <si>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</si>
  <si>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</si>
  <si>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</si>
  <si>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</si>
  <si>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</si>
  <si>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</si>
  <si>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</si>
  <si>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</si>
  <si>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</si>
  <si>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</si>
  <si>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</si>
  <si>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</si>
  <si>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</si>
  <si>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</si>
  <si>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</si>
  <si>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</si>
  <si>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</si>
  <si>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</si>
  <si>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</si>
  <si>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</si>
  <si>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</si>
  <si>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</si>
  <si>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</si>
  <si>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</si>
  <si>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</si>
  <si>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</si>
  <si>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</si>
  <si>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</si>
  <si>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</si>
  <si>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</si>
  <si>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</si>
  <si>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</si>
  <si>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</si>
  <si>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</si>
  <si>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</si>
  <si>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</si>
  <si>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</si>
  <si>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</si>
  <si>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</si>
  <si>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</si>
  <si>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</si>
  <si>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</si>
  <si>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</si>
  <si>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</si>
  <si>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</si>
  <si>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</si>
  <si>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</si>
  <si>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</si>
  <si>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</si>
  <si>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</si>
  <si>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</si>
  <si>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</si>
  <si>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</si>
  <si>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</si>
  <si>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</si>
  <si>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</si>
  <si>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</si>
  <si>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</si>
  <si>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</si>
  <si>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</si>
  <si>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</si>
  <si>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</si>
  <si>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</si>
  <si>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</si>
  <si>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</si>
  <si>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</si>
  <si>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</si>
  <si>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</si>
  <si>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</si>
  <si>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</si>
  <si>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</si>
  <si>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</si>
  <si>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</si>
  <si>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</si>
  <si>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</si>
  <si>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</si>
  <si>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</si>
  <si>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</si>
  <si>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</si>
  <si>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</si>
  <si>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</si>
  <si>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</si>
  <si>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</si>
  <si>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</si>
  <si>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</si>
  <si>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</si>
  <si>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</si>
  <si>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</si>
  <si>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</si>
  <si>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</si>
  <si>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</si>
  <si>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</si>
  <si>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</si>
  <si>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</si>
  <si>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</si>
  <si>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</si>
  <si>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</si>
  <si>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</si>
  <si>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</si>
  <si>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</si>
  <si>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</si>
  <si>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</si>
  <si>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</si>
  <si>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</si>
  <si>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</si>
  <si>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</si>
  <si>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</si>
  <si>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</si>
  <si>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</si>
  <si>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</si>
  <si>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</si>
  <si>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</si>
  <si>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</si>
  <si>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</si>
  <si>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</si>
  <si>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</si>
  <si>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</si>
  <si>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</si>
  <si>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</si>
  <si>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</si>
  <si>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</si>
  <si>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</si>
  <si>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</si>
  <si>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</si>
  <si>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</si>
  <si>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</si>
  <si>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</si>
  <si>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</si>
  <si>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</si>
  <si>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</si>
  <si>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</si>
  <si>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</si>
  <si>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hcv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</si>
  <si>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</si>
  <si>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</si>
  <si>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</si>
  <si>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</si>
  <si>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</si>
  <si>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</si>
  <si>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</si>
  <si>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</si>
  <si>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</si>
  <si>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</si>
  <si>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</si>
  <si>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</si>
  <si>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</si>
  <si>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</si>
  <si>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</si>
  <si>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</si>
  <si>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</si>
  <si>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</si>
  <si>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</si>
  <si>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</si>
  <si>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</si>
  <si>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</si>
  <si>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</si>
  <si>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</si>
  <si>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</si>
  <si>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</si>
  <si>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</si>
  <si>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</si>
  <si>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</si>
  <si>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</si>
  <si>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</si>
  <si>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</si>
  <si>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</si>
  <si>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</si>
  <si>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</si>
  <si>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</si>
  <si>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</si>
  <si>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</si>
  <si>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</si>
  <si>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</si>
  <si>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</si>
  <si>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</si>
  <si>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</si>
  <si>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</si>
  <si>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</si>
  <si>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</si>
  <si>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</si>
  <si>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</si>
  <si>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</si>
  <si>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</si>
  <si>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</si>
  <si>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</si>
  <si>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</si>
  <si>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</si>
  <si>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</si>
  <si>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</si>
  <si>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</si>
  <si>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</si>
  <si>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</si>
  <si>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</si>
  <si>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</si>
  <si>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</si>
  <si>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</si>
  <si>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</si>
  <si>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</si>
  <si>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</si>
  <si>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</si>
  <si>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</si>
  <si>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</si>
  <si>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</si>
  <si>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</si>
  <si>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</si>
  <si>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</si>
  <si>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</si>
  <si>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</si>
  <si>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</si>
  <si>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</si>
  <si>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</si>
  <si>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</si>
  <si>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</si>
  <si>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</si>
  <si>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</si>
  <si>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</si>
  <si>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</si>
  <si>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</si>
  <si>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</si>
  <si>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</si>
  <si>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</si>
  <si>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</si>
  <si>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</si>
  <si>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</si>
  <si>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</si>
  <si>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</si>
  <si>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</si>
  <si>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</si>
  <si>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</si>
  <si>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</si>
  <si>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</si>
  <si>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</si>
  <si>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</si>
  <si>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</si>
  <si>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</si>
  <si>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</si>
  <si>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</si>
  <si>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</si>
  <si>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</si>
  <si>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</si>
  <si>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</si>
  <si>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</si>
  <si>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</si>
  <si>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</si>
  <si>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</si>
  <si>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</si>
  <si>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</si>
  <si>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</si>
  <si>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</si>
  <si>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</si>
  <si>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</si>
  <si>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</si>
  <si>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</si>
  <si>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</si>
  <si>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</si>
  <si>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</si>
  <si>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</si>
  <si>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</si>
  <si>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</si>
  <si>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</si>
  <si>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</si>
  <si>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</si>
  <si>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</si>
  <si>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</si>
  <si>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</si>
  <si>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</si>
  <si>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</si>
  <si>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</si>
  <si>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</si>
  <si>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</si>
  <si>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</si>
  <si>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</si>
  <si>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</si>
  <si>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</si>
  <si>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</si>
  <si>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</si>
  <si>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</si>
  <si>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</si>
  <si>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</si>
  <si>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</si>
  <si>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</si>
  <si>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</si>
  <si>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</si>
  <si>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</si>
  <si>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</si>
  <si>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</si>
  <si>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</si>
  <si>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</si>
  <si>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</si>
  <si>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</si>
  <si>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-8000_x000D_
-19500</t>
  </si>
  <si>
    <t>-6500_x000D_
-17900</t>
  </si>
  <si>
    <t>-6500_x000D_
-16600</t>
  </si>
  <si>
    <t>-6500_x000D_
-15700</t>
  </si>
  <si>
    <t>-5000_x000D_
-15500</t>
  </si>
  <si>
    <t>-2000_x000D_
-15500</t>
  </si>
  <si>
    <t>-12000_x000D_
-25500</t>
  </si>
  <si>
    <t>-22000_x000D_
-35500</t>
  </si>
  <si>
    <t>-32000_x000D_
-45500</t>
  </si>
  <si>
    <t>-11000_x000D_
-18500</t>
  </si>
  <si>
    <t>-11000_x000D_
-18250</t>
  </si>
  <si>
    <t>-11000_x000D_
-17700</t>
  </si>
  <si>
    <t>-8000_x000D_
-17700</t>
  </si>
  <si>
    <t>-6500_x000D_
-17700</t>
  </si>
  <si>
    <t>-10350_x000D_
-10360</t>
  </si>
  <si>
    <t>-9450_x000D_
-10335</t>
  </si>
  <si>
    <t>-9450_x000D_
-9935</t>
  </si>
  <si>
    <t>-8450_x000D_
-9385</t>
  </si>
  <si>
    <t>+8500_x000D_
+1400</t>
  </si>
  <si>
    <t>+8500_x000D_
+1450</t>
  </si>
  <si>
    <t>0_x000D_
-7050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</si>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</sst>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</numFmts>
  <fonts count="7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49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170" fontId="51" fillId="0" borderId="0" xfId="0" applyNumberFormat="1" applyFont="1" applyAlignment="1">
      <alignment horizontal="center" vertical="center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Alignment="1">
      <alignment horizontal="center" vertical="center"/>
    </xf>
    <xf numFmtId="0" fontId="5" fillId="2" borderId="31" xfId="0" applyFont="1" applyFill="1" applyBorder="1" applyAlignment="1">
      <alignment horizontal="center" vertical="center" readingOrder="1"/>
    </xf>
    <xf numFmtId="0" fontId="34" fillId="2" borderId="31" xfId="0" applyFont="1" applyFill="1" applyBorder="1" applyAlignment="1">
      <alignment horizontal="center" vertical="center" readingOrder="1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Font="1" applyFill="1" applyAlignment="1">
      <alignment horizontal="center" vertical="top" wrapText="1"/>
    </xf>
    <xf numFmtId="169" fontId="32" fillId="14" borderId="0" xfId="0" applyNumberFormat="1" applyFont="1" applyFill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Font="1" applyFill="1" applyAlignment="1">
      <alignment horizontal="center" vertical="top" wrapText="1"/>
    </xf>
    <xf numFmtId="0" fontId="24" fillId="9" borderId="4" xfId="0" applyFont="1" applyFill="1" applyBorder="1" applyAlignment="1">
      <alignment horizontal="center" vertical="top" wrapText="1"/>
    </xf>
    <xf numFmtId="49" fontId="33" fillId="0" borderId="0" xfId="0" applyNumberFormat="1" applyFont="1" applyAlignment="1">
      <alignment horizontal="center" vertical="top" wrapText="1"/>
    </xf>
    <xf numFmtId="49" fontId="20" fillId="0" borderId="0" xfId="0" applyNumberFormat="1" applyFont="1" applyAlignment="1">
      <alignment horizontal="center" vertical="top" wrapText="1"/>
    </xf>
    <xf numFmtId="49" fontId="21" fillId="0" borderId="0" xfId="0" applyNumberFormat="1" applyFont="1" applyAlignment="1">
      <alignment horizontal="center" vertical="top" wrapText="1"/>
    </xf>
    <xf numFmtId="49" fontId="24" fillId="9" borderId="0" xfId="0" applyNumberFormat="1" applyFont="1" applyFill="1" applyAlignment="1">
      <alignment horizontal="center" vertical="top"/>
    </xf>
    <xf numFmtId="49" fontId="24" fillId="9" borderId="0" xfId="0" applyNumberFormat="1" applyFont="1" applyFill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0" fontId="43" fillId="2" borderId="31" xfId="0" applyFont="1" applyFill="1" applyBorder="1" applyAlignment="1">
      <alignment horizontal="center" vertical="center"/>
    </xf>
    <xf numFmtId="170" fontId="34" fillId="0" borderId="31" xfId="0" applyNumberFormat="1" applyFont="1" applyBorder="1" applyAlignment="1">
      <alignment horizontal="left" vertical="top" textRotation="180"/>
    </xf>
    <xf numFmtId="0" fontId="58" fillId="9" borderId="30" xfId="0" applyFont="1" applyFill="1" applyBorder="1" applyAlignment="1">
      <alignment horizontal="center" vertical="top" wrapText="1"/>
    </xf>
    <xf numFmtId="49" fontId="5" fillId="9" borderId="0" xfId="0" applyNumberFormat="1" applyFont="1" applyFill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4" fillId="0" borderId="0" xfId="0" applyFont="1" applyAlignment="1">
      <alignment horizontal="center" vertical="top"/>
    </xf>
    <xf numFmtId="0" fontId="57" fillId="0" borderId="0" xfId="0" applyFont="1" applyAlignment="1">
      <alignment horizontal="center" vertical="top" wrapText="1"/>
    </xf>
    <xf numFmtId="0" fontId="54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2" fillId="0" borderId="0" xfId="0" applyFont="1" applyAlignment="1">
      <alignment horizontal="center" vertical="center" readingOrder="1"/>
    </xf>
    <xf numFmtId="0" fontId="4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left" vertical="center" readingOrder="1"/>
    </xf>
    <xf numFmtId="170" fontId="35" fillId="0" borderId="0" xfId="0" applyNumberFormat="1" applyFont="1" applyAlignment="1">
      <alignment horizontal="center" vertical="top" wrapText="1"/>
    </xf>
    <xf numFmtId="170" fontId="35" fillId="0" borderId="0" xfId="0" applyNumberFormat="1" applyFont="1" applyAlignment="1">
      <alignment horizontal="center" vertical="top" wrapText="1" shrinkToFit="1"/>
    </xf>
    <xf numFmtId="170" fontId="23" fillId="0" borderId="0" xfId="0" applyNumberFormat="1" applyFont="1" applyAlignment="1">
      <alignment horizontal="center" vertical="top" wrapText="1" shrinkToFit="1"/>
    </xf>
    <xf numFmtId="170" fontId="35" fillId="0" borderId="0" xfId="0" applyNumberFormat="1" applyFont="1" applyAlignment="1">
      <alignment horizontal="center" vertical="center" wrapText="1" shrinkToFit="1"/>
    </xf>
    <xf numFmtId="0" fontId="56" fillId="2" borderId="13" xfId="0" applyFont="1" applyFill="1" applyBorder="1" applyAlignment="1">
      <alignment horizontal="center" vertical="center" readingOrder="1"/>
    </xf>
    <xf numFmtId="41" fontId="55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2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4" fillId="2" borderId="13" xfId="1" applyNumberFormat="1" applyFont="1" applyFill="1" applyBorder="1" applyAlignment="1">
      <alignment horizontal="center" vertical="center"/>
    </xf>
    <xf numFmtId="0" fontId="59" fillId="2" borderId="11" xfId="1" applyNumberFormat="1" applyFont="1" applyFill="1" applyBorder="1" applyAlignment="1">
      <alignment horizontal="center" vertical="center"/>
    </xf>
    <xf numFmtId="41" fontId="56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2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4" fillId="2" borderId="31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35" xfId="0" applyBorder="1" applyAlignment="1">
      <alignment horizontal="center" vertical="center"/>
    </xf>
    <xf numFmtId="41" fontId="56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3" fillId="2" borderId="37" xfId="0" applyFont="1" applyFill="1" applyBorder="1" applyAlignment="1">
      <alignment horizontal="center" vertical="center"/>
    </xf>
    <xf numFmtId="0" fontId="56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Alignment="1">
      <alignment horizontal="center" vertical="center" wrapText="1" shrinkToFit="1"/>
    </xf>
    <xf numFmtId="41" fontId="55" fillId="0" borderId="0" xfId="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 readingOrder="1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readingOrder="1"/>
    </xf>
    <xf numFmtId="168" fontId="22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 readingOrder="1"/>
    </xf>
    <xf numFmtId="169" fontId="2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 readingOrder="1"/>
    </xf>
    <xf numFmtId="0" fontId="3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4" fillId="2" borderId="33" xfId="1" applyNumberFormat="1" applyFont="1" applyFill="1" applyBorder="1" applyAlignment="1">
      <alignment horizontal="center" vertical="center"/>
    </xf>
    <xf numFmtId="165" fontId="52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0" fillId="16" borderId="34" xfId="0" applyFont="1" applyFill="1" applyBorder="1" applyAlignment="1">
      <alignment horizontal="center" vertical="top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1" fontId="56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6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1" fillId="2" borderId="5" xfId="1" applyNumberFormat="1" applyFont="1" applyFill="1" applyBorder="1" applyAlignment="1">
      <alignment horizontal="center" vertical="center"/>
    </xf>
    <xf numFmtId="0" fontId="61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2" fillId="4" borderId="0" xfId="0" applyFont="1" applyFill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1" fillId="9" borderId="7" xfId="0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4" fillId="0" borderId="13" xfId="1" applyNumberFormat="1" applyFont="1" applyFill="1" applyBorder="1" applyAlignment="1">
      <alignment horizontal="left" vertical="center"/>
    </xf>
    <xf numFmtId="0" fontId="64" fillId="0" borderId="8" xfId="1" applyNumberFormat="1" applyFont="1" applyFill="1" applyBorder="1" applyAlignment="1">
      <alignment horizontal="left" vertical="center"/>
    </xf>
    <xf numFmtId="0" fontId="54" fillId="2" borderId="13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2" borderId="33" xfId="0" applyFont="1" applyFill="1" applyBorder="1" applyAlignment="1">
      <alignment horizontal="center" vertical="center"/>
    </xf>
    <xf numFmtId="0" fontId="54" fillId="2" borderId="39" xfId="0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4" fillId="2" borderId="39" xfId="1" applyNumberFormat="1" applyFont="1" applyFill="1" applyBorder="1" applyAlignment="1">
      <alignment horizontal="center" vertical="center"/>
    </xf>
    <xf numFmtId="0" fontId="61" fillId="2" borderId="37" xfId="1" applyNumberFormat="1" applyFont="1" applyFill="1" applyBorder="1" applyAlignment="1">
      <alignment horizontal="center" vertical="center"/>
    </xf>
    <xf numFmtId="41" fontId="56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5" fillId="8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4" fillId="18" borderId="39" xfId="0" applyFont="1" applyFill="1" applyBorder="1" applyAlignment="1">
      <alignment horizontal="center" vertical="center"/>
    </xf>
    <xf numFmtId="0" fontId="61" fillId="18" borderId="37" xfId="1" applyNumberFormat="1" applyFont="1" applyFill="1" applyBorder="1" applyAlignment="1">
      <alignment horizontal="center" vertical="center"/>
    </xf>
    <xf numFmtId="41" fontId="56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1" fillId="2" borderId="36" xfId="1" applyNumberFormat="1" applyFont="1" applyFill="1" applyBorder="1" applyAlignment="1">
      <alignment horizontal="center" vertical="center"/>
    </xf>
    <xf numFmtId="41" fontId="56" fillId="17" borderId="38" xfId="1" applyNumberFormat="1" applyFont="1" applyFill="1" applyBorder="1" applyAlignment="1">
      <alignment horizontal="center" vertical="center" readingOrder="1"/>
    </xf>
    <xf numFmtId="0" fontId="54" fillId="18" borderId="39" xfId="1" applyNumberFormat="1" applyFont="1" applyFill="1" applyBorder="1" applyAlignment="1">
      <alignment horizontal="center" vertical="center"/>
    </xf>
    <xf numFmtId="0" fontId="61" fillId="18" borderId="36" xfId="1" applyNumberFormat="1" applyFont="1" applyFill="1" applyBorder="1" applyAlignment="1">
      <alignment horizontal="center" vertical="center"/>
    </xf>
    <xf numFmtId="41" fontId="56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1" fillId="2" borderId="13" xfId="1" applyNumberFormat="1" applyFont="1" applyFill="1" applyBorder="1" applyAlignment="1">
      <alignment horizontal="center" vertical="center"/>
    </xf>
    <xf numFmtId="41" fontId="56" fillId="17" borderId="10" xfId="1" applyNumberFormat="1" applyFont="1" applyFill="1" applyBorder="1" applyAlignment="1">
      <alignment horizontal="center" vertical="center" readingOrder="1"/>
    </xf>
    <xf numFmtId="0" fontId="36" fillId="0" borderId="0" xfId="0" applyFont="1" applyAlignment="1">
      <alignment horizontal="left" vertical="center"/>
    </xf>
    <xf numFmtId="0" fontId="0" fillId="15" borderId="0" xfId="0" applyFill="1"/>
    <xf numFmtId="20" fontId="36" fillId="0" borderId="0" xfId="0" applyNumberFormat="1" applyFont="1" applyAlignment="1">
      <alignment horizontal="left" vertical="center"/>
    </xf>
    <xf numFmtId="170" fontId="23" fillId="7" borderId="52" xfId="1" applyNumberFormat="1" applyFont="1" applyFill="1" applyBorder="1" applyAlignment="1">
      <alignment horizontal="center" vertical="top" wrapText="1" shrinkToFit="1"/>
    </xf>
    <xf numFmtId="170" fontId="23" fillId="2" borderId="55" xfId="1" applyNumberFormat="1" applyFont="1" applyFill="1" applyBorder="1" applyAlignment="1">
      <alignment horizontal="center" vertical="top" wrapText="1" shrinkToFit="1"/>
    </xf>
    <xf numFmtId="170" fontId="23" fillId="7" borderId="49" xfId="1" applyNumberFormat="1" applyFont="1" applyFill="1" applyBorder="1" applyAlignment="1">
      <alignment horizontal="center" vertical="top" wrapText="1" shrinkToFit="1"/>
    </xf>
    <xf numFmtId="41" fontId="56" fillId="18" borderId="13" xfId="1" applyNumberFormat="1" applyFont="1" applyFill="1" applyBorder="1" applyAlignment="1">
      <alignment horizontal="center" vertical="center" readingOrder="1"/>
    </xf>
    <xf numFmtId="0" fontId="0" fillId="23" borderId="0" xfId="0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Border="1" applyAlignment="1">
      <alignment horizontal="left" vertical="center" wrapText="1"/>
    </xf>
    <xf numFmtId="49" fontId="0" fillId="0" borderId="34" xfId="0" applyNumberFormat="1" applyBorder="1" applyAlignment="1">
      <alignment horizontal="left" vertical="center" wrapText="1"/>
    </xf>
    <xf numFmtId="49" fontId="0" fillId="0" borderId="35" xfId="0" applyNumberForma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8" fillId="0" borderId="63" xfId="0" applyFont="1" applyBorder="1" applyAlignment="1">
      <alignment horizontal="center" vertical="center"/>
    </xf>
    <xf numFmtId="0" fontId="68" fillId="0" borderId="59" xfId="0" applyFont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68" fillId="24" borderId="66" xfId="0" applyFont="1" applyFill="1" applyBorder="1" applyAlignment="1">
      <alignment vertical="center"/>
    </xf>
    <xf numFmtId="0" fontId="66" fillId="24" borderId="61" xfId="0" applyFont="1" applyFill="1" applyBorder="1" applyAlignment="1">
      <alignment horizontal="center" vertical="center" wrapText="1"/>
    </xf>
    <xf numFmtId="0" fontId="68" fillId="24" borderId="69" xfId="0" applyFont="1" applyFill="1" applyBorder="1" applyAlignment="1">
      <alignment horizontal="right" vertical="center"/>
    </xf>
    <xf numFmtId="0" fontId="68" fillId="24" borderId="68" xfId="0" applyFont="1" applyFill="1" applyBorder="1" applyAlignment="1">
      <alignment horizontal="right" vertical="center"/>
    </xf>
    <xf numFmtId="0" fontId="68" fillId="24" borderId="70" xfId="0" applyFont="1" applyFill="1" applyBorder="1" applyAlignment="1">
      <alignment horizontal="right" vertical="center"/>
    </xf>
    <xf numFmtId="0" fontId="68" fillId="24" borderId="71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right" vertical="center"/>
    </xf>
    <xf numFmtId="0" fontId="68" fillId="24" borderId="73" xfId="0" applyFont="1" applyFill="1" applyBorder="1" applyAlignment="1">
      <alignment horizontal="right" vertical="center"/>
    </xf>
    <xf numFmtId="0" fontId="69" fillId="0" borderId="59" xfId="0" applyFont="1" applyBorder="1" applyAlignment="1">
      <alignment horizontal="center" vertical="center"/>
    </xf>
    <xf numFmtId="0" fontId="68" fillId="24" borderId="74" xfId="0" applyFont="1" applyFill="1" applyBorder="1" applyAlignment="1">
      <alignment horizontal="right" vertical="center"/>
    </xf>
    <xf numFmtId="0" fontId="68" fillId="24" borderId="75" xfId="0" applyFont="1" applyFill="1" applyBorder="1" applyAlignment="1">
      <alignment horizontal="right" vertical="center"/>
    </xf>
    <xf numFmtId="0" fontId="68" fillId="0" borderId="78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6" fillId="0" borderId="76" xfId="0" applyFont="1" applyBorder="1" applyAlignment="1">
      <alignment horizontal="center" vertical="center"/>
    </xf>
    <xf numFmtId="0" fontId="68" fillId="24" borderId="80" xfId="0" applyFont="1" applyFill="1" applyBorder="1" applyAlignment="1">
      <alignment horizontal="right" vertical="center"/>
    </xf>
    <xf numFmtId="0" fontId="68" fillId="24" borderId="14" xfId="0" applyFont="1" applyFill="1" applyBorder="1" applyAlignment="1">
      <alignment vertical="center"/>
    </xf>
    <xf numFmtId="0" fontId="68" fillId="24" borderId="65" xfId="0" applyFont="1" applyFill="1" applyBorder="1" applyAlignment="1">
      <alignment horizontal="right" vertical="center"/>
    </xf>
    <xf numFmtId="0" fontId="68" fillId="24" borderId="79" xfId="0" applyFont="1" applyFill="1" applyBorder="1" applyAlignment="1">
      <alignment vertical="center"/>
    </xf>
    <xf numFmtId="0" fontId="68" fillId="0" borderId="23" xfId="0" applyFont="1" applyBorder="1" applyAlignment="1">
      <alignment horizontal="right" vertical="top"/>
    </xf>
    <xf numFmtId="0" fontId="68" fillId="0" borderId="24" xfId="0" applyFont="1" applyBorder="1" applyAlignment="1">
      <alignment horizontal="right" vertical="top"/>
    </xf>
    <xf numFmtId="0" fontId="68" fillId="0" borderId="25" xfId="0" applyFont="1" applyBorder="1" applyAlignment="1">
      <alignment horizontal="right" vertical="top"/>
    </xf>
    <xf numFmtId="0" fontId="66" fillId="0" borderId="15" xfId="0" applyFont="1" applyBorder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0" fontId="66" fillId="0" borderId="15" xfId="0" applyFont="1" applyBorder="1" applyAlignment="1">
      <alignment horizontal="right" vertical="center" wrapText="1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right" vertical="center" wrapText="1"/>
    </xf>
    <xf numFmtId="0" fontId="68" fillId="0" borderId="84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8" fillId="0" borderId="85" xfId="0" applyFont="1" applyBorder="1" applyAlignment="1">
      <alignment horizontal="center" vertical="center"/>
    </xf>
    <xf numFmtId="0" fontId="66" fillId="0" borderId="86" xfId="0" applyFont="1" applyBorder="1" applyAlignment="1">
      <alignment horizontal="center" vertical="center"/>
    </xf>
    <xf numFmtId="0" fontId="66" fillId="24" borderId="85" xfId="0" applyFont="1" applyFill="1" applyBorder="1" applyAlignment="1">
      <alignment horizontal="center" vertical="center" wrapText="1"/>
    </xf>
    <xf numFmtId="0" fontId="68" fillId="24" borderId="16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left" vertical="center"/>
    </xf>
    <xf numFmtId="0" fontId="68" fillId="0" borderId="0" xfId="0" applyFont="1" applyAlignment="1">
      <alignment vertical="center" readingOrder="2"/>
    </xf>
    <xf numFmtId="0" fontId="68" fillId="0" borderId="0" xfId="0" applyFont="1" applyAlignment="1">
      <alignment horizontal="right" vertical="center" readingOrder="2"/>
    </xf>
    <xf numFmtId="0" fontId="68" fillId="0" borderId="0" xfId="0" applyFont="1" applyAlignment="1">
      <alignment horizontal="center" vertical="center" readingOrder="2"/>
    </xf>
    <xf numFmtId="0" fontId="68" fillId="0" borderId="18" xfId="0" applyFont="1" applyBorder="1" applyAlignment="1">
      <alignment horizontal="center" vertical="center" readingOrder="2"/>
    </xf>
    <xf numFmtId="0" fontId="68" fillId="0" borderId="14" xfId="0" applyFont="1" applyBorder="1" applyAlignment="1">
      <alignment vertical="center" readingOrder="2"/>
    </xf>
    <xf numFmtId="0" fontId="68" fillId="0" borderId="19" xfId="0" applyFont="1" applyBorder="1" applyAlignment="1">
      <alignment vertical="center" readingOrder="2"/>
    </xf>
    <xf numFmtId="0" fontId="68" fillId="0" borderId="14" xfId="0" applyFont="1" applyBorder="1" applyAlignment="1">
      <alignment vertical="center" wrapText="1" readingOrder="2"/>
    </xf>
    <xf numFmtId="0" fontId="68" fillId="0" borderId="86" xfId="0" applyFont="1" applyBorder="1" applyAlignment="1">
      <alignment vertical="center" readingOrder="2"/>
    </xf>
    <xf numFmtId="0" fontId="68" fillId="0" borderId="20" xfId="0" applyFont="1" applyBorder="1" applyAlignment="1">
      <alignment horizontal="center" vertical="center" readingOrder="2"/>
    </xf>
    <xf numFmtId="0" fontId="68" fillId="0" borderId="21" xfId="0" applyFont="1" applyBorder="1" applyAlignment="1">
      <alignment vertical="center" readingOrder="2"/>
    </xf>
    <xf numFmtId="0" fontId="68" fillId="0" borderId="22" xfId="0" applyFont="1" applyBorder="1" applyAlignment="1">
      <alignment vertical="center" readingOrder="2"/>
    </xf>
    <xf numFmtId="0" fontId="68" fillId="0" borderId="76" xfId="0" applyFont="1" applyBorder="1" applyAlignment="1">
      <alignment vertical="center" readingOrder="2"/>
    </xf>
    <xf numFmtId="0" fontId="68" fillId="0" borderId="64" xfId="0" applyFont="1" applyBorder="1" applyAlignment="1">
      <alignment vertical="center" readingOrder="2"/>
    </xf>
    <xf numFmtId="0" fontId="68" fillId="0" borderId="0" xfId="0" applyFont="1" applyAlignment="1">
      <alignment vertical="top" readingOrder="2"/>
    </xf>
    <xf numFmtId="0" fontId="68" fillId="0" borderId="23" xfId="0" applyFont="1" applyBorder="1" applyAlignment="1">
      <alignment horizontal="right" vertical="center" readingOrder="2"/>
    </xf>
    <xf numFmtId="0" fontId="68" fillId="0" borderId="24" xfId="0" applyFont="1" applyBorder="1" applyAlignment="1">
      <alignment vertical="center" readingOrder="2"/>
    </xf>
    <xf numFmtId="0" fontId="68" fillId="24" borderId="14" xfId="0" applyFont="1" applyFill="1" applyBorder="1" applyAlignment="1">
      <alignment horizontal="center" vertical="center" readingOrder="2"/>
    </xf>
    <xf numFmtId="0" fontId="68" fillId="24" borderId="19" xfId="0" applyFont="1" applyFill="1" applyBorder="1" applyAlignment="1">
      <alignment horizontal="center" vertical="center" readingOrder="2"/>
    </xf>
    <xf numFmtId="0" fontId="68" fillId="0" borderId="87" xfId="0" applyFont="1" applyBorder="1" applyAlignment="1">
      <alignment horizontal="center" vertical="center" readingOrder="2"/>
    </xf>
    <xf numFmtId="0" fontId="68" fillId="0" borderId="77" xfId="0" applyFont="1" applyBorder="1" applyAlignment="1">
      <alignment vertical="center" readingOrder="2"/>
    </xf>
    <xf numFmtId="0" fontId="68" fillId="0" borderId="88" xfId="0" applyFont="1" applyBorder="1" applyAlignment="1">
      <alignment vertical="center" readingOrder="2"/>
    </xf>
    <xf numFmtId="0" fontId="68" fillId="0" borderId="89" xfId="0" applyFont="1" applyBorder="1" applyAlignment="1">
      <alignment vertical="center" readingOrder="2"/>
    </xf>
    <xf numFmtId="0" fontId="68" fillId="0" borderId="59" xfId="0" applyFont="1" applyBorder="1" applyAlignment="1">
      <alignment vertical="center" readingOrder="2"/>
    </xf>
    <xf numFmtId="0" fontId="68" fillId="0" borderId="85" xfId="0" applyFont="1" applyBorder="1" applyAlignment="1">
      <alignment vertical="center" readingOrder="2"/>
    </xf>
    <xf numFmtId="0" fontId="68" fillId="0" borderId="67" xfId="0" applyFont="1" applyBorder="1" applyAlignment="1">
      <alignment vertical="center" readingOrder="2"/>
    </xf>
    <xf numFmtId="0" fontId="68" fillId="0" borderId="25" xfId="0" applyFont="1" applyBorder="1" applyAlignment="1">
      <alignment vertical="top" readingOrder="2"/>
    </xf>
    <xf numFmtId="0" fontId="54" fillId="18" borderId="33" xfId="1" applyNumberFormat="1" applyFont="1" applyFill="1" applyBorder="1" applyAlignment="1">
      <alignment horizontal="center" vertical="center"/>
    </xf>
    <xf numFmtId="0" fontId="61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2" fillId="0" borderId="0" xfId="1" applyNumberFormat="1" applyFont="1" applyFill="1" applyBorder="1" applyAlignment="1">
      <alignment horizontal="left" vertical="center" readingOrder="1"/>
    </xf>
    <xf numFmtId="0" fontId="70" fillId="24" borderId="69" xfId="0" applyFont="1" applyFill="1" applyBorder="1" applyAlignment="1">
      <alignment horizontal="right" vertical="center"/>
    </xf>
    <xf numFmtId="0" fontId="70" fillId="24" borderId="82" xfId="0" applyFont="1" applyFill="1" applyBorder="1" applyAlignment="1">
      <alignment vertical="center" readingOrder="2"/>
    </xf>
    <xf numFmtId="0" fontId="70" fillId="24" borderId="66" xfId="0" applyFont="1" applyFill="1" applyBorder="1" applyAlignment="1">
      <alignment vertical="center" readingOrder="2"/>
    </xf>
    <xf numFmtId="0" fontId="70" fillId="24" borderId="65" xfId="0" applyFont="1" applyFill="1" applyBorder="1" applyAlignment="1">
      <alignment horizontal="right" vertical="center" readingOrder="2"/>
    </xf>
    <xf numFmtId="0" fontId="70" fillId="24" borderId="66" xfId="0" applyFont="1" applyFill="1" applyBorder="1" applyAlignment="1">
      <alignment horizontal="right" vertical="center" readingOrder="2"/>
    </xf>
    <xf numFmtId="0" fontId="70" fillId="24" borderId="79" xfId="0" applyFont="1" applyFill="1" applyBorder="1" applyAlignment="1">
      <alignment horizontal="left" vertical="center" readingOrder="2"/>
    </xf>
    <xf numFmtId="0" fontId="70" fillId="24" borderId="74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vertical="center" readingOrder="2"/>
    </xf>
    <xf numFmtId="0" fontId="70" fillId="24" borderId="70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indent="1" readingOrder="2"/>
    </xf>
    <xf numFmtId="0" fontId="70" fillId="24" borderId="75" xfId="0" applyFont="1" applyFill="1" applyBorder="1" applyAlignment="1">
      <alignment vertical="center" readingOrder="2"/>
    </xf>
    <xf numFmtId="0" fontId="70" fillId="24" borderId="8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left" vertical="center" readingOrder="2"/>
    </xf>
    <xf numFmtId="0" fontId="70" fillId="24" borderId="69" xfId="0" applyFont="1" applyFill="1" applyBorder="1" applyAlignment="1">
      <alignment vertical="center" readingOrder="2"/>
    </xf>
    <xf numFmtId="0" fontId="70" fillId="24" borderId="7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right" vertical="center" readingOrder="2"/>
    </xf>
    <xf numFmtId="0" fontId="70" fillId="24" borderId="69" xfId="0" applyFont="1" applyFill="1" applyBorder="1" applyAlignment="1">
      <alignment horizontal="center" vertical="center" readingOrder="2"/>
    </xf>
    <xf numFmtId="0" fontId="70" fillId="24" borderId="73" xfId="0" applyFont="1" applyFill="1" applyBorder="1" applyAlignment="1">
      <alignment horizontal="right" vertical="center" indent="1" readingOrder="2"/>
    </xf>
    <xf numFmtId="0" fontId="70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ill="1" applyBorder="1" applyAlignment="1">
      <alignment horizontal="center" vertical="center"/>
    </xf>
    <xf numFmtId="3" fontId="70" fillId="0" borderId="26" xfId="1" applyNumberFormat="1" applyFont="1" applyBorder="1" applyAlignment="1">
      <alignment horizontal="left" readingOrder="1"/>
    </xf>
    <xf numFmtId="0" fontId="70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0" fontId="61" fillId="2" borderId="31" xfId="1" applyNumberFormat="1" applyFont="1" applyFill="1" applyBorder="1" applyAlignment="1">
      <alignment horizontal="center" vertical="center"/>
    </xf>
    <xf numFmtId="41" fontId="56" fillId="17" borderId="32" xfId="1" applyNumberFormat="1" applyFont="1" applyFill="1" applyBorder="1" applyAlignment="1">
      <alignment horizontal="center" vertical="center" readingOrder="1"/>
    </xf>
    <xf numFmtId="0" fontId="34" fillId="2" borderId="5" xfId="0" applyFont="1" applyFill="1" applyBorder="1" applyAlignment="1">
      <alignment horizontal="center" vertical="center" readingOrder="1"/>
    </xf>
    <xf numFmtId="0" fontId="54" fillId="2" borderId="31" xfId="0" applyFont="1" applyFill="1" applyBorder="1" applyAlignment="1">
      <alignment horizontal="center" vertical="center"/>
    </xf>
    <xf numFmtId="0" fontId="61" fillId="2" borderId="31" xfId="0" applyFont="1" applyFill="1" applyBorder="1" applyAlignment="1">
      <alignment horizontal="center" vertical="center"/>
    </xf>
    <xf numFmtId="0" fontId="56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41" fontId="52" fillId="2" borderId="32" xfId="1" applyNumberFormat="1" applyFont="1" applyFill="1" applyBorder="1" applyAlignment="1">
      <alignment horizontal="center" vertical="center" readingOrder="1"/>
    </xf>
    <xf numFmtId="0" fontId="72" fillId="0" borderId="0" xfId="3" applyFont="1" applyAlignment="1">
      <alignment horizontal="center" vertical="top" wrapText="1"/>
    </xf>
    <xf numFmtId="0" fontId="72" fillId="0" borderId="0" xfId="3" applyFont="1" applyAlignment="1">
      <alignment horizontal="center" vertical="top" textRotation="90"/>
    </xf>
    <xf numFmtId="0" fontId="72" fillId="0" borderId="0" xfId="3" applyFont="1" applyAlignment="1">
      <alignment horizontal="right" vertical="top" wrapText="1"/>
    </xf>
    <xf numFmtId="0" fontId="36" fillId="0" borderId="0" xfId="0" applyFont="1" applyAlignment="1">
      <alignment horizontal="center" vertical="top" wrapText="1"/>
    </xf>
    <xf numFmtId="0" fontId="5" fillId="0" borderId="0" xfId="3" applyFont="1" applyAlignment="1">
      <alignment horizontal="center" vertical="center" wrapText="1"/>
    </xf>
    <xf numFmtId="0" fontId="72" fillId="0" borderId="0" xfId="3" applyFont="1" applyAlignment="1">
      <alignment horizontal="right" vertical="center"/>
    </xf>
    <xf numFmtId="0" fontId="72" fillId="0" borderId="0" xfId="3" applyFont="1" applyAlignment="1">
      <alignment horizontal="center" vertical="center" wrapText="1"/>
    </xf>
    <xf numFmtId="2" fontId="72" fillId="0" borderId="0" xfId="3" applyNumberFormat="1" applyFont="1" applyAlignment="1">
      <alignment horizontal="center" vertical="center" wrapText="1"/>
    </xf>
    <xf numFmtId="2" fontId="72" fillId="0" borderId="43" xfId="3" applyNumberFormat="1" applyFont="1" applyBorder="1" applyAlignment="1">
      <alignment horizontal="center" vertical="center" wrapText="1"/>
    </xf>
    <xf numFmtId="0" fontId="36" fillId="0" borderId="0" xfId="0" applyFont="1" applyAlignment="1">
      <alignment horizontal="right" vertical="center"/>
    </xf>
    <xf numFmtId="0" fontId="68" fillId="24" borderId="60" xfId="0" applyFont="1" applyFill="1" applyBorder="1" applyAlignment="1">
      <alignment horizontal="center" vertical="center" readingOrder="2"/>
    </xf>
    <xf numFmtId="0" fontId="68" fillId="24" borderId="84" xfId="0" applyFont="1" applyFill="1" applyBorder="1" applyAlignment="1">
      <alignment horizontal="center" vertical="center" readingOrder="2"/>
    </xf>
    <xf numFmtId="0" fontId="68" fillId="0" borderId="25" xfId="0" applyFont="1" applyBorder="1" applyAlignment="1">
      <alignment vertical="top" readingOrder="2"/>
    </xf>
    <xf numFmtId="0" fontId="68" fillId="0" borderId="24" xfId="0" applyFont="1" applyBorder="1" applyAlignment="1">
      <alignment vertical="top" readingOrder="2"/>
    </xf>
    <xf numFmtId="0" fontId="68" fillId="0" borderId="58" xfId="0" applyFont="1" applyBorder="1" applyAlignment="1">
      <alignment vertical="top" readingOrder="2"/>
    </xf>
    <xf numFmtId="0" fontId="68" fillId="0" borderId="23" xfId="0" applyFont="1" applyBorder="1" applyAlignment="1">
      <alignment vertical="top" readingOrder="2"/>
    </xf>
    <xf numFmtId="0" fontId="68" fillId="24" borderId="61" xfId="0" applyFont="1" applyFill="1" applyBorder="1" applyAlignment="1">
      <alignment horizontal="center" vertical="center" readingOrder="2"/>
    </xf>
    <xf numFmtId="0" fontId="68" fillId="24" borderId="85" xfId="0" applyFont="1" applyFill="1" applyBorder="1" applyAlignment="1">
      <alignment horizontal="center" vertical="center" readingOrder="2"/>
    </xf>
    <xf numFmtId="0" fontId="68" fillId="24" borderId="17" xfId="0" applyFont="1" applyFill="1" applyBorder="1" applyAlignment="1">
      <alignment horizontal="center" vertical="center" readingOrder="2"/>
    </xf>
    <xf numFmtId="0" fontId="68" fillId="24" borderId="27" xfId="0" applyFont="1" applyFill="1" applyBorder="1" applyAlignment="1">
      <alignment horizontal="center" vertical="center" readingOrder="2"/>
    </xf>
    <xf numFmtId="0" fontId="66" fillId="0" borderId="25" xfId="0" applyFont="1" applyBorder="1" applyAlignment="1">
      <alignment horizontal="right" vertical="center" wrapText="1" indent="1" readingOrder="2"/>
    </xf>
    <xf numFmtId="0" fontId="66" fillId="0" borderId="26" xfId="0" applyFont="1" applyBorder="1" applyAlignment="1">
      <alignment horizontal="right" vertical="center" wrapText="1" indent="1" readingOrder="2"/>
    </xf>
    <xf numFmtId="0" fontId="68" fillId="24" borderId="61" xfId="0" applyFont="1" applyFill="1" applyBorder="1" applyAlignment="1">
      <alignment horizontal="center" vertical="center" wrapText="1" readingOrder="2"/>
    </xf>
    <xf numFmtId="0" fontId="68" fillId="24" borderId="85" xfId="0" applyFont="1" applyFill="1" applyBorder="1" applyAlignment="1">
      <alignment horizontal="center" vertical="center" wrapText="1" readingOrder="2"/>
    </xf>
    <xf numFmtId="0" fontId="71" fillId="0" borderId="25" xfId="0" applyFont="1" applyBorder="1" applyAlignment="1">
      <alignment horizontal="center" vertical="center" readingOrder="2"/>
    </xf>
    <xf numFmtId="0" fontId="71" fillId="0" borderId="24" xfId="0" applyFont="1" applyBorder="1" applyAlignment="1">
      <alignment horizontal="center" vertical="center" readingOrder="2"/>
    </xf>
    <xf numFmtId="0" fontId="71" fillId="0" borderId="58" xfId="0" applyFont="1" applyBorder="1" applyAlignment="1">
      <alignment horizontal="center" vertical="center" readingOrder="2"/>
    </xf>
    <xf numFmtId="0" fontId="68" fillId="24" borderId="62" xfId="0" applyFont="1" applyFill="1" applyBorder="1" applyAlignment="1">
      <alignment horizontal="center" vertical="center" wrapText="1" readingOrder="2"/>
    </xf>
    <xf numFmtId="0" fontId="68" fillId="24" borderId="86" xfId="0" applyFont="1" applyFill="1" applyBorder="1" applyAlignment="1">
      <alignment horizontal="center" vertical="center" wrapText="1" readingOrder="2"/>
    </xf>
    <xf numFmtId="0" fontId="66" fillId="24" borderId="62" xfId="0" applyFont="1" applyFill="1" applyBorder="1" applyAlignment="1">
      <alignment horizontal="center" vertical="center" wrapText="1"/>
    </xf>
    <xf numFmtId="0" fontId="66" fillId="24" borderId="86" xfId="0" applyFont="1" applyFill="1" applyBorder="1" applyAlignment="1">
      <alignment horizontal="center" vertical="center" wrapText="1"/>
    </xf>
    <xf numFmtId="0" fontId="66" fillId="24" borderId="61" xfId="0" applyFont="1" applyFill="1" applyBorder="1" applyAlignment="1">
      <alignment horizontal="center" vertical="center" wrapText="1"/>
    </xf>
    <xf numFmtId="0" fontId="66" fillId="24" borderId="85" xfId="0" applyFont="1" applyFill="1" applyBorder="1" applyAlignment="1">
      <alignment horizontal="center" vertical="center" wrapText="1"/>
    </xf>
    <xf numFmtId="0" fontId="67" fillId="0" borderId="25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6" fillId="0" borderId="23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8" fillId="24" borderId="82" xfId="0" applyFont="1" applyFill="1" applyBorder="1" applyAlignment="1">
      <alignment horizontal="right" vertical="center"/>
    </xf>
    <xf numFmtId="0" fontId="68" fillId="24" borderId="81" xfId="0" applyFont="1" applyFill="1" applyBorder="1" applyAlignment="1">
      <alignment horizontal="right" vertical="center"/>
    </xf>
    <xf numFmtId="0" fontId="66" fillId="0" borderId="25" xfId="0" applyFont="1" applyBorder="1" applyAlignment="1">
      <alignment horizontal="right" vertical="center" wrapText="1" indent="1"/>
    </xf>
    <xf numFmtId="0" fontId="66" fillId="0" borderId="24" xfId="0" applyFont="1" applyBorder="1" applyAlignment="1">
      <alignment horizontal="right" vertical="center" wrapText="1" indent="1"/>
    </xf>
    <xf numFmtId="0" fontId="66" fillId="0" borderId="26" xfId="0" applyFont="1" applyBorder="1" applyAlignment="1">
      <alignment horizontal="right" vertical="center" wrapText="1" indent="1"/>
    </xf>
    <xf numFmtId="0" fontId="66" fillId="24" borderId="60" xfId="0" applyFont="1" applyFill="1" applyBorder="1" applyAlignment="1">
      <alignment horizontal="center" vertical="center" wrapText="1"/>
    </xf>
    <xf numFmtId="0" fontId="66" fillId="24" borderId="84" xfId="0" applyFont="1" applyFill="1" applyBorder="1" applyAlignment="1">
      <alignment horizontal="center" vertical="center" wrapText="1"/>
    </xf>
    <xf numFmtId="0" fontId="45" fillId="0" borderId="90" xfId="2" applyFont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22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F0"/>
        </patternFill>
      </fill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57150</xdr:rowOff>
        </xdr:from>
        <xdr:to>
          <xdr:col>21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57150</xdr:rowOff>
        </xdr:from>
        <xdr:to>
          <xdr:col>7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47625</xdr:rowOff>
        </xdr:from>
        <xdr:to>
          <xdr:col>7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0</xdr:row>
          <xdr:rowOff>47625</xdr:rowOff>
        </xdr:from>
        <xdr:to>
          <xdr:col>7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66675</xdr:rowOff>
        </xdr:from>
        <xdr:to>
          <xdr:col>14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0</xdr:row>
          <xdr:rowOff>66675</xdr:rowOff>
        </xdr:from>
        <xdr:to>
          <xdr:col>15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38100</xdr:rowOff>
        </xdr:from>
        <xdr:to>
          <xdr:col>9</xdr:col>
          <xdr:colOff>38100</xdr:colOff>
          <xdr:row>12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C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xcells\NES.xlsm" TargetMode="External"/><Relationship Id="rId1" Type="http://schemas.openxmlformats.org/officeDocument/2006/relationships/externalLinkPath" Target="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ducts"/>
      <sheetName val="customers"/>
      <sheetName val="cables"/>
      <sheetName val="plugs"/>
      <sheetName val="cords"/>
      <sheetName val="terminals"/>
      <sheetName val="applicators"/>
      <sheetName val="molds"/>
      <sheetName val="mold_product"/>
      <sheetName val="ferrites"/>
      <sheetName val="orders"/>
      <sheetName val="deadlines"/>
      <sheetName val="months"/>
      <sheetName val="cycletimes"/>
      <sheetName val="cuts"/>
      <sheetName val="converts"/>
      <sheetName val="free_cuts"/>
      <sheetName val="batches"/>
      <sheetName val="cables (15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35" totalsRowShown="0" headerRowDxfId="225" dataDxfId="224" headerRowCellStyle="Normal_Sheet3" dataCellStyle="Normal_Sheet3">
  <autoFilter ref="A1:AJ135" xr:uid="{230976F5-0DF3-470B-A116-DEB0A8BA6B87}"/>
  <tableColumns count="36">
    <tableColumn id="1" xr3:uid="{6011D70C-02D0-417C-B32F-13BC360C9B84}" name="Id" dataDxfId="223" dataCellStyle="Normal_Sheet3"/>
    <tableColumn id="2" xr3:uid="{E7EA5CA8-283F-4CC1-BE62-E35E4DF30503}" name="کد کابل" dataDxfId="222" dataCellStyle="Normal_Sheet3"/>
    <tableColumn id="3" xr3:uid="{67304A6B-0DA2-4ADB-A703-B833D9CCD615}" name="شرح محصول" dataDxfId="221" dataCellStyle="Normal_Sheet3"/>
    <tableColumn id="4" xr3:uid="{6940E87E-2664-4EC5-9A69-8F689F2FDF4A}" name="رنگ کابل" dataDxfId="220" dataCellStyle="Normal_Sheet3"/>
    <tableColumn id="5" xr3:uid="{67BB6E36-F0E3-4817-997E-2F376C957C63}" name="طول برش" dataDxfId="219" dataCellStyle="Normal_Sheet3"/>
    <tableColumn id="6" xr3:uid="{C71544AB-09C9-46C1-AB1E-D89012D22482}" name="طول سیم قهوه ایی" dataDxfId="218" dataCellStyle="Normal_Sheet3"/>
    <tableColumn id="7" xr3:uid="{E159F7BA-34A4-47EA-9C9B-3059EF287E47}" name="طول سیم آبی" dataDxfId="217" dataCellStyle="Normal_Sheet3"/>
    <tableColumn id="8" xr3:uid="{9CE16680-6AFC-49D2-B73E-0C2F17DF339B}" name="طول سیم ارت" dataDxfId="216" dataCellStyle="Normal_Sheet3"/>
    <tableColumn id="9" xr3:uid="{30F04D4B-0989-414F-AB13-187F24756A8B}" name="غلافبرداری کوتاه" dataDxfId="215" dataCellStyle="Normal_Sheet3"/>
    <tableColumn id="10" xr3:uid="{CF7BBED6-3A26-4910-A9B4-0C83F5045BF7}" name="غلافبرداری بلند" dataDxfId="214" dataCellStyle="Normal_Sheet3"/>
    <tableColumn id="11" xr3:uid="{68745DA8-238F-4802-8F7E-6F4D1A671EFF}" name="نوع مغزی دوشاخه" dataDxfId="213" dataCellStyle="Normal_Sheet3"/>
    <tableColumn id="12" xr3:uid="{DAFA5D6C-6B56-4497-88B0-A4C94BA79C8A}" name="روکشبرداری قهوه ایی" dataDxfId="212" dataCellStyle="Normal_Sheet3"/>
    <tableColumn id="13" xr3:uid="{A1046BC2-DE37-4EA9-8BA6-C934A8C3A9AB}" name="روکشبرداری آبی" dataDxfId="211" dataCellStyle="Normal_Sheet3"/>
    <tableColumn id="14" xr3:uid="{45E0B180-1D4C-4063-8844-9D08BEF0351C}" name="روکشبرداری زرد" dataDxfId="210" dataCellStyle="Normal_Sheet3"/>
    <tableColumn id="15" xr3:uid="{8E1E50DF-8B06-47BE-9A71-E9C1773504FB}" name="روکش مغزی" dataDxfId="209" dataCellStyle="Normal_Sheet3"/>
    <tableColumn id="16" xr3:uid="{6D0ACA82-A890-45A5-8DE8-A69D22632990}" name="نوع کابل" dataDxfId="208" dataCellStyle="Normal_Sheet3"/>
    <tableColumn id="17" xr3:uid="{18C48C2A-5E45-4ACD-8795-5FEB1856B5AE}" name="نام مشتری" dataDxfId="207" dataCellStyle="Normal_Sheet3"/>
    <tableColumn id="18" xr3:uid="{B6CB8760-5C80-44FE-87A4-A0C08C728482}" name="مهاربند" dataDxfId="206" dataCellStyle="Normal_Sheet3"/>
    <tableColumn id="19" xr3:uid="{B6FB20A4-34C1-4051-8D40-E4E128CF5AA8}" name="سر سیم  قهوه ای" dataDxfId="205" dataCellStyle="Normal_Sheet3"/>
    <tableColumn id="20" xr3:uid="{A3FF7FFC-77AB-4339-816C-067CAB7F0A20}" name="سر سیم آبی" dataDxfId="204" dataCellStyle="Normal_Sheet3"/>
    <tableColumn id="21" xr3:uid="{B08DEC83-EDF8-48AE-8018-ED6BAF045C55}" name="سر سیم  زرد" dataDxfId="203" dataCellStyle="Normal_Sheet3"/>
    <tableColumn id="22" xr3:uid="{6A003E08-BFB3-4D73-8ABC-5AD9823D0CD2}" name="type" dataDxfId="202" dataCellStyle="Normal_Sheet3"/>
    <tableColumn id="24" xr3:uid="{304518EF-07F1-4451-9579-0195A353EEA8}" name="strip" dataDxfId="201" dataCellStyle="Normal_Sheet3"/>
    <tableColumn id="25" xr3:uid="{10493CCC-7FC2-49F3-926B-C922EF843A60}" name="frrt" dataDxfId="200" dataCellStyle="Normal_Sheet3"/>
    <tableColumn id="26" xr3:uid="{E1B442E1-BD37-4EA7-93A3-63616627E35E}" name="wgt" dataDxfId="199" dataCellStyle="Normal_Sheet3"/>
    <tableColumn id="27" xr3:uid="{A840790A-24B3-4D6E-92BD-44E528A52337}" name="ph" dataDxfId="198" dataCellStyle="Normal_Sheet3"/>
    <tableColumn id="28" xr3:uid="{78681A1F-FC38-4726-A2EA-B81C13FC1A91}" name="erth" dataDxfId="197" dataCellStyle="Normal_Sheet3"/>
    <tableColumn id="29" xr3:uid="{0E5AE8D2-159B-4054-BB9B-A374162879D9}" name="dbl" dataDxfId="196" dataCellStyle="Normal_Sheet3"/>
    <tableColumn id="30" xr3:uid="{5DA9D2DE-A4E0-452C-995E-C1CADB7509AC}" name="tp" dataDxfId="195" dataCellStyle="Normal_Sheet3"/>
    <tableColumn id="31" xr3:uid="{4B718155-1568-4EAF-9D10-97A3CA604536}" name="p1" dataDxfId="194" dataCellStyle="Normal_Sheet3"/>
    <tableColumn id="32" xr3:uid="{89FE84A5-E6D5-49B1-ADA5-7BDDF7B6CDB8}" name="p2" dataDxfId="193" dataCellStyle="Normal_Sheet3"/>
    <tableColumn id="33" xr3:uid="{19ACEC4E-E48E-42F8-B618-8C6A0B68AF19}" name="p3" dataDxfId="192" dataCellStyle="Normal_Sheet3"/>
    <tableColumn id="34" xr3:uid="{83552E0E-AF03-4457-8456-F502C9BDBDA1}" name="ts" dataDxfId="191" dataCellStyle="Normal_Sheet3"/>
    <tableColumn id="35" xr3:uid="{23A216C6-73BD-4133-9FCB-FFFEF416BDDE}" name="s1" dataDxfId="190" dataCellStyle="Normal_Sheet3"/>
    <tableColumn id="36" xr3:uid="{F5089700-65D5-4D2F-AE72-CDE09DFDEE2C}" name="s2" dataDxfId="189" dataCellStyle="Normal_Sheet3"/>
    <tableColumn id="37" xr3:uid="{22EC6CFA-7049-487E-A9D2-878DF911F345}" name="s3" dataDxfId="188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40" totalsRowShown="0" headerRowDxfId="187">
  <autoFilter ref="A1:G140" xr:uid="{F7F4813F-EF92-4E9C-A66D-6313688E3023}"/>
  <tableColumns count="7">
    <tableColumn id="1" xr3:uid="{60466DA5-28A4-495C-8B12-BCDE5E232E58}" name="emailDate" dataDxfId="186"/>
    <tableColumn id="2" xr3:uid="{72B2F6C2-80BF-4907-9BFA-28506685AF39}" name="productId" dataDxfId="185"/>
    <tableColumn id="7" xr3:uid="{65CC632E-544A-4CB5-A195-0BE26FA768EC}" name="planId" dataDxfId="184"/>
    <tableColumn id="3" xr3:uid="{F421A234-8F63-4086-9919-D5A1DB8A4B70}" name="num" dataDxfId="183" dataCellStyle="Comma"/>
    <tableColumn id="4" xr3:uid="{94F1E9D6-BAF6-4E78-A78D-087C62EB0AF0}" name="toDate" dataDxfId="182"/>
    <tableColumn id="5" xr3:uid="{C7F05BA0-9A4A-4BCE-BD1E-68074BF6D3E0}" name="descriptions" dataDxfId="181"/>
    <tableColumn id="6" xr3:uid="{E8CA84D0-033C-4F78-9A65-7C6154A396B5}" name="prgs" dataDxfId="180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R218" totalsRowShown="0" headerRowDxfId="179" dataDxfId="178">
  <autoFilter ref="A1:R218" xr:uid="{8167E6A3-658A-408E-89B5-D18C349D5554}"/>
  <tableColumns count="18">
    <tableColumn id="13" xr3:uid="{DE0A4194-2FE3-44B8-A4FC-9BE335F0454A}" name="cutId" dataDxfId="177"/>
    <tableColumn id="1" xr3:uid="{8E09EF74-88B5-4CED-BAE7-8C246360B202}" name="date" dataDxfId="176"/>
    <tableColumn id="2" xr3:uid="{E1401BFC-D05F-46F5-B67E-84731379C875}" name="productId" dataDxfId="175"/>
    <tableColumn id="3" xr3:uid="{106DB396-B234-426F-A660-CD02ED289518}" name="num" dataDxfId="174"/>
    <tableColumn id="6" xr3:uid="{BD69E640-7658-41EE-AB10-D6905B025713}" name="size" dataDxfId="173"/>
    <tableColumn id="17" xr3:uid="{7D115582-E822-40EF-A699-66379D4878C4}" name="Column1" dataDxfId="19">
      <calculatedColumnFormula>_xlfn.XLOOKUP(cutts[[#This Row],[cutId]],[1]!Table15678910111216182021[idd],[1]!Table15678910111216182021[id])</calculatedColumnFormula>
    </tableColumn>
    <tableColumn id="18" xr3:uid="{37FA3D4B-69AA-4C97-B7B4-602909853D51}" name="Column2" dataDxfId="18">
      <calculatedColumnFormula>_xlfn.XLOOKUP(cutts[[#This Row],[cutId]],[1]!Table1567891011121618202124[idd],[1]!Table1567891011121618202124[id])</calculatedColumnFormula>
    </tableColumn>
    <tableColumn id="14" xr3:uid="{B382B8D8-4AAB-44B2-BC79-33748A623085}" name="batchIds" dataDxfId="172"/>
    <tableColumn id="11" xr3:uid="{8E072BFE-1713-4ADD-A237-2BE2663BE87A}" name="plan1" dataDxfId="171"/>
    <tableColumn id="10" xr3:uid="{BD827FC0-6F11-4721-A389-C6792136D07A}" name="num1" dataDxfId="170">
      <calculatedColumnFormula>cutts[[#This Row],[num]]-SUM(cutts[[#This Row],[num2]])</calculatedColumnFormula>
    </tableColumn>
    <tableColumn id="8" xr3:uid="{0B644DC9-0610-4BA6-8037-8F2C9A52B098}" name="plan2" dataDxfId="169"/>
    <tableColumn id="5" xr3:uid="{27282D4C-D15C-43FE-AD89-65391E477186}" name="num2" dataDxfId="168"/>
    <tableColumn id="4" xr3:uid="{AE0242F6-2A14-42A5-AE68-2450A52DAB89}" name="cutted" dataDxfId="167"/>
    <tableColumn id="12" xr3:uid="{B2A4DE14-806A-4AE3-9493-6FA09026D36D}" name="cutDate" dataDxfId="166"/>
    <tableColumn id="9" xr3:uid="{C97BA3E4-C2BF-4736-AAC7-36E847826BD8}" name="unCutted" dataDxfId="165">
      <calculatedColumnFormula>cutts[[#This Row],[num]]-cutts[[#This Row],[cutted]]</calculatedColumnFormula>
    </tableColumn>
    <tableColumn id="15" xr3:uid="{E0A63C67-E2F4-411D-A0AF-EF9AA364A6F0}" name="chk" dataDxfId="164"/>
    <tableColumn id="16" xr3:uid="{2D28E115-031D-471D-8DDF-C3824B480622}" name="remain" dataDxfId="163"/>
    <tableColumn id="7" xr3:uid="{5C3BC09E-C16D-40DB-AB5C-C87830C5488F}" name="description" dataDxfId="1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L498" totalsRowShown="0" headerRowDxfId="161" dataDxfId="160">
  <autoFilter ref="A1:L498" xr:uid="{8167E6A3-658A-408E-89B5-D18C349D5554}"/>
  <tableColumns count="12">
    <tableColumn id="12" xr3:uid="{65076807-0B2C-4F6D-9A20-3D1B918FD904}" name="rr" dataDxfId="159"/>
    <tableColumn id="1" xr3:uid="{C195FD0F-6D84-4F24-9281-D2169B5474B6}" name="date" dataDxfId="158"/>
    <tableColumn id="2" xr3:uid="{641E1BAA-BB34-4110-AC55-ADE0F598F0E4}" name="productId" dataDxfId="157"/>
    <tableColumn id="3" xr3:uid="{65258D09-A861-4D87-A6AD-15E0A4A96DD3}" name="num" dataDxfId="156"/>
    <tableColumn id="6" xr3:uid="{D28AA8D9-95C8-4031-AFBD-569C456304F6}" name="wtg" dataDxfId="155">
      <calculatedColumnFormula>_xlfn.XLOOKUP(packes[[#This Row],[productId]],bom[Id],bom[wgt])</calculatedColumnFormula>
    </tableColumn>
    <tableColumn id="5" xr3:uid="{CDBC41C8-AA5E-4713-AE35-335910A9CD73}" name="wPacked" dataDxfId="154">
      <calculatedColumnFormula>packes[[#This Row],[num]]*packes[[#This Row],[wtg]]</calculatedColumnFormula>
    </tableColumn>
    <tableColumn id="11" xr3:uid="{9939AF8E-8418-4AC7-980C-F04560CF9EB6}" name="plan1" dataDxfId="153"/>
    <tableColumn id="10" xr3:uid="{8AAE92AE-D9D1-44D0-844E-EE8F3CA03837}" name="num1" dataDxfId="152">
      <calculatedColumnFormula>packes[[#This Row],[num]]-SUM(packes[[#This Row],[num2]])</calculatedColumnFormula>
    </tableColumn>
    <tableColumn id="8" xr3:uid="{FEB7B03F-CA23-4B69-AFE9-B9A6EFC28C7B}" name="plan2" dataDxfId="151"/>
    <tableColumn id="7" xr3:uid="{FCEB1C45-6FB3-4147-BDE2-94F0CB339A89}" name="num2" dataDxfId="150"/>
    <tableColumn id="4" xr3:uid="{A2682878-D618-4AEC-BB16-F7043D41600A}" name="remain" dataDxfId="149"/>
    <tableColumn id="13" xr3:uid="{A42FA1DA-A0C0-4628-BEF7-2756E9AC443D}" name="description" dataDxfId="1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1" totalsRowShown="0" tableBorderDxfId="147">
  <autoFilter ref="A2:AZ11" xr:uid="{EE19A367-B64E-4043-871B-5834E9FBFF33}"/>
  <sortState xmlns:xlrd2="http://schemas.microsoft.com/office/spreadsheetml/2017/richdata2" ref="A3:AZ10">
    <sortCondition ref="M2:M10"/>
  </sortState>
  <tableColumns count="52">
    <tableColumn id="1" xr3:uid="{389B0A2C-CCC0-4478-A074-3992CC6A4A3C}" name="productId" dataDxfId="146"/>
    <tableColumn id="7" xr3:uid="{4A833F56-DB28-42A0-A12D-D51C9811949C}" name="planId" dataDxfId="145"/>
    <tableColumn id="2" xr3:uid="{D9B43C19-2B87-4470-B942-EA8358354331}" name="category" dataDxfId="144"/>
    <tableColumn id="3" xr3:uid="{822E4635-4D11-4325-BBB8-6C09564A2EB2}" name="ph" dataDxfId="143">
      <calculatedColumnFormula>_xlfn.XLOOKUP(progress_tbl[[#This Row],[productId]],bom[Id],bom[ph],"NA")</calculatedColumnFormula>
    </tableColumn>
    <tableColumn id="4" xr3:uid="{C4537872-ABBE-4DF6-99B6-D13629682C00}" name="erth" dataDxfId="142">
      <calculatedColumnFormula>_xlfn.XLOOKUP(progress_tbl[[#This Row],[productId]],bom[Id],bom[erth],"NA")</calculatedColumnFormula>
    </tableColumn>
    <tableColumn id="5" xr3:uid="{27E03926-245E-4B86-B1B6-9FBA6F64A6F2}" name="dbl" dataDxfId="141">
      <calculatedColumnFormula>_xlfn.XLOOKUP(progress_tbl[[#This Row],[productId]],bom[Id],bom[dbl],"NA")</calculatedColumnFormula>
    </tableColumn>
    <tableColumn id="82" xr3:uid="{54F06A2B-52DE-4504-8090-C9FBF5FD15AC}" name="cable" dataDxfId="140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139" dataCellStyle="Comma">
      <calculatedColumnFormula>_xlfn.XLOOKUP(progress_tbl[[#This Row],[productId]],bom[Id],bom[strip],"NA")</calculatedColumnFormula>
    </tableColumn>
    <tableColumn id="6" xr3:uid="{F7972523-E3FC-4688-877F-2B651EF3A21A}" name="plan" dataDxfId="138">
      <calculatedColumnFormula>SUMIFS(plans[num],plans[productId],A3,plans[planId],B3)</calculatedColumnFormula>
    </tableColumn>
    <tableColumn id="8" xr3:uid="{0B2ABC3C-5BBC-4360-81BF-5D330611B658}" name="cut ord" dataDxfId="137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136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135">
      <calculatedColumnFormula>-I3+J3</calculatedColumnFormula>
    </tableColumn>
    <tableColumn id="11" xr3:uid="{B7EB588D-DC53-4B2B-9227-9AD8FAEC32CF}" name="pack re" dataDxfId="134">
      <calculatedColumnFormula>K3-I3</calculatedColumnFormula>
    </tableColumn>
    <tableColumn id="12" xr3:uid="{C696AD46-F680-463E-924E-0841BA4EF811}" name="inLine" dataDxfId="133">
      <calculatedColumnFormula>J3-K3</calculatedColumnFormula>
    </tableColumn>
    <tableColumn id="13" xr3:uid="{C8BE4C38-77B5-4EFB-935F-FA9CCE812F9E}" name="Desc" dataDxfId="132"/>
    <tableColumn id="14" xr3:uid="{FC0B1442-DDB7-4ACC-B2AC-BD1595025FD4}" name="cut1" dataDxfId="131"/>
    <tableColumn id="15" xr3:uid="{BB1292F3-1A4C-4BCB-AA34-02ADD6FECE07}" name="cut2" dataDxfId="130"/>
    <tableColumn id="16" xr3:uid="{046D0E1E-7E6A-4AD9-B19D-30956C2DC360}" name="cut3" dataDxfId="129"/>
    <tableColumn id="17" xr3:uid="{DFF43190-1DB7-4F81-8F20-D7F501EA30E9}" name="cut4" dataDxfId="128"/>
    <tableColumn id="18" xr3:uid="{229EA015-78B8-4F0E-8995-41D8050A6B61}" name="cut5" dataDxfId="127"/>
    <tableColumn id="19" xr3:uid="{FAAA45F7-8865-4F37-A473-7EF131247A17}" name="cut2re" dataDxfId="126"/>
    <tableColumn id="51" xr3:uid="{3940FEAB-6EEF-4DC3-8643-D61E89044836}" name="05/01" dataDxfId="125" dataCellStyle="Comma"/>
    <tableColumn id="52" xr3:uid="{E2D67EDC-3DFE-48A1-9FAC-637E1D4C3E3D}" name="05/02" dataDxfId="124" dataCellStyle="Comma"/>
    <tableColumn id="53" xr3:uid="{2944BB5F-4DA8-4EF0-99CC-89120F8D9183}" name="05/03" dataDxfId="123" dataCellStyle="Comma"/>
    <tableColumn id="54" xr3:uid="{A592C01A-CD1D-495B-913B-8BD38043B85A}" name="05/04" dataDxfId="122" dataCellStyle="Comma"/>
    <tableColumn id="55" xr3:uid="{1F50CCBB-645E-495F-A0F8-1CEF61AC1B72}" name="05/05" dataDxfId="121" dataCellStyle="Comma"/>
    <tableColumn id="56" xr3:uid="{AB656BEF-1DA2-4493-AF6F-400FD7A2CAC9}" name="05/06" dataDxfId="120" dataCellStyle="Comma"/>
    <tableColumn id="57" xr3:uid="{2EE9CEC5-2283-4C8D-8410-33449AF17A7A}" name="05/07" dataDxfId="119" dataCellStyle="Comma"/>
    <tableColumn id="58" xr3:uid="{7737E47F-4F12-41E3-AEDF-1A8A6C808231}" name="05/08" dataDxfId="118" dataCellStyle="Comma"/>
    <tableColumn id="59" xr3:uid="{9BB8A7E8-1387-4011-A96A-20236B6F5864}" name="05/09" dataDxfId="117" dataCellStyle="Comma"/>
    <tableColumn id="60" xr3:uid="{EB58F4A6-0B1C-4516-B219-5A08E179C264}" name="05/10" dataDxfId="116" dataCellStyle="Comma"/>
    <tableColumn id="61" xr3:uid="{5665AE48-2809-4CD0-A287-680F8F719C91}" name="05/11" dataDxfId="115" dataCellStyle="Comma"/>
    <tableColumn id="62" xr3:uid="{C5D48E50-85BF-45B6-A4D3-7DCD5D3CF05A}" name="05/12" dataDxfId="114" dataCellStyle="Comma"/>
    <tableColumn id="63" xr3:uid="{F18AAB69-37B4-4FB9-8F6F-FF0B65A54C41}" name="05/13" dataDxfId="113" dataCellStyle="Comma"/>
    <tableColumn id="64" xr3:uid="{F3F171D9-32C9-4470-82BC-814F42ADB8C2}" name="05/14" dataDxfId="112" dataCellStyle="Comma"/>
    <tableColumn id="65" xr3:uid="{5FAAB91C-6EB8-40B1-9746-3DD5CB79E825}" name="05/15" dataDxfId="111" dataCellStyle="Comma"/>
    <tableColumn id="66" xr3:uid="{6B5F435E-7198-498B-BA28-3358D5AA3E49}" name="05/16" dataDxfId="110" dataCellStyle="Comma"/>
    <tableColumn id="67" xr3:uid="{E360460C-0139-4255-A6B2-50E1CC97CBF4}" name="05/17" dataDxfId="109" dataCellStyle="Comma"/>
    <tableColumn id="68" xr3:uid="{C3C81104-6F49-49ED-8C1E-8C15DB083D0D}" name="05/18" dataDxfId="108" dataCellStyle="Comma"/>
    <tableColumn id="69" xr3:uid="{CDE16A5E-C767-40EA-A2FC-33AB18543D11}" name="05/19" dataDxfId="107" dataCellStyle="Comma"/>
    <tableColumn id="70" xr3:uid="{4EDDA809-4BA7-409D-B361-2B05DD66A3F1}" name="05/20" dataDxfId="106" dataCellStyle="Comma"/>
    <tableColumn id="71" xr3:uid="{D94233DA-8849-4004-BA3C-6321C6E1C080}" name="05/21" dataDxfId="105" dataCellStyle="Comma"/>
    <tableColumn id="72" xr3:uid="{C83E5CE8-D8BE-49E2-8755-9ED2178F7A9B}" name="05/22" dataDxfId="104" dataCellStyle="Comma"/>
    <tableColumn id="73" xr3:uid="{28C77378-32C7-4E0C-9B04-B28F2DBFFF9D}" name="05/23" dataDxfId="103" dataCellStyle="Comma"/>
    <tableColumn id="74" xr3:uid="{BC645E8E-F0D3-42A4-8271-7D5A1860FD82}" name="05/24" dataDxfId="102" dataCellStyle="Comma"/>
    <tableColumn id="75" xr3:uid="{7CFC5BBD-A039-446E-90FE-C1E05767E73C}" name="05/25" dataDxfId="101" dataCellStyle="Comma"/>
    <tableColumn id="76" xr3:uid="{C8267DAA-6804-41A4-8EB8-C72BB2D2DCFB}" name="05/26" dataDxfId="100" dataCellStyle="Comma"/>
    <tableColumn id="77" xr3:uid="{F4308316-1594-44E9-BA89-F2347CFDF3B1}" name="05/27" dataDxfId="99" dataCellStyle="Comma"/>
    <tableColumn id="78" xr3:uid="{35A3AEE0-E1F8-4FF5-BBA8-F8C8B943CE5D}" name="05/28" dataDxfId="98" dataCellStyle="Comma"/>
    <tableColumn id="79" xr3:uid="{D6EF762E-3D2F-4A98-BB8B-9343837070D1}" name="05/29" dataDxfId="97" dataCellStyle="Comma"/>
    <tableColumn id="80" xr3:uid="{43DE6EB4-01AD-44F9-B178-9D1323E3D07F}" name="05/30" dataDxfId="96" dataCellStyle="Comma"/>
    <tableColumn id="81" xr3:uid="{A68956BD-13A8-4BE5-B941-2CE62F53F3C7}" name="05/31" dataDxfId="95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94" dataDxfId="93" totalsRowDxfId="91" tableBorderDxfId="92">
  <autoFilter ref="A1:R367" xr:uid="{E6F5354C-E187-4D42-8ED4-D308E4B016FE}"/>
  <tableColumns count="18">
    <tableColumn id="1" xr3:uid="{2EBB6AEF-84EE-4CF2-AFCB-495DDB0E8B7D}" name="date" totalsRowLabel="Total" dataDxfId="90" totalsRowDxfId="89"/>
    <tableColumn id="13" xr3:uid="{64485355-3308-49B0-8091-CCEAC1B621D6}" name="day" dataDxfId="88" totalsRowDxfId="87"/>
    <tableColumn id="4" xr3:uid="{EEDC9E02-4611-4D5A-A1EC-3EEB6182A352}" name="دستور برش" dataDxfId="86" totalsRowDxfId="85">
      <calculatedColumnFormula>SUMIF(cutts[date],A2,cutts[num])</calculatedColumnFormula>
    </tableColumn>
    <tableColumn id="15" xr3:uid="{4747D6C2-3453-422B-836E-FE80DD193D64}" name="رسیده از مرکز3" dataDxfId="84" totalsRowDxfId="83"/>
    <tableColumn id="3" xr3:uid="{06C30477-565C-450F-B916-85AAF52DCDE7}" name="بسته بندی" dataDxfId="82" totalsRowDxfId="81" dataCellStyle="Comma"/>
    <tableColumn id="5" xr3:uid="{6FF4CC18-E071-4581-8862-80464FC529BC}" name="وزن تولید" dataDxfId="80" totalsRowDxfId="79" dataCellStyle="Comma"/>
    <tableColumn id="18" xr3:uid="{C15C4F7B-439B-41EC-8BAF-4A8114BEE38E}" name="personels" dataDxfId="78" totalsRowDxfId="77" dataCellStyle="Comma"/>
    <tableColumn id="6" xr3:uid="{175032A6-E445-48CE-BE86-2E94BDCEBFF9}" name="تعداد نیرو" dataDxfId="76" totalsRowDxfId="75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74" totalsRowDxfId="73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72" totalsRowDxfId="71"/>
    <tableColumn id="10" xr3:uid="{54AD36AC-434E-4D87-80A8-DF2C9D1245E2}" name="T01" dataDxfId="70" totalsRowDxfId="69" dataCellStyle="Comma"/>
    <tableColumn id="11" xr3:uid="{DC15E9D0-80DE-4FB0-BA74-B7C85A03AFA0}" name="T02" dataDxfId="68" totalsRowDxfId="67" dataCellStyle="Comma"/>
    <tableColumn id="12" xr3:uid="{6CC3AAFE-BB8A-4B00-837C-AE47765CA15A}" name="T03" dataDxfId="66" totalsRowDxfId="65" dataCellStyle="Comma"/>
    <tableColumn id="14" xr3:uid="{2CAB41E2-5D46-49C1-B79C-1C6DC8BEF8D3}" name="TV" dataDxfId="64" totalsRowDxfId="63" dataCellStyle="Comma"/>
    <tableColumn id="9" xr3:uid="{85009C46-7D85-49CC-8890-E4E6833C7984}" name="onWork" dataDxfId="62" totalsRowDxfId="61" dataCellStyle="Comma"/>
    <tableColumn id="7" xr3:uid="{5272290E-28D7-4A8E-8FD6-18C0837BEFD5}" name="mounth" totalsRowFunction="sum" dataDxfId="60" totalsRowDxfId="59" dataCellStyle="Comma"/>
    <tableColumn id="16" xr3:uid="{40B83583-8011-4A38-85E2-872AFEF2B710}" name="received TimeOut" dataDxfId="58" totalsRowDxfId="57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56" totalsRowDxfId="55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54" dataDxfId="53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52"/>
    <tableColumn id="1" xr3:uid="{2E5A499E-C543-48E0-A2D5-21BE69841CE8}" name="product" dataDxfId="51"/>
    <tableColumn id="5" xr3:uid="{DC32B105-F5C5-4A2A-B71E-89B5689729B0}" name="send" dataDxfId="50"/>
    <tableColumn id="6" xr3:uid="{6772B633-94B8-4FCB-9A04-80F059539CA7}" name="receive" dataDxfId="49"/>
    <tableColumn id="4" xr3:uid="{FE90CF5B-1E99-4079-BA11-E86B1BEAE359}" name="comment" dataDxfId="48"/>
    <tableColumn id="2" xr3:uid="{7F097E8E-B5A4-4185-BA05-270D6A24E458}" name="mojoodi_III" dataDxfId="47">
      <calculatedColumnFormula>IIITbl[[#This Row],[send]]-IIITbl[[#This Row],[receive]]</calculatedColumnFormula>
    </tableColumn>
    <tableColumn id="3" xr3:uid="{1838BF13-B7BD-4364-820B-D1329A6D7533}" name="CT" dataDxfId="46">
      <calculatedColumnFormula>_xlfn.XLOOKUP(IIITbl[[#This Row],[product]],press_montage_tbl[product],press_montage_tbl[CT],"NA")</calculatedColumnFormula>
    </tableColumn>
    <tableColumn id="7" xr3:uid="{C138B0F6-08C7-4F35-883D-BDFBA6589340}" name="totalCT" dataDxfId="45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44">
  <autoFilter ref="M1:P7" xr:uid="{D2AA6574-B9EC-4641-8C2D-49818B006D3C}"/>
  <tableColumns count="4">
    <tableColumn id="1" xr3:uid="{525A7B16-52FA-4EA5-AAA5-774EF46C7970}" name="product" dataDxfId="43"/>
    <tableColumn id="2" xr3:uid="{B2A2E21A-4096-402F-AE55-E9ADF2BF5E6B}" name="CT" dataDxfId="42"/>
    <tableColumn id="3" xr3:uid="{A30FA1A4-AA6A-4575-9CC0-FC7FA116D3AB}" name="پرس" dataDxfId="41"/>
    <tableColumn id="4" xr3:uid="{E08749BE-3FC4-4781-BD08-9EB778671B8D}" name="مونتاژ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39" dataDxfId="38">
  <autoFilter ref="A10:G45" xr:uid="{75DD0270-0454-466F-9CB2-49B25A455286}"/>
  <tableColumns count="7">
    <tableColumn id="6" xr3:uid="{E2785E21-A46C-4468-AF4A-442E84F265B6}" name="rr" dataDxfId="37"/>
    <tableColumn id="1" xr3:uid="{FA72C5DF-030A-4E6D-AFDF-5DCC4CA752EC}" name="emailDate" dataDxfId="36">
      <calculatedColumnFormula array="1">J_TODAY(1)</calculatedColumnFormula>
    </tableColumn>
    <tableColumn id="2" xr3:uid="{A5DD8D31-5BE5-43E8-A64E-97C61B46A226}" name="productId" dataDxfId="35">
      <calculatedColumnFormula>$A$3</calculatedColumnFormula>
    </tableColumn>
    <tableColumn id="3" xr3:uid="{F5B4DF9E-129F-404C-8FC8-7F8F6723C397}" name="planId" dataDxfId="34">
      <calculatedColumnFormula>VALUE(MID(inputPlanTbl[[#This Row],[toDate]],6,2))</calculatedColumnFormula>
    </tableColumn>
    <tableColumn id="4" xr3:uid="{D1879B8A-A3D4-42F6-AD7C-9A6D3FFEFA23}" name="num" dataDxfId="33"/>
    <tableColumn id="5" xr3:uid="{184A4BB5-30F1-4C77-B8A0-623C58D5E165}" name="toDate" dataDxfId="32">
      <calculatedColumnFormula>$B$2</calculatedColumnFormula>
    </tableColumn>
    <tableColumn id="7" xr3:uid="{60A48486-0D45-43A5-A80E-80991653398B}" name="suffix" data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30" dataDxfId="29">
  <autoFilter ref="A1:B33" xr:uid="{3214AB6E-4A7E-4745-A832-2E0A617693E8}"/>
  <tableColumns count="2">
    <tableColumn id="1" xr3:uid="{E208AC2B-4EC6-4D48-A094-C5CC25DD80E6}" name="productId" dataDxfId="28"/>
    <tableColumn id="2" xr3:uid="{E5277277-70A0-4AD3-8E78-91997AF23ABB}" name="description" dataDxfId="2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26" dataDxfId="25">
  <autoFilter ref="A1:B38" xr:uid="{3214AB6E-4A7E-4745-A832-2E0A617693E8}"/>
  <tableColumns count="2">
    <tableColumn id="1" xr3:uid="{0846CC97-0AE1-462A-A84D-C04F87BFB4F2}" name="productId" dataDxfId="24"/>
    <tableColumn id="2" xr3:uid="{0C986023-4459-47EA-BEC1-88EEA5D594FD}" name="descriptio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22" dataDxfId="21">
  <autoFilter ref="A6:A8" xr:uid="{E327FA82-1DB4-4FAA-B43C-0E01FC868050}"/>
  <tableColumns count="1">
    <tableColumn id="1" xr3:uid="{3F5D3EF2-898A-4189-BE5A-F74B071FF036}" name="state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35"/>
  <sheetViews>
    <sheetView workbookViewId="0">
      <pane xSplit="1" ySplit="1" topLeftCell="T2" activePane="bottomRight" state="frozen"/>
      <selection pane="topRight" activeCell="B1" sqref="B1"/>
      <selection pane="bottomLeft" activeCell="A2" sqref="A2"/>
      <selection pane="bottomRight" sqref="A1:A135"/>
    </sheetView>
  </sheetViews>
  <sheetFormatPr defaultRowHeight="15.95" customHeight="1"/>
  <cols>
    <col min="1" max="2" width="10.7109375" style="33" customWidth="1"/>
    <col min="3" max="3" width="35.7109375" style="33" customWidth="1"/>
    <col min="4" max="4" width="12.7109375" style="33" customWidth="1"/>
    <col min="5" max="5" width="6.7109375" style="33" customWidth="1"/>
    <col min="6" max="10" width="4.7109375" style="33" customWidth="1"/>
    <col min="11" max="11" width="12.7109375" style="33" customWidth="1"/>
    <col min="12" max="15" width="4.7109375" style="33" customWidth="1"/>
    <col min="16" max="16" width="6.7109375" style="33" customWidth="1"/>
    <col min="17" max="17" width="10.5703125" style="33" customWidth="1"/>
    <col min="18" max="18" width="10.7109375" style="33" customWidth="1"/>
    <col min="19" max="21" width="15.7109375" style="455" customWidth="1"/>
    <col min="22" max="16384" width="9.140625" style="33"/>
  </cols>
  <sheetData>
    <row r="1" spans="1:36" s="449" customFormat="1" ht="90.75" customHeight="1">
      <c r="A1" s="446" t="s">
        <v>146</v>
      </c>
      <c r="B1" s="446" t="s">
        <v>284</v>
      </c>
      <c r="C1" s="446" t="s">
        <v>285</v>
      </c>
      <c r="D1" s="446" t="s">
        <v>286</v>
      </c>
      <c r="E1" s="446" t="s">
        <v>287</v>
      </c>
      <c r="F1" s="447" t="s">
        <v>288</v>
      </c>
      <c r="G1" s="447" t="s">
        <v>289</v>
      </c>
      <c r="H1" s="447" t="s">
        <v>290</v>
      </c>
      <c r="I1" s="447" t="s">
        <v>291</v>
      </c>
      <c r="J1" s="447" t="s">
        <v>292</v>
      </c>
      <c r="K1" s="446" t="s">
        <v>107</v>
      </c>
      <c r="L1" s="447" t="s">
        <v>293</v>
      </c>
      <c r="M1" s="447" t="s">
        <v>294</v>
      </c>
      <c r="N1" s="447" t="s">
        <v>295</v>
      </c>
      <c r="O1" s="447" t="s">
        <v>296</v>
      </c>
      <c r="P1" s="446" t="s">
        <v>282</v>
      </c>
      <c r="Q1" s="446" t="s">
        <v>283</v>
      </c>
      <c r="R1" s="446" t="s">
        <v>297</v>
      </c>
      <c r="S1" s="448" t="s">
        <v>298</v>
      </c>
      <c r="T1" s="448" t="s">
        <v>299</v>
      </c>
      <c r="U1" s="448" t="s">
        <v>300</v>
      </c>
      <c r="V1" s="446" t="s">
        <v>158</v>
      </c>
      <c r="W1" s="446" t="s">
        <v>170</v>
      </c>
      <c r="X1" s="446" t="s">
        <v>173</v>
      </c>
      <c r="Y1" s="446" t="s">
        <v>179</v>
      </c>
      <c r="Z1" s="446" t="s">
        <v>147</v>
      </c>
      <c r="AA1" s="446" t="s">
        <v>148</v>
      </c>
      <c r="AB1" s="446" t="s">
        <v>149</v>
      </c>
      <c r="AC1" s="446" t="s">
        <v>168</v>
      </c>
      <c r="AD1" s="446" t="s">
        <v>150</v>
      </c>
      <c r="AE1" s="446" t="s">
        <v>151</v>
      </c>
      <c r="AF1" s="446" t="s">
        <v>152</v>
      </c>
      <c r="AG1" s="446" t="s">
        <v>169</v>
      </c>
      <c r="AH1" s="446" t="s">
        <v>153</v>
      </c>
      <c r="AI1" s="446" t="s">
        <v>154</v>
      </c>
      <c r="AJ1" s="446" t="s">
        <v>155</v>
      </c>
    </row>
    <row r="2" spans="1:36" ht="15.95" customHeight="1">
      <c r="A2" s="450">
        <v>140000006</v>
      </c>
      <c r="B2" s="450" t="s">
        <v>301</v>
      </c>
      <c r="C2" s="451" t="s">
        <v>302</v>
      </c>
      <c r="D2" s="451" t="s">
        <v>303</v>
      </c>
      <c r="E2" s="452">
        <v>200</v>
      </c>
      <c r="F2" s="452" t="s">
        <v>304</v>
      </c>
      <c r="G2" s="452" t="s">
        <v>304</v>
      </c>
      <c r="H2" s="452" t="s">
        <v>304</v>
      </c>
      <c r="I2" s="452" t="s">
        <v>305</v>
      </c>
      <c r="J2" s="452" t="s">
        <v>304</v>
      </c>
      <c r="K2" s="451" t="s">
        <v>91</v>
      </c>
      <c r="L2" s="452" t="s">
        <v>306</v>
      </c>
      <c r="M2" s="452" t="s">
        <v>306</v>
      </c>
      <c r="N2" s="452" t="s">
        <v>307</v>
      </c>
      <c r="O2" s="452" t="s">
        <v>308</v>
      </c>
      <c r="P2" s="450" t="s">
        <v>309</v>
      </c>
      <c r="Q2" s="452" t="s">
        <v>94</v>
      </c>
      <c r="R2" s="451" t="s">
        <v>28</v>
      </c>
      <c r="S2" s="451" t="s">
        <v>113</v>
      </c>
      <c r="T2" s="451" t="s">
        <v>113</v>
      </c>
      <c r="U2" s="451" t="s">
        <v>310</v>
      </c>
      <c r="V2" s="452" t="s">
        <v>180</v>
      </c>
      <c r="W2" s="452" t="s">
        <v>180</v>
      </c>
      <c r="X2" s="452" t="s">
        <v>180</v>
      </c>
      <c r="Y2" s="453" t="s">
        <v>180</v>
      </c>
      <c r="Z2" s="452" t="s">
        <v>180</v>
      </c>
      <c r="AA2" s="452" t="s">
        <v>180</v>
      </c>
      <c r="AB2" s="452" t="s">
        <v>180</v>
      </c>
      <c r="AC2" s="452" t="s">
        <v>180</v>
      </c>
      <c r="AD2" s="452" t="s">
        <v>180</v>
      </c>
      <c r="AE2" s="452" t="s">
        <v>180</v>
      </c>
      <c r="AF2" s="452" t="s">
        <v>180</v>
      </c>
      <c r="AG2" s="452" t="s">
        <v>180</v>
      </c>
      <c r="AH2" s="452" t="s">
        <v>180</v>
      </c>
      <c r="AI2" s="452" t="s">
        <v>180</v>
      </c>
      <c r="AJ2" s="452" t="s">
        <v>180</v>
      </c>
    </row>
    <row r="3" spans="1:36" ht="15.95" customHeight="1">
      <c r="A3" s="450">
        <v>140010092</v>
      </c>
      <c r="B3" s="450" t="s">
        <v>311</v>
      </c>
      <c r="C3" s="451" t="s">
        <v>1</v>
      </c>
      <c r="D3" s="451" t="s">
        <v>312</v>
      </c>
      <c r="E3" s="452">
        <v>220</v>
      </c>
      <c r="F3" s="452" t="s">
        <v>222</v>
      </c>
      <c r="G3" s="452" t="s">
        <v>222</v>
      </c>
      <c r="H3" s="452" t="s">
        <v>222</v>
      </c>
      <c r="I3" s="452" t="s">
        <v>305</v>
      </c>
      <c r="J3" s="452" t="s">
        <v>304</v>
      </c>
      <c r="K3" s="451" t="s">
        <v>3</v>
      </c>
      <c r="L3" s="452" t="s">
        <v>307</v>
      </c>
      <c r="M3" s="452" t="s">
        <v>307</v>
      </c>
      <c r="N3" s="452" t="s">
        <v>307</v>
      </c>
      <c r="O3" s="452" t="s">
        <v>307</v>
      </c>
      <c r="P3" s="450" t="s">
        <v>313</v>
      </c>
      <c r="Q3" s="452" t="s">
        <v>0</v>
      </c>
      <c r="R3" s="451" t="s">
        <v>2</v>
      </c>
      <c r="S3" s="451" t="s">
        <v>314</v>
      </c>
      <c r="T3" s="451" t="s">
        <v>314</v>
      </c>
      <c r="U3" s="451" t="s">
        <v>314</v>
      </c>
      <c r="V3" s="452" t="s">
        <v>105</v>
      </c>
      <c r="W3" s="452" t="s">
        <v>123</v>
      </c>
      <c r="X3" s="452">
        <v>0</v>
      </c>
      <c r="Y3" s="453">
        <v>1.0004988526389305</v>
      </c>
      <c r="Z3" s="452">
        <v>0</v>
      </c>
      <c r="AA3" s="452">
        <v>0</v>
      </c>
      <c r="AB3" s="452">
        <v>0</v>
      </c>
      <c r="AC3" s="452">
        <v>0</v>
      </c>
      <c r="AD3" s="452">
        <v>0</v>
      </c>
      <c r="AE3" s="452">
        <v>0</v>
      </c>
      <c r="AF3" s="452">
        <v>0</v>
      </c>
      <c r="AG3" s="452">
        <v>0</v>
      </c>
      <c r="AH3" s="452">
        <v>0</v>
      </c>
      <c r="AI3" s="452">
        <v>0</v>
      </c>
      <c r="AJ3" s="452">
        <v>0</v>
      </c>
    </row>
    <row r="4" spans="1:36" ht="15.95" customHeight="1">
      <c r="A4" s="450">
        <v>140010117</v>
      </c>
      <c r="B4" s="450" t="s">
        <v>315</v>
      </c>
      <c r="C4" s="451" t="s">
        <v>1</v>
      </c>
      <c r="D4" s="451" t="s">
        <v>316</v>
      </c>
      <c r="E4" s="452">
        <v>220</v>
      </c>
      <c r="F4" s="452" t="s">
        <v>222</v>
      </c>
      <c r="G4" s="452" t="s">
        <v>222</v>
      </c>
      <c r="H4" s="452" t="s">
        <v>222</v>
      </c>
      <c r="I4" s="452" t="s">
        <v>305</v>
      </c>
      <c r="J4" s="452" t="s">
        <v>304</v>
      </c>
      <c r="K4" s="451" t="s">
        <v>3</v>
      </c>
      <c r="L4" s="452" t="s">
        <v>307</v>
      </c>
      <c r="M4" s="452" t="s">
        <v>307</v>
      </c>
      <c r="N4" s="452" t="s">
        <v>307</v>
      </c>
      <c r="O4" s="452" t="s">
        <v>307</v>
      </c>
      <c r="P4" s="450" t="s">
        <v>309</v>
      </c>
      <c r="Q4" s="452" t="s">
        <v>0</v>
      </c>
      <c r="R4" s="451" t="s">
        <v>2</v>
      </c>
      <c r="S4" s="451" t="s">
        <v>314</v>
      </c>
      <c r="T4" s="451" t="s">
        <v>314</v>
      </c>
      <c r="U4" s="451" t="s">
        <v>314</v>
      </c>
      <c r="V4" s="452" t="s">
        <v>105</v>
      </c>
      <c r="W4" s="452" t="s">
        <v>123</v>
      </c>
      <c r="X4" s="452">
        <v>0</v>
      </c>
      <c r="Y4" s="453">
        <v>1</v>
      </c>
      <c r="Z4" s="452" t="s">
        <v>164</v>
      </c>
      <c r="AA4" s="452" t="s">
        <v>122</v>
      </c>
      <c r="AB4" s="452" t="s">
        <v>164</v>
      </c>
      <c r="AC4" s="452">
        <v>6.9</v>
      </c>
      <c r="AD4" s="452" t="s">
        <v>125</v>
      </c>
      <c r="AE4" s="452" t="s">
        <v>126</v>
      </c>
      <c r="AF4" s="452">
        <v>0</v>
      </c>
      <c r="AG4" s="452">
        <v>12.96</v>
      </c>
      <c r="AH4" s="452" t="s">
        <v>127</v>
      </c>
      <c r="AI4" s="452" t="s">
        <v>128</v>
      </c>
      <c r="AJ4" s="452" t="s">
        <v>129</v>
      </c>
    </row>
    <row r="5" spans="1:36" ht="15.95" customHeight="1">
      <c r="A5" s="450">
        <v>140010230</v>
      </c>
      <c r="B5" s="450" t="s">
        <v>315</v>
      </c>
      <c r="C5" s="451" t="s">
        <v>4</v>
      </c>
      <c r="D5" s="451" t="s">
        <v>316</v>
      </c>
      <c r="E5" s="452">
        <v>215</v>
      </c>
      <c r="F5" s="452" t="s">
        <v>317</v>
      </c>
      <c r="G5" s="452" t="s">
        <v>317</v>
      </c>
      <c r="H5" s="452" t="s">
        <v>318</v>
      </c>
      <c r="I5" s="452" t="s">
        <v>305</v>
      </c>
      <c r="J5" s="452" t="s">
        <v>317</v>
      </c>
      <c r="K5" s="451" t="s">
        <v>3</v>
      </c>
      <c r="L5" s="452" t="s">
        <v>307</v>
      </c>
      <c r="M5" s="452" t="s">
        <v>307</v>
      </c>
      <c r="N5" s="452" t="s">
        <v>307</v>
      </c>
      <c r="O5" s="452" t="s">
        <v>305</v>
      </c>
      <c r="P5" s="450" t="s">
        <v>309</v>
      </c>
      <c r="Q5" s="452" t="s">
        <v>0</v>
      </c>
      <c r="R5" s="451" t="s">
        <v>5</v>
      </c>
      <c r="S5" s="451" t="s">
        <v>314</v>
      </c>
      <c r="T5" s="451" t="s">
        <v>314</v>
      </c>
      <c r="U5" s="451" t="s">
        <v>314</v>
      </c>
      <c r="V5" s="452" t="s">
        <v>105</v>
      </c>
      <c r="W5" s="452" t="s">
        <v>123</v>
      </c>
      <c r="X5" s="452">
        <v>0</v>
      </c>
      <c r="Y5" s="453">
        <v>1.4486680634540554</v>
      </c>
      <c r="Z5" s="452" t="s">
        <v>164</v>
      </c>
      <c r="AA5" s="452" t="s">
        <v>122</v>
      </c>
      <c r="AB5" s="452" t="s">
        <v>164</v>
      </c>
      <c r="AC5" s="452">
        <v>6.9</v>
      </c>
      <c r="AD5" s="452" t="s">
        <v>125</v>
      </c>
      <c r="AE5" s="452" t="s">
        <v>126</v>
      </c>
      <c r="AF5" s="452">
        <v>0</v>
      </c>
      <c r="AG5" s="452">
        <v>12.96</v>
      </c>
      <c r="AH5" s="452" t="s">
        <v>127</v>
      </c>
      <c r="AI5" s="452" t="s">
        <v>129</v>
      </c>
      <c r="AJ5" s="452">
        <v>0</v>
      </c>
    </row>
    <row r="6" spans="1:36" ht="15.95" customHeight="1">
      <c r="A6" s="450">
        <v>140010235</v>
      </c>
      <c r="B6" s="450" t="s">
        <v>319</v>
      </c>
      <c r="C6" s="451" t="s">
        <v>6</v>
      </c>
      <c r="D6" s="451" t="s">
        <v>320</v>
      </c>
      <c r="E6" s="452">
        <v>160</v>
      </c>
      <c r="F6" s="452" t="s">
        <v>222</v>
      </c>
      <c r="G6" s="452" t="s">
        <v>222</v>
      </c>
      <c r="H6" s="452" t="s">
        <v>222</v>
      </c>
      <c r="I6" s="452" t="s">
        <v>321</v>
      </c>
      <c r="J6" s="452" t="s">
        <v>321</v>
      </c>
      <c r="K6" s="451" t="s">
        <v>322</v>
      </c>
      <c r="L6" s="452" t="s">
        <v>306</v>
      </c>
      <c r="M6" s="452" t="s">
        <v>306</v>
      </c>
      <c r="N6" s="452" t="s">
        <v>323</v>
      </c>
      <c r="O6" s="452" t="s">
        <v>324</v>
      </c>
      <c r="P6" s="450" t="s">
        <v>325</v>
      </c>
      <c r="Q6" s="452" t="s">
        <v>0</v>
      </c>
      <c r="R6" s="451" t="s">
        <v>7</v>
      </c>
      <c r="S6" s="451" t="s">
        <v>326</v>
      </c>
      <c r="T6" s="451" t="s">
        <v>326</v>
      </c>
      <c r="U6" s="451" t="s">
        <v>323</v>
      </c>
      <c r="V6" s="452" t="s">
        <v>106</v>
      </c>
      <c r="W6" s="452" t="s">
        <v>123</v>
      </c>
      <c r="X6" s="452">
        <v>0</v>
      </c>
      <c r="Y6" s="453">
        <v>0.93784296118926469</v>
      </c>
      <c r="Z6" s="452">
        <v>0</v>
      </c>
      <c r="AA6" s="452">
        <v>0</v>
      </c>
      <c r="AB6" s="452">
        <v>0</v>
      </c>
      <c r="AC6" s="452">
        <v>0</v>
      </c>
      <c r="AD6" s="452">
        <v>0</v>
      </c>
      <c r="AE6" s="452">
        <v>0</v>
      </c>
      <c r="AF6" s="452">
        <v>0</v>
      </c>
      <c r="AG6" s="452">
        <v>0</v>
      </c>
      <c r="AH6" s="452">
        <v>0</v>
      </c>
      <c r="AI6" s="452">
        <v>0</v>
      </c>
      <c r="AJ6" s="452">
        <v>0</v>
      </c>
    </row>
    <row r="7" spans="1:36" ht="15.95" customHeight="1">
      <c r="A7" s="450">
        <v>140010236</v>
      </c>
      <c r="B7" s="450" t="s">
        <v>319</v>
      </c>
      <c r="C7" s="451" t="s">
        <v>8</v>
      </c>
      <c r="D7" s="451" t="s">
        <v>320</v>
      </c>
      <c r="E7" s="452">
        <v>192</v>
      </c>
      <c r="F7" s="452" t="s">
        <v>222</v>
      </c>
      <c r="G7" s="452" t="s">
        <v>222</v>
      </c>
      <c r="H7" s="452" t="s">
        <v>222</v>
      </c>
      <c r="I7" s="452" t="s">
        <v>321</v>
      </c>
      <c r="J7" s="452" t="s">
        <v>321</v>
      </c>
      <c r="K7" s="451" t="s">
        <v>322</v>
      </c>
      <c r="L7" s="452" t="s">
        <v>306</v>
      </c>
      <c r="M7" s="452" t="s">
        <v>306</v>
      </c>
      <c r="N7" s="452" t="s">
        <v>323</v>
      </c>
      <c r="O7" s="452" t="s">
        <v>324</v>
      </c>
      <c r="P7" s="450" t="s">
        <v>325</v>
      </c>
      <c r="Q7" s="452" t="s">
        <v>0</v>
      </c>
      <c r="R7" s="451" t="s">
        <v>9</v>
      </c>
      <c r="S7" s="451" t="s">
        <v>326</v>
      </c>
      <c r="T7" s="451" t="s">
        <v>326</v>
      </c>
      <c r="U7" s="451" t="s">
        <v>323</v>
      </c>
      <c r="V7" s="452" t="s">
        <v>106</v>
      </c>
      <c r="W7" s="452" t="s">
        <v>123</v>
      </c>
      <c r="X7" s="452">
        <v>0</v>
      </c>
      <c r="Y7" s="453">
        <v>0.93784296118926469</v>
      </c>
      <c r="Z7" s="452">
        <v>0</v>
      </c>
      <c r="AA7" s="452">
        <v>0</v>
      </c>
      <c r="AB7" s="452">
        <v>0</v>
      </c>
      <c r="AC7" s="452">
        <v>0</v>
      </c>
      <c r="AD7" s="452">
        <v>0</v>
      </c>
      <c r="AE7" s="452">
        <v>0</v>
      </c>
      <c r="AF7" s="452">
        <v>0</v>
      </c>
      <c r="AG7" s="452">
        <v>0</v>
      </c>
      <c r="AH7" s="452">
        <v>0</v>
      </c>
      <c r="AI7" s="452">
        <v>0</v>
      </c>
      <c r="AJ7" s="452">
        <v>0</v>
      </c>
    </row>
    <row r="8" spans="1:36" ht="15.95" customHeight="1">
      <c r="A8" s="450">
        <v>140010237</v>
      </c>
      <c r="B8" s="450" t="s">
        <v>319</v>
      </c>
      <c r="C8" s="451" t="s">
        <v>10</v>
      </c>
      <c r="D8" s="451" t="s">
        <v>320</v>
      </c>
      <c r="E8" s="452">
        <v>163</v>
      </c>
      <c r="F8" s="452" t="s">
        <v>222</v>
      </c>
      <c r="G8" s="452" t="s">
        <v>222</v>
      </c>
      <c r="H8" s="452" t="s">
        <v>222</v>
      </c>
      <c r="I8" s="452" t="s">
        <v>321</v>
      </c>
      <c r="J8" s="452" t="s">
        <v>321</v>
      </c>
      <c r="K8" s="451" t="s">
        <v>322</v>
      </c>
      <c r="L8" s="452" t="s">
        <v>306</v>
      </c>
      <c r="M8" s="452" t="s">
        <v>306</v>
      </c>
      <c r="N8" s="452" t="s">
        <v>323</v>
      </c>
      <c r="O8" s="452" t="s">
        <v>324</v>
      </c>
      <c r="P8" s="450" t="s">
        <v>325</v>
      </c>
      <c r="Q8" s="452" t="s">
        <v>0</v>
      </c>
      <c r="R8" s="451" t="s">
        <v>11</v>
      </c>
      <c r="S8" s="451" t="s">
        <v>326</v>
      </c>
      <c r="T8" s="451" t="s">
        <v>326</v>
      </c>
      <c r="U8" s="451" t="s">
        <v>323</v>
      </c>
      <c r="V8" s="452" t="s">
        <v>106</v>
      </c>
      <c r="W8" s="452" t="s">
        <v>123</v>
      </c>
      <c r="X8" s="452">
        <v>0</v>
      </c>
      <c r="Y8" s="453">
        <v>1.501346902125112</v>
      </c>
      <c r="Z8" s="452">
        <v>0</v>
      </c>
      <c r="AA8" s="452">
        <v>0</v>
      </c>
      <c r="AB8" s="452">
        <v>0</v>
      </c>
      <c r="AC8" s="452">
        <v>0</v>
      </c>
      <c r="AD8" s="452">
        <v>0</v>
      </c>
      <c r="AE8" s="452">
        <v>0</v>
      </c>
      <c r="AF8" s="452">
        <v>0</v>
      </c>
      <c r="AG8" s="452">
        <v>0</v>
      </c>
      <c r="AH8" s="452">
        <v>0</v>
      </c>
      <c r="AI8" s="452">
        <v>0</v>
      </c>
      <c r="AJ8" s="452">
        <v>0</v>
      </c>
    </row>
    <row r="9" spans="1:36" ht="15.95" customHeight="1">
      <c r="A9" s="450">
        <v>140010255</v>
      </c>
      <c r="B9" s="450" t="s">
        <v>315</v>
      </c>
      <c r="C9" s="451" t="s">
        <v>12</v>
      </c>
      <c r="D9" s="451" t="s">
        <v>316</v>
      </c>
      <c r="E9" s="452">
        <v>220</v>
      </c>
      <c r="F9" s="452" t="s">
        <v>222</v>
      </c>
      <c r="G9" s="452" t="s">
        <v>222</v>
      </c>
      <c r="H9" s="452" t="s">
        <v>222</v>
      </c>
      <c r="I9" s="452" t="s">
        <v>305</v>
      </c>
      <c r="J9" s="452" t="s">
        <v>304</v>
      </c>
      <c r="K9" s="451" t="s">
        <v>3</v>
      </c>
      <c r="L9" s="452" t="s">
        <v>304</v>
      </c>
      <c r="M9" s="452" t="s">
        <v>304</v>
      </c>
      <c r="N9" s="452" t="s">
        <v>307</v>
      </c>
      <c r="O9" s="452" t="s">
        <v>305</v>
      </c>
      <c r="P9" s="450" t="s">
        <v>309</v>
      </c>
      <c r="Q9" s="452" t="s">
        <v>0</v>
      </c>
      <c r="R9" s="451" t="s">
        <v>2</v>
      </c>
      <c r="S9" s="451" t="s">
        <v>323</v>
      </c>
      <c r="T9" s="451" t="s">
        <v>323</v>
      </c>
      <c r="U9" s="451" t="s">
        <v>327</v>
      </c>
      <c r="V9" s="452" t="s">
        <v>105</v>
      </c>
      <c r="W9" s="452" t="s">
        <v>123</v>
      </c>
      <c r="X9" s="452">
        <v>0</v>
      </c>
      <c r="Y9" s="453">
        <v>1</v>
      </c>
      <c r="Z9" s="452" t="s">
        <v>122</v>
      </c>
      <c r="AA9" s="452" t="s">
        <v>122</v>
      </c>
      <c r="AB9" s="452" t="s">
        <v>162</v>
      </c>
      <c r="AC9" s="452">
        <v>6.9</v>
      </c>
      <c r="AD9" s="452" t="s">
        <v>125</v>
      </c>
      <c r="AE9" s="452" t="s">
        <v>126</v>
      </c>
      <c r="AF9" s="452">
        <v>0</v>
      </c>
      <c r="AG9" s="452">
        <v>12.96</v>
      </c>
      <c r="AH9" s="452" t="s">
        <v>127</v>
      </c>
      <c r="AI9" s="452" t="s">
        <v>128</v>
      </c>
      <c r="AJ9" s="452" t="s">
        <v>129</v>
      </c>
    </row>
    <row r="10" spans="1:36" ht="15.95" customHeight="1">
      <c r="A10" s="450">
        <v>140010260</v>
      </c>
      <c r="B10" s="450" t="s">
        <v>319</v>
      </c>
      <c r="C10" s="451" t="s">
        <v>13</v>
      </c>
      <c r="D10" s="451" t="s">
        <v>320</v>
      </c>
      <c r="E10" s="452">
        <v>212</v>
      </c>
      <c r="F10" s="452" t="s">
        <v>222</v>
      </c>
      <c r="G10" s="452" t="s">
        <v>222</v>
      </c>
      <c r="H10" s="452" t="s">
        <v>222</v>
      </c>
      <c r="I10" s="452" t="s">
        <v>328</v>
      </c>
      <c r="J10" s="452" t="s">
        <v>328</v>
      </c>
      <c r="K10" s="451" t="s">
        <v>322</v>
      </c>
      <c r="L10" s="452" t="s">
        <v>306</v>
      </c>
      <c r="M10" s="452" t="s">
        <v>306</v>
      </c>
      <c r="N10" s="452" t="s">
        <v>323</v>
      </c>
      <c r="O10" s="452" t="s">
        <v>305</v>
      </c>
      <c r="P10" s="450" t="s">
        <v>325</v>
      </c>
      <c r="Q10" s="452" t="s">
        <v>0</v>
      </c>
      <c r="R10" s="451" t="s">
        <v>14</v>
      </c>
      <c r="S10" s="451" t="s">
        <v>326</v>
      </c>
      <c r="T10" s="451" t="s">
        <v>326</v>
      </c>
      <c r="U10" s="451" t="s">
        <v>323</v>
      </c>
      <c r="V10" s="452" t="s">
        <v>106</v>
      </c>
      <c r="W10" s="452" t="s">
        <v>123</v>
      </c>
      <c r="X10" s="452">
        <v>0</v>
      </c>
      <c r="Y10" s="453">
        <v>1.501346902125112</v>
      </c>
      <c r="Z10" s="452">
        <v>0</v>
      </c>
      <c r="AA10" s="452">
        <v>0</v>
      </c>
      <c r="AB10" s="452">
        <v>0</v>
      </c>
      <c r="AC10" s="452">
        <v>0</v>
      </c>
      <c r="AD10" s="452">
        <v>0</v>
      </c>
      <c r="AE10" s="452">
        <v>0</v>
      </c>
      <c r="AF10" s="452">
        <v>0</v>
      </c>
      <c r="AG10" s="452">
        <v>0</v>
      </c>
      <c r="AH10" s="452">
        <v>0</v>
      </c>
      <c r="AI10" s="452">
        <v>0</v>
      </c>
      <c r="AJ10" s="452">
        <v>0</v>
      </c>
    </row>
    <row r="11" spans="1:36" ht="15.95" customHeight="1">
      <c r="A11" s="450">
        <v>140010279</v>
      </c>
      <c r="B11" s="450" t="s">
        <v>319</v>
      </c>
      <c r="C11" s="451" t="s">
        <v>15</v>
      </c>
      <c r="D11" s="451" t="s">
        <v>320</v>
      </c>
      <c r="E11" s="452">
        <v>177</v>
      </c>
      <c r="F11" s="452" t="s">
        <v>222</v>
      </c>
      <c r="G11" s="452" t="s">
        <v>222</v>
      </c>
      <c r="H11" s="452" t="s">
        <v>222</v>
      </c>
      <c r="I11" s="452" t="s">
        <v>321</v>
      </c>
      <c r="J11" s="452" t="s">
        <v>305</v>
      </c>
      <c r="K11" s="451" t="s">
        <v>322</v>
      </c>
      <c r="L11" s="452" t="s">
        <v>329</v>
      </c>
      <c r="M11" s="452" t="s">
        <v>329</v>
      </c>
      <c r="N11" s="452" t="s">
        <v>323</v>
      </c>
      <c r="O11" s="452" t="s">
        <v>308</v>
      </c>
      <c r="P11" s="450" t="s">
        <v>325</v>
      </c>
      <c r="Q11" s="452" t="s">
        <v>0</v>
      </c>
      <c r="R11" s="451" t="s">
        <v>16</v>
      </c>
      <c r="S11" s="451" t="s">
        <v>326</v>
      </c>
      <c r="T11" s="451" t="s">
        <v>326</v>
      </c>
      <c r="U11" s="451" t="s">
        <v>323</v>
      </c>
      <c r="V11" s="452" t="s">
        <v>106</v>
      </c>
      <c r="W11" s="452" t="s">
        <v>123</v>
      </c>
      <c r="X11" s="452">
        <v>0</v>
      </c>
      <c r="Y11" s="453">
        <v>1.0675446473111843</v>
      </c>
      <c r="Z11" s="452">
        <v>0</v>
      </c>
      <c r="AA11" s="452">
        <v>0</v>
      </c>
      <c r="AB11" s="452">
        <v>0</v>
      </c>
      <c r="AC11" s="452">
        <v>0</v>
      </c>
      <c r="AD11" s="452">
        <v>0</v>
      </c>
      <c r="AE11" s="452">
        <v>0</v>
      </c>
      <c r="AF11" s="452">
        <v>0</v>
      </c>
      <c r="AG11" s="452">
        <v>0</v>
      </c>
      <c r="AH11" s="452">
        <v>0</v>
      </c>
      <c r="AI11" s="452">
        <v>0</v>
      </c>
      <c r="AJ11" s="452">
        <v>0</v>
      </c>
    </row>
    <row r="12" spans="1:36" ht="15.95" customHeight="1">
      <c r="A12" s="450">
        <v>140010280</v>
      </c>
      <c r="B12" s="450" t="s">
        <v>319</v>
      </c>
      <c r="C12" s="451" t="s">
        <v>330</v>
      </c>
      <c r="D12" s="451" t="s">
        <v>320</v>
      </c>
      <c r="E12" s="452">
        <v>192</v>
      </c>
      <c r="F12" s="452" t="s">
        <v>222</v>
      </c>
      <c r="G12" s="452" t="s">
        <v>222</v>
      </c>
      <c r="H12" s="452" t="s">
        <v>222</v>
      </c>
      <c r="I12" s="452" t="s">
        <v>321</v>
      </c>
      <c r="J12" s="452" t="s">
        <v>321</v>
      </c>
      <c r="K12" s="451" t="s">
        <v>322</v>
      </c>
      <c r="L12" s="452" t="s">
        <v>306</v>
      </c>
      <c r="M12" s="452" t="s">
        <v>306</v>
      </c>
      <c r="N12" s="452" t="s">
        <v>323</v>
      </c>
      <c r="O12" s="452" t="s">
        <v>308</v>
      </c>
      <c r="P12" s="450" t="s">
        <v>325</v>
      </c>
      <c r="Q12" s="452" t="s">
        <v>0</v>
      </c>
      <c r="R12" s="451" t="s">
        <v>9</v>
      </c>
      <c r="S12" s="451" t="s">
        <v>326</v>
      </c>
      <c r="T12" s="451" t="s">
        <v>326</v>
      </c>
      <c r="U12" s="451" t="s">
        <v>323</v>
      </c>
      <c r="V12" s="452" t="s">
        <v>106</v>
      </c>
      <c r="W12" s="452" t="s">
        <v>123</v>
      </c>
      <c r="X12" s="452">
        <v>0</v>
      </c>
      <c r="Y12" s="453">
        <v>1.0775217000897934</v>
      </c>
      <c r="Z12" s="452">
        <v>0</v>
      </c>
      <c r="AA12" s="452">
        <v>0</v>
      </c>
      <c r="AB12" s="452">
        <v>0</v>
      </c>
      <c r="AC12" s="452">
        <v>0</v>
      </c>
      <c r="AD12" s="452">
        <v>0</v>
      </c>
      <c r="AE12" s="452">
        <v>0</v>
      </c>
      <c r="AF12" s="452">
        <v>0</v>
      </c>
      <c r="AG12" s="452">
        <v>0</v>
      </c>
      <c r="AH12" s="452">
        <v>0</v>
      </c>
      <c r="AI12" s="452">
        <v>0</v>
      </c>
      <c r="AJ12" s="452">
        <v>0</v>
      </c>
    </row>
    <row r="13" spans="1:36" ht="15.95" customHeight="1">
      <c r="A13" s="450">
        <v>140010281</v>
      </c>
      <c r="B13" s="450" t="s">
        <v>319</v>
      </c>
      <c r="C13" s="451" t="s">
        <v>13</v>
      </c>
      <c r="D13" s="451" t="s">
        <v>320</v>
      </c>
      <c r="E13" s="452">
        <v>212</v>
      </c>
      <c r="F13" s="452" t="s">
        <v>222</v>
      </c>
      <c r="G13" s="452" t="s">
        <v>222</v>
      </c>
      <c r="H13" s="452" t="s">
        <v>222</v>
      </c>
      <c r="I13" s="452" t="s">
        <v>328</v>
      </c>
      <c r="J13" s="452" t="s">
        <v>328</v>
      </c>
      <c r="K13" s="451" t="s">
        <v>322</v>
      </c>
      <c r="L13" s="452" t="s">
        <v>306</v>
      </c>
      <c r="M13" s="452" t="s">
        <v>306</v>
      </c>
      <c r="N13" s="452" t="s">
        <v>323</v>
      </c>
      <c r="O13" s="452" t="s">
        <v>305</v>
      </c>
      <c r="P13" s="450" t="s">
        <v>325</v>
      </c>
      <c r="Q13" s="452" t="s">
        <v>0</v>
      </c>
      <c r="R13" s="451" t="s">
        <v>14</v>
      </c>
      <c r="S13" s="451" t="s">
        <v>326</v>
      </c>
      <c r="T13" s="451" t="s">
        <v>326</v>
      </c>
      <c r="U13" s="451" t="s">
        <v>323</v>
      </c>
      <c r="V13" s="452" t="s">
        <v>106</v>
      </c>
      <c r="W13" s="452" t="s">
        <v>123</v>
      </c>
      <c r="X13" s="452">
        <v>0</v>
      </c>
      <c r="Y13" s="453">
        <v>1.0775217000897934</v>
      </c>
      <c r="Z13" s="452">
        <v>0</v>
      </c>
      <c r="AA13" s="452">
        <v>0</v>
      </c>
      <c r="AB13" s="452">
        <v>0</v>
      </c>
      <c r="AC13" s="452">
        <v>0</v>
      </c>
      <c r="AD13" s="452">
        <v>0</v>
      </c>
      <c r="AE13" s="452">
        <v>0</v>
      </c>
      <c r="AF13" s="452">
        <v>0</v>
      </c>
      <c r="AG13" s="452">
        <v>0</v>
      </c>
      <c r="AH13" s="452">
        <v>0</v>
      </c>
      <c r="AI13" s="452">
        <v>0</v>
      </c>
      <c r="AJ13" s="452">
        <v>0</v>
      </c>
    </row>
    <row r="14" spans="1:36" ht="15.95" customHeight="1">
      <c r="A14" s="450">
        <v>140010282</v>
      </c>
      <c r="B14" s="450" t="s">
        <v>319</v>
      </c>
      <c r="C14" s="451" t="s">
        <v>10</v>
      </c>
      <c r="D14" s="451" t="s">
        <v>320</v>
      </c>
      <c r="E14" s="452">
        <v>163</v>
      </c>
      <c r="F14" s="452" t="s">
        <v>222</v>
      </c>
      <c r="G14" s="452" t="s">
        <v>222</v>
      </c>
      <c r="H14" s="452" t="s">
        <v>222</v>
      </c>
      <c r="I14" s="452" t="s">
        <v>321</v>
      </c>
      <c r="J14" s="452" t="s">
        <v>305</v>
      </c>
      <c r="K14" s="451" t="s">
        <v>322</v>
      </c>
      <c r="L14" s="452" t="s">
        <v>306</v>
      </c>
      <c r="M14" s="452" t="s">
        <v>306</v>
      </c>
      <c r="N14" s="452" t="s">
        <v>323</v>
      </c>
      <c r="O14" s="452" t="s">
        <v>324</v>
      </c>
      <c r="P14" s="450" t="s">
        <v>325</v>
      </c>
      <c r="Q14" s="452" t="s">
        <v>0</v>
      </c>
      <c r="R14" s="451" t="s">
        <v>11</v>
      </c>
      <c r="S14" s="451" t="s">
        <v>326</v>
      </c>
      <c r="T14" s="451" t="s">
        <v>326</v>
      </c>
      <c r="U14" s="451" t="s">
        <v>323</v>
      </c>
      <c r="V14" s="452" t="s">
        <v>106</v>
      </c>
      <c r="W14" s="452" t="s">
        <v>123</v>
      </c>
      <c r="X14" s="452">
        <v>0</v>
      </c>
      <c r="Y14" s="453">
        <v>1.0775217000897934</v>
      </c>
      <c r="Z14" s="452">
        <v>0</v>
      </c>
      <c r="AA14" s="452">
        <v>0</v>
      </c>
      <c r="AB14" s="452">
        <v>0</v>
      </c>
      <c r="AC14" s="452">
        <v>0</v>
      </c>
      <c r="AD14" s="452">
        <v>0</v>
      </c>
      <c r="AE14" s="452">
        <v>0</v>
      </c>
      <c r="AF14" s="452">
        <v>0</v>
      </c>
      <c r="AG14" s="452">
        <v>0</v>
      </c>
      <c r="AH14" s="452">
        <v>0</v>
      </c>
      <c r="AI14" s="452">
        <v>0</v>
      </c>
      <c r="AJ14" s="452">
        <v>0</v>
      </c>
    </row>
    <row r="15" spans="1:36" ht="15.95" customHeight="1">
      <c r="A15" s="450">
        <v>140010295</v>
      </c>
      <c r="B15" s="450" t="s">
        <v>319</v>
      </c>
      <c r="C15" s="451" t="s">
        <v>331</v>
      </c>
      <c r="D15" s="451" t="s">
        <v>320</v>
      </c>
      <c r="E15" s="452">
        <v>150</v>
      </c>
      <c r="F15" s="452" t="s">
        <v>222</v>
      </c>
      <c r="G15" s="452" t="s">
        <v>222</v>
      </c>
      <c r="H15" s="452" t="s">
        <v>222</v>
      </c>
      <c r="I15" s="452" t="s">
        <v>332</v>
      </c>
      <c r="J15" s="452" t="s">
        <v>305</v>
      </c>
      <c r="K15" s="451" t="s">
        <v>333</v>
      </c>
      <c r="L15" s="452" t="s">
        <v>334</v>
      </c>
      <c r="M15" s="452" t="s">
        <v>334</v>
      </c>
      <c r="N15" s="452" t="s">
        <v>323</v>
      </c>
      <c r="O15" s="452" t="s">
        <v>308</v>
      </c>
      <c r="P15" s="450" t="s">
        <v>325</v>
      </c>
      <c r="Q15" s="452" t="s">
        <v>0</v>
      </c>
      <c r="R15" s="451" t="s">
        <v>323</v>
      </c>
      <c r="S15" s="451" t="s">
        <v>72</v>
      </c>
      <c r="T15" s="451" t="s">
        <v>72</v>
      </c>
      <c r="U15" s="451" t="s">
        <v>323</v>
      </c>
      <c r="V15" s="452" t="s">
        <v>106</v>
      </c>
      <c r="W15" s="452" t="s">
        <v>123</v>
      </c>
      <c r="X15" s="452">
        <v>0</v>
      </c>
      <c r="Y15" s="453">
        <v>1.1274069639828395</v>
      </c>
      <c r="Z15" s="452" t="s">
        <v>113</v>
      </c>
      <c r="AA15" s="452" t="s">
        <v>122</v>
      </c>
      <c r="AB15" s="452" t="s">
        <v>122</v>
      </c>
      <c r="AC15" s="452">
        <v>7.29</v>
      </c>
      <c r="AD15" s="452" t="s">
        <v>130</v>
      </c>
      <c r="AE15" s="452">
        <v>0</v>
      </c>
      <c r="AF15" s="452">
        <v>0</v>
      </c>
      <c r="AG15" s="452">
        <v>6.93</v>
      </c>
      <c r="AH15" s="452" t="s">
        <v>131</v>
      </c>
      <c r="AI15" s="452">
        <v>0</v>
      </c>
      <c r="AJ15" s="452">
        <v>0</v>
      </c>
    </row>
    <row r="16" spans="1:36" ht="15.95" customHeight="1">
      <c r="A16" s="450">
        <v>140020007</v>
      </c>
      <c r="B16" s="450" t="s">
        <v>315</v>
      </c>
      <c r="C16" s="451" t="s">
        <v>20</v>
      </c>
      <c r="D16" s="451" t="s">
        <v>316</v>
      </c>
      <c r="E16" s="452">
        <v>220</v>
      </c>
      <c r="F16" s="452" t="s">
        <v>222</v>
      </c>
      <c r="G16" s="452" t="s">
        <v>222</v>
      </c>
      <c r="H16" s="452" t="s">
        <v>222</v>
      </c>
      <c r="I16" s="452" t="s">
        <v>305</v>
      </c>
      <c r="J16" s="452" t="s">
        <v>335</v>
      </c>
      <c r="K16" s="451" t="s">
        <v>3</v>
      </c>
      <c r="L16" s="452" t="s">
        <v>329</v>
      </c>
      <c r="M16" s="452" t="s">
        <v>329</v>
      </c>
      <c r="N16" s="452" t="s">
        <v>307</v>
      </c>
      <c r="O16" s="452" t="s">
        <v>307</v>
      </c>
      <c r="P16" s="450" t="s">
        <v>309</v>
      </c>
      <c r="Q16" s="452" t="s">
        <v>336</v>
      </c>
      <c r="R16" s="451" t="s">
        <v>21</v>
      </c>
      <c r="S16" s="451" t="s">
        <v>113</v>
      </c>
      <c r="T16" s="451" t="s">
        <v>113</v>
      </c>
      <c r="U16" s="451" t="s">
        <v>310</v>
      </c>
      <c r="V16" s="452" t="s">
        <v>105</v>
      </c>
      <c r="W16" s="452" t="s">
        <v>123</v>
      </c>
      <c r="X16" s="452">
        <v>0</v>
      </c>
      <c r="Y16" s="453">
        <v>1.0615584156440188</v>
      </c>
      <c r="Z16" s="452">
        <v>0</v>
      </c>
      <c r="AA16" s="452">
        <v>0</v>
      </c>
      <c r="AB16" s="452">
        <v>0</v>
      </c>
      <c r="AC16" s="452">
        <v>0</v>
      </c>
      <c r="AD16" s="452">
        <v>0</v>
      </c>
      <c r="AE16" s="452">
        <v>0</v>
      </c>
      <c r="AF16" s="452">
        <v>0</v>
      </c>
      <c r="AG16" s="452">
        <v>0</v>
      </c>
      <c r="AH16" s="452">
        <v>0</v>
      </c>
      <c r="AI16" s="452">
        <v>0</v>
      </c>
      <c r="AJ16" s="452">
        <v>0</v>
      </c>
    </row>
    <row r="17" spans="1:36" ht="15.95" customHeight="1">
      <c r="A17" s="450">
        <v>140020091</v>
      </c>
      <c r="B17" s="450" t="s">
        <v>311</v>
      </c>
      <c r="C17" s="451" t="s">
        <v>20</v>
      </c>
      <c r="D17" s="451" t="s">
        <v>312</v>
      </c>
      <c r="E17" s="452">
        <v>220</v>
      </c>
      <c r="F17" s="452" t="s">
        <v>222</v>
      </c>
      <c r="G17" s="452" t="s">
        <v>222</v>
      </c>
      <c r="H17" s="452" t="s">
        <v>222</v>
      </c>
      <c r="I17" s="452" t="s">
        <v>305</v>
      </c>
      <c r="J17" s="452" t="s">
        <v>304</v>
      </c>
      <c r="K17" s="451" t="s">
        <v>3</v>
      </c>
      <c r="L17" s="452" t="s">
        <v>337</v>
      </c>
      <c r="M17" s="452" t="s">
        <v>337</v>
      </c>
      <c r="N17" s="452" t="s">
        <v>307</v>
      </c>
      <c r="O17" s="452" t="s">
        <v>307</v>
      </c>
      <c r="P17" s="450" t="s">
        <v>309</v>
      </c>
      <c r="Q17" s="452" t="s">
        <v>336</v>
      </c>
      <c r="R17" s="451" t="s">
        <v>2</v>
      </c>
      <c r="S17" s="451" t="s">
        <v>338</v>
      </c>
      <c r="T17" s="451" t="s">
        <v>339</v>
      </c>
      <c r="U17" s="451" t="s">
        <v>310</v>
      </c>
      <c r="V17" s="452" t="s">
        <v>105</v>
      </c>
      <c r="W17" s="452" t="s">
        <v>123</v>
      </c>
      <c r="X17" s="452">
        <v>0</v>
      </c>
      <c r="Y17" s="453">
        <v>1.0615584156440188</v>
      </c>
      <c r="Z17" s="452">
        <v>0</v>
      </c>
      <c r="AA17" s="452">
        <v>0</v>
      </c>
      <c r="AB17" s="452">
        <v>0</v>
      </c>
      <c r="AC17" s="452">
        <v>0</v>
      </c>
      <c r="AD17" s="452">
        <v>0</v>
      </c>
      <c r="AE17" s="452">
        <v>0</v>
      </c>
      <c r="AF17" s="452">
        <v>0</v>
      </c>
      <c r="AG17" s="452">
        <v>0</v>
      </c>
      <c r="AH17" s="452">
        <v>0</v>
      </c>
      <c r="AI17" s="452">
        <v>0</v>
      </c>
      <c r="AJ17" s="452">
        <v>0</v>
      </c>
    </row>
    <row r="18" spans="1:36" ht="15.95" customHeight="1">
      <c r="A18" s="450">
        <v>140020181</v>
      </c>
      <c r="B18" s="450" t="s">
        <v>315</v>
      </c>
      <c r="C18" s="451" t="s">
        <v>340</v>
      </c>
      <c r="D18" s="451" t="s">
        <v>316</v>
      </c>
      <c r="E18" s="452">
        <v>223</v>
      </c>
      <c r="F18" s="452" t="s">
        <v>341</v>
      </c>
      <c r="G18" s="452" t="s">
        <v>341</v>
      </c>
      <c r="H18" s="452" t="s">
        <v>342</v>
      </c>
      <c r="I18" s="452" t="s">
        <v>305</v>
      </c>
      <c r="J18" s="452" t="s">
        <v>342</v>
      </c>
      <c r="K18" s="451" t="s">
        <v>3</v>
      </c>
      <c r="L18" s="452" t="s">
        <v>306</v>
      </c>
      <c r="M18" s="452" t="s">
        <v>306</v>
      </c>
      <c r="N18" s="452" t="s">
        <v>307</v>
      </c>
      <c r="O18" s="452" t="s">
        <v>307</v>
      </c>
      <c r="P18" s="450" t="s">
        <v>309</v>
      </c>
      <c r="Q18" s="452" t="s">
        <v>336</v>
      </c>
      <c r="R18" s="451" t="s">
        <v>21</v>
      </c>
      <c r="S18" s="451" t="s">
        <v>113</v>
      </c>
      <c r="T18" s="451" t="s">
        <v>113</v>
      </c>
      <c r="U18" s="451" t="s">
        <v>310</v>
      </c>
      <c r="V18" s="452" t="s">
        <v>105</v>
      </c>
      <c r="W18" s="452" t="s">
        <v>172</v>
      </c>
      <c r="X18" s="452">
        <v>0</v>
      </c>
      <c r="Y18" s="453">
        <v>1.2670857028833682</v>
      </c>
      <c r="Z18" s="452" t="s">
        <v>113</v>
      </c>
      <c r="AA18" s="452" t="s">
        <v>163</v>
      </c>
      <c r="AB18" s="452" t="s">
        <v>122</v>
      </c>
      <c r="AC18" s="452">
        <v>0</v>
      </c>
      <c r="AD18" s="452" t="s">
        <v>125</v>
      </c>
      <c r="AE18" s="452" t="s">
        <v>126</v>
      </c>
      <c r="AF18" s="452">
        <v>0</v>
      </c>
      <c r="AG18" s="452">
        <v>0</v>
      </c>
      <c r="AH18" s="452" t="s">
        <v>127</v>
      </c>
      <c r="AI18" s="452" t="s">
        <v>128</v>
      </c>
      <c r="AJ18" s="452">
        <v>0</v>
      </c>
    </row>
    <row r="19" spans="1:36" ht="15.95" customHeight="1">
      <c r="A19" s="450">
        <v>140020196</v>
      </c>
      <c r="B19" s="450" t="s">
        <v>315</v>
      </c>
      <c r="C19" s="451" t="s">
        <v>343</v>
      </c>
      <c r="D19" s="451" t="s">
        <v>316</v>
      </c>
      <c r="E19" s="452">
        <v>223</v>
      </c>
      <c r="F19" s="452" t="s">
        <v>344</v>
      </c>
      <c r="G19" s="452" t="s">
        <v>344</v>
      </c>
      <c r="H19" s="452" t="s">
        <v>335</v>
      </c>
      <c r="I19" s="452" t="s">
        <v>305</v>
      </c>
      <c r="J19" s="452" t="s">
        <v>335</v>
      </c>
      <c r="K19" s="451" t="s">
        <v>3</v>
      </c>
      <c r="L19" s="452" t="s">
        <v>337</v>
      </c>
      <c r="M19" s="452" t="s">
        <v>337</v>
      </c>
      <c r="N19" s="452" t="s">
        <v>307</v>
      </c>
      <c r="O19" s="452" t="s">
        <v>308</v>
      </c>
      <c r="P19" s="450" t="s">
        <v>309</v>
      </c>
      <c r="Q19" s="452" t="s">
        <v>19</v>
      </c>
      <c r="R19" s="451" t="s">
        <v>26</v>
      </c>
      <c r="S19" s="451" t="s">
        <v>345</v>
      </c>
      <c r="T19" s="451" t="s">
        <v>346</v>
      </c>
      <c r="U19" s="451" t="s">
        <v>347</v>
      </c>
      <c r="V19" s="452" t="s">
        <v>106</v>
      </c>
      <c r="W19" s="452" t="s">
        <v>123</v>
      </c>
      <c r="X19" s="452">
        <v>0</v>
      </c>
      <c r="Y19" s="453">
        <v>1.506534969569989</v>
      </c>
      <c r="Z19" s="452" t="s">
        <v>174</v>
      </c>
      <c r="AA19" s="452" t="s">
        <v>163</v>
      </c>
      <c r="AB19" s="452" t="s">
        <v>122</v>
      </c>
      <c r="AC19" s="452">
        <v>0</v>
      </c>
      <c r="AD19" s="452" t="s">
        <v>125</v>
      </c>
      <c r="AE19" s="452" t="s">
        <v>126</v>
      </c>
      <c r="AF19" s="452">
        <v>0</v>
      </c>
      <c r="AG19" s="452">
        <v>0</v>
      </c>
      <c r="AH19" s="452" t="s">
        <v>127</v>
      </c>
      <c r="AI19" s="452" t="s">
        <v>128</v>
      </c>
      <c r="AJ19" s="452">
        <v>0</v>
      </c>
    </row>
    <row r="20" spans="1:36" ht="15.95" customHeight="1">
      <c r="A20" s="450">
        <v>140030039</v>
      </c>
      <c r="B20" s="450" t="s">
        <v>315</v>
      </c>
      <c r="C20" s="451" t="s">
        <v>22</v>
      </c>
      <c r="D20" s="451" t="s">
        <v>316</v>
      </c>
      <c r="E20" s="452">
        <v>224</v>
      </c>
      <c r="F20" s="452" t="s">
        <v>324</v>
      </c>
      <c r="G20" s="452" t="s">
        <v>324</v>
      </c>
      <c r="H20" s="452" t="s">
        <v>348</v>
      </c>
      <c r="I20" s="452" t="s">
        <v>305</v>
      </c>
      <c r="J20" s="452" t="s">
        <v>348</v>
      </c>
      <c r="K20" s="451" t="s">
        <v>3</v>
      </c>
      <c r="L20" s="452" t="s">
        <v>329</v>
      </c>
      <c r="M20" s="452" t="s">
        <v>329</v>
      </c>
      <c r="N20" s="452" t="s">
        <v>307</v>
      </c>
      <c r="O20" s="452" t="s">
        <v>307</v>
      </c>
      <c r="P20" s="450" t="s">
        <v>309</v>
      </c>
      <c r="Q20" s="452" t="s">
        <v>265</v>
      </c>
      <c r="R20" s="451" t="s">
        <v>2</v>
      </c>
      <c r="S20" s="451" t="s">
        <v>114</v>
      </c>
      <c r="T20" s="451" t="s">
        <v>114</v>
      </c>
      <c r="U20" s="451" t="s">
        <v>349</v>
      </c>
      <c r="V20" s="452" t="s">
        <v>105</v>
      </c>
      <c r="W20" s="452" t="s">
        <v>172</v>
      </c>
      <c r="X20" s="452">
        <v>0</v>
      </c>
      <c r="Y20" s="453">
        <v>1.1413748378728923</v>
      </c>
      <c r="Z20" s="452" t="s">
        <v>114</v>
      </c>
      <c r="AA20" s="452" t="s">
        <v>167</v>
      </c>
      <c r="AB20" s="452" t="s">
        <v>122</v>
      </c>
      <c r="AC20" s="452">
        <v>0</v>
      </c>
      <c r="AD20" s="452" t="s">
        <v>125</v>
      </c>
      <c r="AE20" s="452" t="s">
        <v>126</v>
      </c>
      <c r="AF20" s="452">
        <v>0</v>
      </c>
      <c r="AG20" s="452">
        <v>0</v>
      </c>
      <c r="AH20" s="452" t="s">
        <v>127</v>
      </c>
      <c r="AI20" s="452" t="s">
        <v>128</v>
      </c>
      <c r="AJ20" s="452" t="s">
        <v>129</v>
      </c>
    </row>
    <row r="21" spans="1:36" ht="15.95" customHeight="1">
      <c r="A21" s="450">
        <v>140030040</v>
      </c>
      <c r="B21" s="450" t="s">
        <v>315</v>
      </c>
      <c r="C21" s="451" t="s">
        <v>23</v>
      </c>
      <c r="D21" s="451" t="s">
        <v>316</v>
      </c>
      <c r="E21" s="452">
        <v>224</v>
      </c>
      <c r="F21" s="452" t="s">
        <v>324</v>
      </c>
      <c r="G21" s="452" t="s">
        <v>324</v>
      </c>
      <c r="H21" s="452" t="s">
        <v>348</v>
      </c>
      <c r="I21" s="452" t="s">
        <v>305</v>
      </c>
      <c r="J21" s="452" t="s">
        <v>348</v>
      </c>
      <c r="K21" s="451" t="s">
        <v>3</v>
      </c>
      <c r="L21" s="452" t="s">
        <v>329</v>
      </c>
      <c r="M21" s="452" t="s">
        <v>329</v>
      </c>
      <c r="N21" s="452" t="s">
        <v>307</v>
      </c>
      <c r="O21" s="452" t="s">
        <v>307</v>
      </c>
      <c r="P21" s="450" t="s">
        <v>309</v>
      </c>
      <c r="Q21" s="452" t="s">
        <v>266</v>
      </c>
      <c r="R21" s="451" t="s">
        <v>2</v>
      </c>
      <c r="S21" s="451" t="s">
        <v>114</v>
      </c>
      <c r="T21" s="451" t="s">
        <v>114</v>
      </c>
      <c r="U21" s="451" t="s">
        <v>349</v>
      </c>
      <c r="V21" s="452" t="s">
        <v>105</v>
      </c>
      <c r="W21" s="452" t="s">
        <v>172</v>
      </c>
      <c r="X21" s="452">
        <v>0</v>
      </c>
      <c r="Y21" s="453">
        <v>1.1092487279257708</v>
      </c>
      <c r="Z21" s="452" t="s">
        <v>114</v>
      </c>
      <c r="AA21" s="452" t="s">
        <v>167</v>
      </c>
      <c r="AB21" s="452" t="s">
        <v>122</v>
      </c>
      <c r="AC21" s="452">
        <v>6.9</v>
      </c>
      <c r="AD21" s="452" t="s">
        <v>125</v>
      </c>
      <c r="AE21" s="452" t="s">
        <v>126</v>
      </c>
      <c r="AF21" s="452">
        <v>0</v>
      </c>
      <c r="AG21" s="452">
        <v>12.96</v>
      </c>
      <c r="AH21" s="452" t="s">
        <v>127</v>
      </c>
      <c r="AI21" s="452" t="s">
        <v>128</v>
      </c>
      <c r="AJ21" s="452" t="s">
        <v>129</v>
      </c>
    </row>
    <row r="22" spans="1:36" ht="15.95" customHeight="1">
      <c r="A22" s="450">
        <v>140040012</v>
      </c>
      <c r="B22" s="450" t="s">
        <v>311</v>
      </c>
      <c r="C22" s="451" t="s">
        <v>1</v>
      </c>
      <c r="D22" s="451" t="s">
        <v>312</v>
      </c>
      <c r="E22" s="452">
        <v>220</v>
      </c>
      <c r="F22" s="452" t="s">
        <v>222</v>
      </c>
      <c r="G22" s="452" t="s">
        <v>222</v>
      </c>
      <c r="H22" s="452" t="s">
        <v>222</v>
      </c>
      <c r="I22" s="452" t="s">
        <v>305</v>
      </c>
      <c r="J22" s="452" t="s">
        <v>304</v>
      </c>
      <c r="K22" s="451" t="s">
        <v>3</v>
      </c>
      <c r="L22" s="452" t="s">
        <v>307</v>
      </c>
      <c r="M22" s="452" t="s">
        <v>307</v>
      </c>
      <c r="N22" s="452" t="s">
        <v>307</v>
      </c>
      <c r="O22" s="452" t="s">
        <v>307</v>
      </c>
      <c r="P22" s="450" t="s">
        <v>309</v>
      </c>
      <c r="Q22" s="452" t="s">
        <v>350</v>
      </c>
      <c r="R22" s="451" t="s">
        <v>18</v>
      </c>
      <c r="S22" s="451" t="s">
        <v>351</v>
      </c>
      <c r="T22" s="451" t="s">
        <v>352</v>
      </c>
      <c r="U22" s="451" t="s">
        <v>353</v>
      </c>
      <c r="V22" s="452" t="s">
        <v>180</v>
      </c>
      <c r="W22" s="452" t="s">
        <v>180</v>
      </c>
      <c r="X22" s="452" t="s">
        <v>180</v>
      </c>
      <c r="Y22" s="453" t="s">
        <v>180</v>
      </c>
      <c r="Z22" s="452" t="s">
        <v>180</v>
      </c>
      <c r="AA22" s="452" t="s">
        <v>180</v>
      </c>
      <c r="AB22" s="452" t="s">
        <v>180</v>
      </c>
      <c r="AC22" s="452" t="s">
        <v>180</v>
      </c>
      <c r="AD22" s="452" t="s">
        <v>180</v>
      </c>
      <c r="AE22" s="452" t="s">
        <v>180</v>
      </c>
      <c r="AF22" s="452" t="s">
        <v>180</v>
      </c>
      <c r="AG22" s="452" t="s">
        <v>180</v>
      </c>
      <c r="AH22" s="452" t="s">
        <v>180</v>
      </c>
      <c r="AI22" s="452" t="s">
        <v>180</v>
      </c>
      <c r="AJ22" s="452" t="s">
        <v>180</v>
      </c>
    </row>
    <row r="23" spans="1:36" ht="15.95" customHeight="1">
      <c r="A23" s="450">
        <v>140090014</v>
      </c>
      <c r="B23" s="450" t="s">
        <v>301</v>
      </c>
      <c r="C23" s="451" t="s">
        <v>25</v>
      </c>
      <c r="D23" s="451" t="s">
        <v>303</v>
      </c>
      <c r="E23" s="452">
        <v>257</v>
      </c>
      <c r="F23" s="452" t="s">
        <v>335</v>
      </c>
      <c r="G23" s="452" t="s">
        <v>335</v>
      </c>
      <c r="H23" s="452" t="s">
        <v>354</v>
      </c>
      <c r="I23" s="452" t="s">
        <v>305</v>
      </c>
      <c r="J23" s="452" t="s">
        <v>354</v>
      </c>
      <c r="K23" s="451" t="s">
        <v>27</v>
      </c>
      <c r="L23" s="452" t="s">
        <v>337</v>
      </c>
      <c r="M23" s="452" t="s">
        <v>337</v>
      </c>
      <c r="N23" s="452" t="s">
        <v>307</v>
      </c>
      <c r="O23" s="452" t="s">
        <v>307</v>
      </c>
      <c r="P23" s="450" t="s">
        <v>309</v>
      </c>
      <c r="Q23" s="452" t="s">
        <v>24</v>
      </c>
      <c r="R23" s="451" t="s">
        <v>26</v>
      </c>
      <c r="S23" s="451" t="s">
        <v>355</v>
      </c>
      <c r="T23" s="451" t="s">
        <v>355</v>
      </c>
      <c r="U23" s="451" t="s">
        <v>349</v>
      </c>
      <c r="V23" s="452" t="s">
        <v>105</v>
      </c>
      <c r="W23" s="452" t="s">
        <v>123</v>
      </c>
      <c r="X23" s="452">
        <v>0</v>
      </c>
      <c r="Y23" s="453">
        <v>1.5105257906814327</v>
      </c>
      <c r="Z23" s="452">
        <v>0</v>
      </c>
      <c r="AA23" s="452">
        <v>0</v>
      </c>
      <c r="AB23" s="452">
        <v>0</v>
      </c>
      <c r="AC23" s="452">
        <v>0</v>
      </c>
      <c r="AD23" s="452">
        <v>0</v>
      </c>
      <c r="AE23" s="452">
        <v>0</v>
      </c>
      <c r="AF23" s="452">
        <v>0</v>
      </c>
      <c r="AG23" s="452">
        <v>0</v>
      </c>
      <c r="AH23" s="452">
        <v>0</v>
      </c>
      <c r="AI23" s="452">
        <v>0</v>
      </c>
      <c r="AJ23" s="452">
        <v>0</v>
      </c>
    </row>
    <row r="24" spans="1:36" ht="15.95" customHeight="1">
      <c r="A24" s="450">
        <v>140090037</v>
      </c>
      <c r="B24" s="450" t="s">
        <v>356</v>
      </c>
      <c r="C24" s="451" t="s">
        <v>357</v>
      </c>
      <c r="D24" s="451" t="s">
        <v>358</v>
      </c>
      <c r="E24" s="452">
        <v>227</v>
      </c>
      <c r="F24" s="452" t="s">
        <v>359</v>
      </c>
      <c r="G24" s="452" t="s">
        <v>359</v>
      </c>
      <c r="H24" s="452" t="s">
        <v>359</v>
      </c>
      <c r="I24" s="452" t="s">
        <v>305</v>
      </c>
      <c r="J24" s="452" t="s">
        <v>359</v>
      </c>
      <c r="K24" s="451" t="s">
        <v>27</v>
      </c>
      <c r="L24" s="452" t="s">
        <v>337</v>
      </c>
      <c r="M24" s="452" t="s">
        <v>337</v>
      </c>
      <c r="N24" s="452" t="s">
        <v>307</v>
      </c>
      <c r="O24" s="452" t="s">
        <v>308</v>
      </c>
      <c r="P24" s="450" t="s">
        <v>309</v>
      </c>
      <c r="Q24" s="452" t="s">
        <v>24</v>
      </c>
      <c r="R24" s="451" t="s">
        <v>28</v>
      </c>
      <c r="S24" s="451" t="s">
        <v>355</v>
      </c>
      <c r="T24" s="451" t="s">
        <v>355</v>
      </c>
      <c r="U24" s="451" t="s">
        <v>360</v>
      </c>
      <c r="V24" s="452" t="s">
        <v>105</v>
      </c>
      <c r="W24" s="452" t="s">
        <v>123</v>
      </c>
      <c r="X24" s="452">
        <v>0</v>
      </c>
      <c r="Y24" s="453">
        <v>1.530479896238651</v>
      </c>
      <c r="Z24" s="452">
        <v>0</v>
      </c>
      <c r="AA24" s="452">
        <v>0</v>
      </c>
      <c r="AB24" s="452">
        <v>0</v>
      </c>
      <c r="AC24" s="452">
        <v>0</v>
      </c>
      <c r="AD24" s="452">
        <v>0</v>
      </c>
      <c r="AE24" s="452">
        <v>0</v>
      </c>
      <c r="AF24" s="452">
        <v>0</v>
      </c>
      <c r="AG24" s="452">
        <v>0</v>
      </c>
      <c r="AH24" s="452">
        <v>0</v>
      </c>
      <c r="AI24" s="452">
        <v>0</v>
      </c>
      <c r="AJ24" s="452">
        <v>0</v>
      </c>
    </row>
    <row r="25" spans="1:36" ht="15.95" customHeight="1">
      <c r="A25" s="450">
        <v>140090075</v>
      </c>
      <c r="B25" s="450" t="s">
        <v>301</v>
      </c>
      <c r="C25" s="451" t="s">
        <v>25</v>
      </c>
      <c r="D25" s="451" t="s">
        <v>303</v>
      </c>
      <c r="E25" s="452">
        <v>257</v>
      </c>
      <c r="F25" s="452" t="s">
        <v>361</v>
      </c>
      <c r="G25" s="452" t="s">
        <v>361</v>
      </c>
      <c r="H25" s="452" t="s">
        <v>354</v>
      </c>
      <c r="I25" s="452" t="s">
        <v>305</v>
      </c>
      <c r="J25" s="452" t="s">
        <v>354</v>
      </c>
      <c r="K25" s="451" t="s">
        <v>27</v>
      </c>
      <c r="L25" s="452" t="s">
        <v>337</v>
      </c>
      <c r="M25" s="452" t="s">
        <v>337</v>
      </c>
      <c r="N25" s="452" t="s">
        <v>307</v>
      </c>
      <c r="O25" s="452" t="s">
        <v>308</v>
      </c>
      <c r="P25" s="450" t="s">
        <v>309</v>
      </c>
      <c r="Q25" s="452" t="s">
        <v>24</v>
      </c>
      <c r="R25" s="451" t="s">
        <v>29</v>
      </c>
      <c r="S25" s="451" t="s">
        <v>355</v>
      </c>
      <c r="T25" s="451" t="s">
        <v>355</v>
      </c>
      <c r="U25" s="451" t="s">
        <v>349</v>
      </c>
      <c r="V25" s="452" t="s">
        <v>105</v>
      </c>
      <c r="W25" s="452" t="s">
        <v>123</v>
      </c>
      <c r="X25" s="452">
        <v>0</v>
      </c>
      <c r="Y25" s="453">
        <v>1.530479896238651</v>
      </c>
      <c r="Z25" s="452">
        <v>0</v>
      </c>
      <c r="AA25" s="452">
        <v>0</v>
      </c>
      <c r="AB25" s="452">
        <v>0</v>
      </c>
      <c r="AC25" s="452">
        <v>0</v>
      </c>
      <c r="AD25" s="452">
        <v>0</v>
      </c>
      <c r="AE25" s="452">
        <v>0</v>
      </c>
      <c r="AF25" s="452">
        <v>0</v>
      </c>
      <c r="AG25" s="452">
        <v>0</v>
      </c>
      <c r="AH25" s="452">
        <v>0</v>
      </c>
      <c r="AI25" s="452">
        <v>0</v>
      </c>
      <c r="AJ25" s="452">
        <v>0</v>
      </c>
    </row>
    <row r="26" spans="1:36" ht="15.95" customHeight="1">
      <c r="A26" s="450">
        <v>140090098</v>
      </c>
      <c r="B26" s="450" t="s">
        <v>301</v>
      </c>
      <c r="C26" s="451" t="s">
        <v>30</v>
      </c>
      <c r="D26" s="451" t="s">
        <v>303</v>
      </c>
      <c r="E26" s="452">
        <v>187</v>
      </c>
      <c r="F26" s="452" t="s">
        <v>222</v>
      </c>
      <c r="G26" s="452" t="s">
        <v>222</v>
      </c>
      <c r="H26" s="452" t="s">
        <v>222</v>
      </c>
      <c r="I26" s="452" t="s">
        <v>305</v>
      </c>
      <c r="J26" s="452" t="s">
        <v>328</v>
      </c>
      <c r="K26" s="451" t="s">
        <v>3</v>
      </c>
      <c r="L26" s="452" t="s">
        <v>337</v>
      </c>
      <c r="M26" s="452" t="s">
        <v>337</v>
      </c>
      <c r="N26" s="452" t="s">
        <v>307</v>
      </c>
      <c r="O26" s="452" t="s">
        <v>308</v>
      </c>
      <c r="P26" s="450" t="s">
        <v>309</v>
      </c>
      <c r="Q26" s="452" t="s">
        <v>24</v>
      </c>
      <c r="R26" s="451" t="s">
        <v>26</v>
      </c>
      <c r="S26" s="451" t="s">
        <v>355</v>
      </c>
      <c r="T26" s="451" t="s">
        <v>355</v>
      </c>
      <c r="U26" s="451" t="s">
        <v>349</v>
      </c>
      <c r="V26" s="452" t="s">
        <v>105</v>
      </c>
      <c r="W26" s="452" t="s">
        <v>123</v>
      </c>
      <c r="X26" s="452">
        <v>0</v>
      </c>
      <c r="Y26" s="453">
        <v>1.1014666267584556</v>
      </c>
      <c r="Z26" s="452">
        <v>0</v>
      </c>
      <c r="AA26" s="452">
        <v>0</v>
      </c>
      <c r="AB26" s="452">
        <v>0</v>
      </c>
      <c r="AC26" s="452">
        <v>0</v>
      </c>
      <c r="AD26" s="452">
        <v>0</v>
      </c>
      <c r="AE26" s="452">
        <v>0</v>
      </c>
      <c r="AF26" s="452">
        <v>0</v>
      </c>
      <c r="AG26" s="452">
        <v>0</v>
      </c>
      <c r="AH26" s="452">
        <v>0</v>
      </c>
      <c r="AI26" s="452">
        <v>0</v>
      </c>
      <c r="AJ26" s="452">
        <v>0</v>
      </c>
    </row>
    <row r="27" spans="1:36" ht="15.95" customHeight="1">
      <c r="A27" s="450">
        <v>140090143</v>
      </c>
      <c r="B27" s="450" t="s">
        <v>315</v>
      </c>
      <c r="C27" s="451" t="s">
        <v>31</v>
      </c>
      <c r="D27" s="451" t="s">
        <v>316</v>
      </c>
      <c r="E27" s="452">
        <v>227</v>
      </c>
      <c r="F27" s="452" t="s">
        <v>222</v>
      </c>
      <c r="G27" s="452" t="s">
        <v>222</v>
      </c>
      <c r="H27" s="452" t="s">
        <v>222</v>
      </c>
      <c r="I27" s="452" t="s">
        <v>305</v>
      </c>
      <c r="J27" s="452" t="s">
        <v>359</v>
      </c>
      <c r="K27" s="451" t="s">
        <v>27</v>
      </c>
      <c r="L27" s="452" t="s">
        <v>337</v>
      </c>
      <c r="M27" s="452" t="s">
        <v>337</v>
      </c>
      <c r="N27" s="452" t="s">
        <v>307</v>
      </c>
      <c r="O27" s="452" t="s">
        <v>308</v>
      </c>
      <c r="P27" s="450" t="s">
        <v>309</v>
      </c>
      <c r="Q27" s="452" t="s">
        <v>24</v>
      </c>
      <c r="R27" s="451" t="s">
        <v>28</v>
      </c>
      <c r="S27" s="451" t="s">
        <v>355</v>
      </c>
      <c r="T27" s="451" t="s">
        <v>355</v>
      </c>
      <c r="U27" s="451" t="s">
        <v>360</v>
      </c>
      <c r="V27" s="452" t="s">
        <v>105</v>
      </c>
      <c r="W27" s="452" t="s">
        <v>123</v>
      </c>
      <c r="X27" s="452">
        <v>0</v>
      </c>
      <c r="Y27" s="453">
        <v>2.7237354085603114</v>
      </c>
      <c r="Z27" s="452" t="s">
        <v>111</v>
      </c>
      <c r="AA27" s="452" t="s">
        <v>122</v>
      </c>
      <c r="AB27" s="452" t="s">
        <v>112</v>
      </c>
      <c r="AC27" s="452">
        <v>6.9</v>
      </c>
      <c r="AD27" s="452" t="s">
        <v>124</v>
      </c>
      <c r="AE27" s="452" t="s">
        <v>125</v>
      </c>
      <c r="AF27" s="452" t="s">
        <v>126</v>
      </c>
      <c r="AG27" s="452">
        <v>12.96</v>
      </c>
      <c r="AH27" s="452" t="s">
        <v>127</v>
      </c>
      <c r="AI27" s="452" t="s">
        <v>128</v>
      </c>
      <c r="AJ27" s="452" t="s">
        <v>129</v>
      </c>
    </row>
    <row r="28" spans="1:36" ht="15.95" customHeight="1">
      <c r="A28" s="450">
        <v>140120021</v>
      </c>
      <c r="B28" s="450" t="s">
        <v>311</v>
      </c>
      <c r="C28" s="451" t="s">
        <v>33</v>
      </c>
      <c r="D28" s="451" t="s">
        <v>312</v>
      </c>
      <c r="E28" s="452">
        <v>223</v>
      </c>
      <c r="F28" s="452" t="s">
        <v>335</v>
      </c>
      <c r="G28" s="452" t="s">
        <v>335</v>
      </c>
      <c r="H28" s="452" t="s">
        <v>335</v>
      </c>
      <c r="I28" s="452" t="s">
        <v>305</v>
      </c>
      <c r="J28" s="452" t="s">
        <v>335</v>
      </c>
      <c r="K28" s="451" t="s">
        <v>27</v>
      </c>
      <c r="L28" s="452" t="s">
        <v>304</v>
      </c>
      <c r="M28" s="452" t="s">
        <v>304</v>
      </c>
      <c r="N28" s="452" t="s">
        <v>307</v>
      </c>
      <c r="O28" s="452" t="s">
        <v>307</v>
      </c>
      <c r="P28" s="450" t="s">
        <v>309</v>
      </c>
      <c r="Q28" s="452" t="s">
        <v>32</v>
      </c>
      <c r="R28" s="451" t="s">
        <v>18</v>
      </c>
      <c r="S28" s="451" t="s">
        <v>323</v>
      </c>
      <c r="T28" s="451" t="s">
        <v>323</v>
      </c>
      <c r="U28" s="451" t="s">
        <v>362</v>
      </c>
      <c r="V28" s="452" t="s">
        <v>105</v>
      </c>
      <c r="W28" s="452" t="s">
        <v>123</v>
      </c>
      <c r="X28" s="452">
        <v>0</v>
      </c>
      <c r="Y28" s="453">
        <v>0.82809538062456345</v>
      </c>
      <c r="Z28" s="452">
        <v>0</v>
      </c>
      <c r="AA28" s="452">
        <v>0</v>
      </c>
      <c r="AB28" s="452">
        <v>0</v>
      </c>
      <c r="AC28" s="452">
        <v>0</v>
      </c>
      <c r="AD28" s="452">
        <v>0</v>
      </c>
      <c r="AE28" s="452">
        <v>0</v>
      </c>
      <c r="AF28" s="452">
        <v>0</v>
      </c>
      <c r="AG28" s="452">
        <v>0</v>
      </c>
      <c r="AH28" s="452">
        <v>0</v>
      </c>
      <c r="AI28" s="452">
        <v>0</v>
      </c>
      <c r="AJ28" s="452">
        <v>0</v>
      </c>
    </row>
    <row r="29" spans="1:36" ht="15.95" customHeight="1">
      <c r="A29" s="450">
        <v>140120058</v>
      </c>
      <c r="B29" s="450" t="s">
        <v>311</v>
      </c>
      <c r="C29" s="451" t="s">
        <v>34</v>
      </c>
      <c r="D29" s="451" t="s">
        <v>312</v>
      </c>
      <c r="E29" s="452">
        <v>223</v>
      </c>
      <c r="F29" s="452" t="s">
        <v>335</v>
      </c>
      <c r="G29" s="452" t="s">
        <v>335</v>
      </c>
      <c r="H29" s="452" t="s">
        <v>335</v>
      </c>
      <c r="I29" s="452" t="s">
        <v>305</v>
      </c>
      <c r="J29" s="452" t="s">
        <v>335</v>
      </c>
      <c r="K29" s="451" t="s">
        <v>27</v>
      </c>
      <c r="L29" s="452" t="s">
        <v>304</v>
      </c>
      <c r="M29" s="452" t="s">
        <v>304</v>
      </c>
      <c r="N29" s="452" t="s">
        <v>304</v>
      </c>
      <c r="O29" s="452" t="s">
        <v>307</v>
      </c>
      <c r="P29" s="450" t="s">
        <v>309</v>
      </c>
      <c r="Q29" s="452" t="s">
        <v>32</v>
      </c>
      <c r="R29" s="451" t="s">
        <v>18</v>
      </c>
      <c r="S29" s="451" t="s">
        <v>323</v>
      </c>
      <c r="T29" s="451" t="s">
        <v>323</v>
      </c>
      <c r="U29" s="451" t="s">
        <v>323</v>
      </c>
      <c r="V29" s="452" t="s">
        <v>105</v>
      </c>
      <c r="W29" s="452" t="s">
        <v>123</v>
      </c>
      <c r="X29" s="452">
        <v>0</v>
      </c>
      <c r="Y29" s="453">
        <v>0.74827895839568992</v>
      </c>
      <c r="Z29" s="452">
        <v>0</v>
      </c>
      <c r="AA29" s="452">
        <v>0</v>
      </c>
      <c r="AB29" s="452">
        <v>0</v>
      </c>
      <c r="AC29" s="452">
        <v>0</v>
      </c>
      <c r="AD29" s="452">
        <v>0</v>
      </c>
      <c r="AE29" s="452">
        <v>0</v>
      </c>
      <c r="AF29" s="452">
        <v>0</v>
      </c>
      <c r="AG29" s="452">
        <v>0</v>
      </c>
      <c r="AH29" s="452">
        <v>0</v>
      </c>
      <c r="AI29" s="452">
        <v>0</v>
      </c>
      <c r="AJ29" s="452">
        <v>0</v>
      </c>
    </row>
    <row r="30" spans="1:36" ht="15.95" customHeight="1">
      <c r="A30" s="450">
        <v>140160010</v>
      </c>
      <c r="B30" s="450" t="s">
        <v>363</v>
      </c>
      <c r="C30" s="451" t="s">
        <v>36</v>
      </c>
      <c r="D30" s="451" t="s">
        <v>364</v>
      </c>
      <c r="E30" s="452">
        <v>167</v>
      </c>
      <c r="F30" s="452" t="s">
        <v>365</v>
      </c>
      <c r="G30" s="452" t="s">
        <v>365</v>
      </c>
      <c r="H30" s="452" t="s">
        <v>366</v>
      </c>
      <c r="I30" s="452" t="s">
        <v>305</v>
      </c>
      <c r="J30" s="452" t="s">
        <v>366</v>
      </c>
      <c r="K30" s="451" t="s">
        <v>27</v>
      </c>
      <c r="L30" s="452" t="s">
        <v>307</v>
      </c>
      <c r="M30" s="452" t="s">
        <v>307</v>
      </c>
      <c r="N30" s="452" t="s">
        <v>307</v>
      </c>
      <c r="O30" s="452" t="s">
        <v>307</v>
      </c>
      <c r="P30" s="450" t="s">
        <v>313</v>
      </c>
      <c r="Q30" s="452" t="s">
        <v>35</v>
      </c>
      <c r="R30" s="451" t="s">
        <v>305</v>
      </c>
      <c r="S30" s="451" t="s">
        <v>367</v>
      </c>
      <c r="T30" s="451" t="s">
        <v>367</v>
      </c>
      <c r="U30" s="451" t="s">
        <v>367</v>
      </c>
      <c r="V30" s="452" t="s">
        <v>105</v>
      </c>
      <c r="W30" s="452" t="s">
        <v>123</v>
      </c>
      <c r="X30" s="452">
        <v>0</v>
      </c>
      <c r="Y30" s="453">
        <v>1.3069939139978051</v>
      </c>
      <c r="Z30" s="452">
        <v>0</v>
      </c>
      <c r="AA30" s="452">
        <v>0</v>
      </c>
      <c r="AB30" s="452">
        <v>0</v>
      </c>
      <c r="AC30" s="452">
        <v>0</v>
      </c>
      <c r="AD30" s="452">
        <v>0</v>
      </c>
      <c r="AE30" s="452">
        <v>0</v>
      </c>
      <c r="AF30" s="452">
        <v>0</v>
      </c>
      <c r="AG30" s="452">
        <v>0</v>
      </c>
      <c r="AH30" s="452">
        <v>0</v>
      </c>
      <c r="AI30" s="452">
        <v>0</v>
      </c>
      <c r="AJ30" s="452">
        <v>0</v>
      </c>
    </row>
    <row r="31" spans="1:36" ht="15.95" customHeight="1">
      <c r="A31" s="450">
        <v>140160015</v>
      </c>
      <c r="B31" s="450" t="s">
        <v>301</v>
      </c>
      <c r="C31" s="451" t="s">
        <v>368</v>
      </c>
      <c r="D31" s="451" t="s">
        <v>303</v>
      </c>
      <c r="E31" s="452">
        <v>160</v>
      </c>
      <c r="F31" s="452" t="s">
        <v>222</v>
      </c>
      <c r="G31" s="452" t="s">
        <v>222</v>
      </c>
      <c r="H31" s="452" t="s">
        <v>222</v>
      </c>
      <c r="I31" s="452" t="s">
        <v>305</v>
      </c>
      <c r="J31" s="452" t="s">
        <v>348</v>
      </c>
      <c r="K31" s="451" t="s">
        <v>27</v>
      </c>
      <c r="L31" s="452" t="s">
        <v>307</v>
      </c>
      <c r="M31" s="452" t="s">
        <v>307</v>
      </c>
      <c r="N31" s="452" t="s">
        <v>307</v>
      </c>
      <c r="O31" s="452" t="s">
        <v>307</v>
      </c>
      <c r="P31" s="450" t="s">
        <v>313</v>
      </c>
      <c r="Q31" s="452" t="s">
        <v>35</v>
      </c>
      <c r="R31" s="451" t="s">
        <v>43</v>
      </c>
      <c r="S31" s="451" t="s">
        <v>307</v>
      </c>
      <c r="T31" s="451" t="s">
        <v>307</v>
      </c>
      <c r="U31" s="451" t="s">
        <v>307</v>
      </c>
      <c r="V31" s="452" t="s">
        <v>180</v>
      </c>
      <c r="W31" s="452" t="s">
        <v>180</v>
      </c>
      <c r="X31" s="452" t="s">
        <v>180</v>
      </c>
      <c r="Y31" s="453" t="s">
        <v>180</v>
      </c>
      <c r="Z31" s="452" t="s">
        <v>180</v>
      </c>
      <c r="AA31" s="452" t="s">
        <v>180</v>
      </c>
      <c r="AB31" s="452" t="s">
        <v>180</v>
      </c>
      <c r="AC31" s="452" t="s">
        <v>180</v>
      </c>
      <c r="AD31" s="452" t="s">
        <v>180</v>
      </c>
      <c r="AE31" s="452" t="s">
        <v>180</v>
      </c>
      <c r="AF31" s="452" t="s">
        <v>180</v>
      </c>
      <c r="AG31" s="452" t="s">
        <v>180</v>
      </c>
      <c r="AH31" s="452" t="s">
        <v>180</v>
      </c>
      <c r="AI31" s="452" t="s">
        <v>180</v>
      </c>
      <c r="AJ31" s="452" t="s">
        <v>180</v>
      </c>
    </row>
    <row r="32" spans="1:36" ht="15.95" customHeight="1">
      <c r="A32" s="450">
        <v>140220011</v>
      </c>
      <c r="B32" s="450" t="s">
        <v>369</v>
      </c>
      <c r="C32" s="451" t="s">
        <v>38</v>
      </c>
      <c r="D32" s="451" t="s">
        <v>316</v>
      </c>
      <c r="E32" s="452">
        <v>183</v>
      </c>
      <c r="F32" s="452" t="s">
        <v>308</v>
      </c>
      <c r="G32" s="452" t="s">
        <v>308</v>
      </c>
      <c r="H32" s="452" t="s">
        <v>348</v>
      </c>
      <c r="I32" s="452" t="s">
        <v>305</v>
      </c>
      <c r="J32" s="452" t="s">
        <v>348</v>
      </c>
      <c r="K32" s="451" t="s">
        <v>27</v>
      </c>
      <c r="L32" s="452" t="s">
        <v>370</v>
      </c>
      <c r="M32" s="452" t="s">
        <v>370</v>
      </c>
      <c r="N32" s="452" t="s">
        <v>370</v>
      </c>
      <c r="O32" s="452" t="s">
        <v>308</v>
      </c>
      <c r="P32" s="450" t="s">
        <v>313</v>
      </c>
      <c r="Q32" s="452" t="s">
        <v>37</v>
      </c>
      <c r="R32" s="451" t="s">
        <v>323</v>
      </c>
      <c r="S32" s="451" t="s">
        <v>371</v>
      </c>
      <c r="T32" s="451" t="s">
        <v>371</v>
      </c>
      <c r="U32" s="451" t="s">
        <v>372</v>
      </c>
      <c r="V32" s="452" t="s">
        <v>105</v>
      </c>
      <c r="W32" s="452" t="s">
        <v>123</v>
      </c>
      <c r="X32" s="452">
        <v>0</v>
      </c>
      <c r="Y32" s="453">
        <v>1.207223386211713</v>
      </c>
      <c r="Z32" s="452">
        <v>0</v>
      </c>
      <c r="AA32" s="452">
        <v>0</v>
      </c>
      <c r="AB32" s="452">
        <v>0</v>
      </c>
      <c r="AC32" s="452">
        <v>0</v>
      </c>
      <c r="AD32" s="452">
        <v>0</v>
      </c>
      <c r="AE32" s="452">
        <v>0</v>
      </c>
      <c r="AF32" s="452">
        <v>0</v>
      </c>
      <c r="AG32" s="452">
        <v>0</v>
      </c>
      <c r="AH32" s="452">
        <v>0</v>
      </c>
      <c r="AI32" s="452">
        <v>0</v>
      </c>
      <c r="AJ32" s="452">
        <v>0</v>
      </c>
    </row>
    <row r="33" spans="1:36" ht="15.95" customHeight="1">
      <c r="A33" s="450">
        <v>140220012</v>
      </c>
      <c r="B33" s="450" t="s">
        <v>369</v>
      </c>
      <c r="C33" s="451" t="s">
        <v>39</v>
      </c>
      <c r="D33" s="451" t="s">
        <v>316</v>
      </c>
      <c r="E33" s="452">
        <v>192</v>
      </c>
      <c r="F33" s="452" t="s">
        <v>335</v>
      </c>
      <c r="G33" s="452" t="s">
        <v>335</v>
      </c>
      <c r="H33" s="452" t="s">
        <v>373</v>
      </c>
      <c r="I33" s="452" t="s">
        <v>305</v>
      </c>
      <c r="J33" s="452" t="s">
        <v>373</v>
      </c>
      <c r="K33" s="451" t="s">
        <v>27</v>
      </c>
      <c r="L33" s="452" t="s">
        <v>370</v>
      </c>
      <c r="M33" s="452" t="s">
        <v>370</v>
      </c>
      <c r="N33" s="452" t="s">
        <v>307</v>
      </c>
      <c r="O33" s="452" t="s">
        <v>308</v>
      </c>
      <c r="P33" s="450" t="s">
        <v>313</v>
      </c>
      <c r="Q33" s="452" t="s">
        <v>37</v>
      </c>
      <c r="R33" s="451" t="s">
        <v>374</v>
      </c>
      <c r="S33" s="451" t="s">
        <v>372</v>
      </c>
      <c r="T33" s="451" t="s">
        <v>372</v>
      </c>
      <c r="U33" s="451" t="s">
        <v>375</v>
      </c>
      <c r="V33" s="452" t="s">
        <v>105</v>
      </c>
      <c r="W33" s="452" t="s">
        <v>171</v>
      </c>
      <c r="X33" s="452">
        <v>0</v>
      </c>
      <c r="Y33" s="453">
        <v>1.9455252918287937</v>
      </c>
      <c r="Z33" s="452" t="s">
        <v>166</v>
      </c>
      <c r="AA33" s="452" t="s">
        <v>167</v>
      </c>
      <c r="AB33" s="452" t="s">
        <v>122</v>
      </c>
      <c r="AC33" s="452">
        <v>6.9</v>
      </c>
      <c r="AD33" s="452" t="s">
        <v>124</v>
      </c>
      <c r="AE33" s="452" t="s">
        <v>125</v>
      </c>
      <c r="AF33" s="452" t="s">
        <v>126</v>
      </c>
      <c r="AG33" s="452">
        <v>14.45</v>
      </c>
      <c r="AH33" s="452" t="s">
        <v>132</v>
      </c>
      <c r="AI33" s="452" t="s">
        <v>133</v>
      </c>
      <c r="AJ33" s="452">
        <v>0</v>
      </c>
    </row>
    <row r="34" spans="1:36" ht="15.95" customHeight="1">
      <c r="A34" s="450">
        <v>140220018</v>
      </c>
      <c r="B34" s="450" t="s">
        <v>369</v>
      </c>
      <c r="C34" s="451" t="s">
        <v>376</v>
      </c>
      <c r="D34" s="451" t="s">
        <v>316</v>
      </c>
      <c r="E34" s="452">
        <v>170</v>
      </c>
      <c r="F34" s="452" t="s">
        <v>308</v>
      </c>
      <c r="G34" s="452" t="s">
        <v>308</v>
      </c>
      <c r="H34" s="452" t="s">
        <v>341</v>
      </c>
      <c r="I34" s="452" t="s">
        <v>305</v>
      </c>
      <c r="J34" s="452" t="s">
        <v>341</v>
      </c>
      <c r="K34" s="451" t="s">
        <v>27</v>
      </c>
      <c r="L34" s="452" t="s">
        <v>307</v>
      </c>
      <c r="M34" s="452" t="s">
        <v>307</v>
      </c>
      <c r="N34" s="452" t="s">
        <v>307</v>
      </c>
      <c r="O34" s="452" t="s">
        <v>308</v>
      </c>
      <c r="P34" s="450" t="s">
        <v>313</v>
      </c>
      <c r="Q34" s="452" t="s">
        <v>37</v>
      </c>
      <c r="R34" s="451" t="s">
        <v>108</v>
      </c>
      <c r="S34" s="451" t="s">
        <v>377</v>
      </c>
      <c r="T34" s="451" t="s">
        <v>377</v>
      </c>
      <c r="U34" s="451" t="s">
        <v>377</v>
      </c>
      <c r="V34" s="452" t="s">
        <v>105</v>
      </c>
      <c r="W34" s="452" t="s">
        <v>123</v>
      </c>
      <c r="X34" s="452">
        <v>0</v>
      </c>
      <c r="Y34" s="453">
        <v>1.4067644417838969</v>
      </c>
      <c r="Z34" s="452">
        <v>0</v>
      </c>
      <c r="AA34" s="452">
        <v>0</v>
      </c>
      <c r="AB34" s="452">
        <v>0</v>
      </c>
      <c r="AC34" s="452">
        <v>0</v>
      </c>
      <c r="AD34" s="452">
        <v>0</v>
      </c>
      <c r="AE34" s="452">
        <v>0</v>
      </c>
      <c r="AF34" s="452">
        <v>0</v>
      </c>
      <c r="AG34" s="452">
        <v>0</v>
      </c>
      <c r="AH34" s="452">
        <v>0</v>
      </c>
      <c r="AI34" s="452">
        <v>0</v>
      </c>
      <c r="AJ34" s="452">
        <v>0</v>
      </c>
    </row>
    <row r="35" spans="1:36" ht="15.95" customHeight="1">
      <c r="A35" s="450">
        <v>140230010</v>
      </c>
      <c r="B35" s="450" t="s">
        <v>378</v>
      </c>
      <c r="C35" s="451" t="s">
        <v>42</v>
      </c>
      <c r="D35" s="451" t="s">
        <v>379</v>
      </c>
      <c r="E35" s="452">
        <v>200</v>
      </c>
      <c r="F35" s="452" t="s">
        <v>222</v>
      </c>
      <c r="G35" s="452" t="s">
        <v>222</v>
      </c>
      <c r="H35" s="452" t="s">
        <v>222</v>
      </c>
      <c r="I35" s="452" t="s">
        <v>305</v>
      </c>
      <c r="J35" s="452" t="s">
        <v>380</v>
      </c>
      <c r="K35" s="451" t="s">
        <v>27</v>
      </c>
      <c r="L35" s="452" t="s">
        <v>337</v>
      </c>
      <c r="M35" s="452" t="s">
        <v>337</v>
      </c>
      <c r="N35" s="452" t="s">
        <v>337</v>
      </c>
      <c r="O35" s="452" t="s">
        <v>307</v>
      </c>
      <c r="P35" s="450" t="s">
        <v>381</v>
      </c>
      <c r="Q35" s="452" t="s">
        <v>382</v>
      </c>
      <c r="R35" s="451" t="s">
        <v>43</v>
      </c>
      <c r="S35" s="451" t="s">
        <v>383</v>
      </c>
      <c r="T35" s="451" t="s">
        <v>383</v>
      </c>
      <c r="U35" s="451" t="s">
        <v>383</v>
      </c>
      <c r="V35" s="452" t="s">
        <v>105</v>
      </c>
      <c r="W35" s="452" t="s">
        <v>123</v>
      </c>
      <c r="X35" s="452">
        <v>0</v>
      </c>
      <c r="Y35" s="453">
        <v>1.0615584156440188</v>
      </c>
      <c r="Z35" s="452">
        <v>0</v>
      </c>
      <c r="AA35" s="452">
        <v>0</v>
      </c>
      <c r="AB35" s="452">
        <v>0</v>
      </c>
      <c r="AC35" s="452">
        <v>0</v>
      </c>
      <c r="AD35" s="452">
        <v>0</v>
      </c>
      <c r="AE35" s="452">
        <v>0</v>
      </c>
      <c r="AF35" s="452">
        <v>0</v>
      </c>
      <c r="AG35" s="452">
        <v>0</v>
      </c>
      <c r="AH35" s="452">
        <v>0</v>
      </c>
      <c r="AI35" s="452">
        <v>0</v>
      </c>
      <c r="AJ35" s="452">
        <v>0</v>
      </c>
    </row>
    <row r="36" spans="1:36" ht="15.95" customHeight="1">
      <c r="A36" s="450">
        <v>140230023</v>
      </c>
      <c r="B36" s="450" t="s">
        <v>363</v>
      </c>
      <c r="C36" s="451" t="s">
        <v>44</v>
      </c>
      <c r="D36" s="451" t="s">
        <v>303</v>
      </c>
      <c r="E36" s="452">
        <v>145</v>
      </c>
      <c r="F36" s="452" t="s">
        <v>222</v>
      </c>
      <c r="G36" s="452" t="s">
        <v>222</v>
      </c>
      <c r="H36" s="452" t="s">
        <v>222</v>
      </c>
      <c r="I36" s="452" t="s">
        <v>305</v>
      </c>
      <c r="J36" s="452" t="s">
        <v>380</v>
      </c>
      <c r="K36" s="451" t="s">
        <v>27</v>
      </c>
      <c r="L36" s="452" t="s">
        <v>337</v>
      </c>
      <c r="M36" s="452" t="s">
        <v>337</v>
      </c>
      <c r="N36" s="452" t="s">
        <v>337</v>
      </c>
      <c r="O36" s="452" t="s">
        <v>308</v>
      </c>
      <c r="P36" s="450" t="s">
        <v>313</v>
      </c>
      <c r="Q36" s="452" t="s">
        <v>384</v>
      </c>
      <c r="R36" s="451" t="s">
        <v>43</v>
      </c>
      <c r="S36" s="451" t="s">
        <v>383</v>
      </c>
      <c r="T36" s="451" t="s">
        <v>383</v>
      </c>
      <c r="U36" s="451" t="s">
        <v>383</v>
      </c>
      <c r="V36" s="452" t="s">
        <v>105</v>
      </c>
      <c r="W36" s="452" t="s">
        <v>123</v>
      </c>
      <c r="X36" s="452">
        <v>0</v>
      </c>
      <c r="Y36" s="453">
        <v>1.0615584156440188</v>
      </c>
      <c r="Z36" s="452">
        <v>0</v>
      </c>
      <c r="AA36" s="452">
        <v>0</v>
      </c>
      <c r="AB36" s="452">
        <v>0</v>
      </c>
      <c r="AC36" s="452">
        <v>0</v>
      </c>
      <c r="AD36" s="452">
        <v>0</v>
      </c>
      <c r="AE36" s="452">
        <v>0</v>
      </c>
      <c r="AF36" s="452">
        <v>0</v>
      </c>
      <c r="AG36" s="452">
        <v>0</v>
      </c>
      <c r="AH36" s="452">
        <v>0</v>
      </c>
      <c r="AI36" s="452">
        <v>0</v>
      </c>
      <c r="AJ36" s="452">
        <v>0</v>
      </c>
    </row>
    <row r="37" spans="1:36" ht="15.95" customHeight="1">
      <c r="A37" s="450">
        <v>140230061</v>
      </c>
      <c r="B37" s="450" t="s">
        <v>385</v>
      </c>
      <c r="C37" s="451" t="s">
        <v>45</v>
      </c>
      <c r="D37" s="451" t="s">
        <v>386</v>
      </c>
      <c r="E37" s="452">
        <v>145</v>
      </c>
      <c r="F37" s="452" t="s">
        <v>222</v>
      </c>
      <c r="G37" s="452" t="s">
        <v>222</v>
      </c>
      <c r="H37" s="452" t="s">
        <v>222</v>
      </c>
      <c r="I37" s="452" t="s">
        <v>305</v>
      </c>
      <c r="J37" s="452" t="s">
        <v>380</v>
      </c>
      <c r="K37" s="451" t="s">
        <v>27</v>
      </c>
      <c r="L37" s="452" t="s">
        <v>337</v>
      </c>
      <c r="M37" s="452" t="s">
        <v>337</v>
      </c>
      <c r="N37" s="452" t="s">
        <v>337</v>
      </c>
      <c r="O37" s="452" t="s">
        <v>307</v>
      </c>
      <c r="P37" s="450" t="s">
        <v>313</v>
      </c>
      <c r="Q37" s="452" t="s">
        <v>387</v>
      </c>
      <c r="R37" s="451" t="s">
        <v>43</v>
      </c>
      <c r="S37" s="451" t="s">
        <v>383</v>
      </c>
      <c r="T37" s="451" t="s">
        <v>383</v>
      </c>
      <c r="U37" s="451" t="s">
        <v>383</v>
      </c>
      <c r="V37" s="452" t="s">
        <v>105</v>
      </c>
      <c r="W37" s="452" t="s">
        <v>123</v>
      </c>
      <c r="X37" s="452">
        <v>0</v>
      </c>
      <c r="Y37" s="453">
        <v>1.0615584156440188</v>
      </c>
      <c r="Z37" s="452">
        <v>0</v>
      </c>
      <c r="AA37" s="452">
        <v>0</v>
      </c>
      <c r="AB37" s="452">
        <v>0</v>
      </c>
      <c r="AC37" s="452">
        <v>0</v>
      </c>
      <c r="AD37" s="452">
        <v>0</v>
      </c>
      <c r="AE37" s="452">
        <v>0</v>
      </c>
      <c r="AF37" s="452">
        <v>0</v>
      </c>
      <c r="AG37" s="452">
        <v>0</v>
      </c>
      <c r="AH37" s="452">
        <v>0</v>
      </c>
      <c r="AI37" s="452">
        <v>0</v>
      </c>
      <c r="AJ37" s="452">
        <v>0</v>
      </c>
    </row>
    <row r="38" spans="1:36" ht="15.95" customHeight="1">
      <c r="A38" s="450">
        <v>140230078</v>
      </c>
      <c r="B38" s="450" t="s">
        <v>388</v>
      </c>
      <c r="C38" s="451" t="s">
        <v>46</v>
      </c>
      <c r="D38" s="451" t="s">
        <v>389</v>
      </c>
      <c r="E38" s="452">
        <v>134</v>
      </c>
      <c r="F38" s="452" t="s">
        <v>222</v>
      </c>
      <c r="G38" s="452" t="s">
        <v>222</v>
      </c>
      <c r="H38" s="452" t="s">
        <v>222</v>
      </c>
      <c r="I38" s="452" t="s">
        <v>305</v>
      </c>
      <c r="J38" s="452" t="s">
        <v>380</v>
      </c>
      <c r="K38" s="451" t="s">
        <v>27</v>
      </c>
      <c r="L38" s="452" t="s">
        <v>337</v>
      </c>
      <c r="M38" s="452" t="s">
        <v>337</v>
      </c>
      <c r="N38" s="452" t="s">
        <v>337</v>
      </c>
      <c r="O38" s="452" t="s">
        <v>307</v>
      </c>
      <c r="P38" s="450" t="s">
        <v>309</v>
      </c>
      <c r="Q38" s="452" t="s">
        <v>390</v>
      </c>
      <c r="R38" s="451" t="s">
        <v>18</v>
      </c>
      <c r="S38" s="451" t="s">
        <v>323</v>
      </c>
      <c r="T38" s="451" t="s">
        <v>323</v>
      </c>
      <c r="U38" s="451" t="s">
        <v>323</v>
      </c>
      <c r="V38" s="452" t="s">
        <v>105</v>
      </c>
      <c r="W38" s="452" t="s">
        <v>123</v>
      </c>
      <c r="X38" s="452">
        <v>0</v>
      </c>
      <c r="Y38" s="453">
        <v>1.0276364361967474</v>
      </c>
      <c r="Z38" s="452">
        <v>0</v>
      </c>
      <c r="AA38" s="452">
        <v>0</v>
      </c>
      <c r="AB38" s="452">
        <v>0</v>
      </c>
      <c r="AC38" s="452">
        <v>0</v>
      </c>
      <c r="AD38" s="452">
        <v>0</v>
      </c>
      <c r="AE38" s="452">
        <v>0</v>
      </c>
      <c r="AF38" s="452">
        <v>0</v>
      </c>
      <c r="AG38" s="452">
        <v>0</v>
      </c>
      <c r="AH38" s="452">
        <v>0</v>
      </c>
      <c r="AI38" s="452">
        <v>0</v>
      </c>
      <c r="AJ38" s="452">
        <v>0</v>
      </c>
    </row>
    <row r="39" spans="1:36" ht="15.95" customHeight="1">
      <c r="A39" s="450">
        <v>140230080</v>
      </c>
      <c r="B39" s="450" t="s">
        <v>391</v>
      </c>
      <c r="C39" s="451" t="s">
        <v>47</v>
      </c>
      <c r="D39" s="451" t="s">
        <v>392</v>
      </c>
      <c r="E39" s="452">
        <v>110</v>
      </c>
      <c r="F39" s="452" t="s">
        <v>222</v>
      </c>
      <c r="G39" s="452" t="s">
        <v>222</v>
      </c>
      <c r="H39" s="452" t="s">
        <v>222</v>
      </c>
      <c r="I39" s="452" t="s">
        <v>305</v>
      </c>
      <c r="J39" s="452" t="s">
        <v>370</v>
      </c>
      <c r="K39" s="451" t="s">
        <v>27</v>
      </c>
      <c r="L39" s="452" t="s">
        <v>307</v>
      </c>
      <c r="M39" s="452" t="s">
        <v>307</v>
      </c>
      <c r="N39" s="452" t="s">
        <v>307</v>
      </c>
      <c r="O39" s="452" t="s">
        <v>307</v>
      </c>
      <c r="P39" s="450" t="s">
        <v>309</v>
      </c>
      <c r="Q39" s="452" t="s">
        <v>393</v>
      </c>
      <c r="R39" s="451" t="s">
        <v>18</v>
      </c>
      <c r="S39" s="451" t="s">
        <v>349</v>
      </c>
      <c r="T39" s="451" t="s">
        <v>349</v>
      </c>
      <c r="U39" s="451" t="s">
        <v>349</v>
      </c>
      <c r="V39" s="452" t="s">
        <v>105</v>
      </c>
      <c r="W39" s="452" t="s">
        <v>123</v>
      </c>
      <c r="X39" s="452">
        <v>0</v>
      </c>
      <c r="Y39" s="453">
        <v>1.0316272573081913</v>
      </c>
      <c r="Z39" s="452">
        <v>0</v>
      </c>
      <c r="AA39" s="452">
        <v>0</v>
      </c>
      <c r="AB39" s="452">
        <v>0</v>
      </c>
      <c r="AC39" s="452">
        <v>0</v>
      </c>
      <c r="AD39" s="452">
        <v>0</v>
      </c>
      <c r="AE39" s="452">
        <v>0</v>
      </c>
      <c r="AF39" s="452">
        <v>0</v>
      </c>
      <c r="AG39" s="452">
        <v>0</v>
      </c>
      <c r="AH39" s="452">
        <v>0</v>
      </c>
      <c r="AI39" s="452">
        <v>0</v>
      </c>
      <c r="AJ39" s="452">
        <v>0</v>
      </c>
    </row>
    <row r="40" spans="1:36" ht="15.95" customHeight="1">
      <c r="A40" s="450">
        <v>140230082</v>
      </c>
      <c r="B40" s="450" t="s">
        <v>394</v>
      </c>
      <c r="C40" s="451" t="s">
        <v>48</v>
      </c>
      <c r="D40" s="451" t="s">
        <v>358</v>
      </c>
      <c r="E40" s="452">
        <v>203</v>
      </c>
      <c r="F40" s="452" t="s">
        <v>395</v>
      </c>
      <c r="G40" s="452" t="s">
        <v>396</v>
      </c>
      <c r="H40" s="452" t="s">
        <v>397</v>
      </c>
      <c r="I40" s="452" t="s">
        <v>395</v>
      </c>
      <c r="J40" s="452" t="s">
        <v>308</v>
      </c>
      <c r="K40" s="451" t="s">
        <v>18</v>
      </c>
      <c r="L40" s="452" t="s">
        <v>337</v>
      </c>
      <c r="M40" s="452" t="s">
        <v>337</v>
      </c>
      <c r="N40" s="452" t="s">
        <v>337</v>
      </c>
      <c r="O40" s="452" t="s">
        <v>308</v>
      </c>
      <c r="P40" s="450" t="s">
        <v>313</v>
      </c>
      <c r="Q40" s="452" t="s">
        <v>41</v>
      </c>
      <c r="R40" s="451" t="s">
        <v>49</v>
      </c>
      <c r="S40" s="451" t="s">
        <v>398</v>
      </c>
      <c r="T40" s="451" t="s">
        <v>398</v>
      </c>
      <c r="U40" s="451" t="s">
        <v>398</v>
      </c>
      <c r="V40" s="452" t="s">
        <v>105</v>
      </c>
      <c r="W40" s="452" t="s">
        <v>123</v>
      </c>
      <c r="X40" s="452">
        <v>0</v>
      </c>
      <c r="Y40" s="453">
        <v>0.73251521500548733</v>
      </c>
      <c r="Z40" s="452">
        <v>0</v>
      </c>
      <c r="AA40" s="452">
        <v>0</v>
      </c>
      <c r="AB40" s="452">
        <v>0</v>
      </c>
      <c r="AC40" s="452">
        <v>0</v>
      </c>
      <c r="AD40" s="452">
        <v>0</v>
      </c>
      <c r="AE40" s="452">
        <v>0</v>
      </c>
      <c r="AF40" s="452">
        <v>0</v>
      </c>
      <c r="AG40" s="452">
        <v>0</v>
      </c>
      <c r="AH40" s="452">
        <v>0</v>
      </c>
      <c r="AI40" s="452">
        <v>0</v>
      </c>
      <c r="AJ40" s="452">
        <v>0</v>
      </c>
    </row>
    <row r="41" spans="1:36" ht="15.95" customHeight="1">
      <c r="A41" s="450">
        <v>140230089</v>
      </c>
      <c r="B41" s="450" t="s">
        <v>399</v>
      </c>
      <c r="C41" s="451" t="s">
        <v>50</v>
      </c>
      <c r="D41" s="451" t="s">
        <v>303</v>
      </c>
      <c r="E41" s="452">
        <v>200</v>
      </c>
      <c r="F41" s="452" t="s">
        <v>222</v>
      </c>
      <c r="G41" s="452" t="s">
        <v>222</v>
      </c>
      <c r="H41" s="452" t="s">
        <v>222</v>
      </c>
      <c r="I41" s="452" t="s">
        <v>305</v>
      </c>
      <c r="J41" s="452" t="s">
        <v>380</v>
      </c>
      <c r="K41" s="451" t="s">
        <v>27</v>
      </c>
      <c r="L41" s="452" t="s">
        <v>337</v>
      </c>
      <c r="M41" s="452" t="s">
        <v>337</v>
      </c>
      <c r="N41" s="452" t="s">
        <v>337</v>
      </c>
      <c r="O41" s="452" t="s">
        <v>308</v>
      </c>
      <c r="P41" s="450" t="s">
        <v>381</v>
      </c>
      <c r="Q41" s="452" t="s">
        <v>400</v>
      </c>
      <c r="R41" s="451" t="s">
        <v>43</v>
      </c>
      <c r="S41" s="451" t="s">
        <v>401</v>
      </c>
      <c r="T41" s="451" t="s">
        <v>401</v>
      </c>
      <c r="U41" s="451" t="s">
        <v>401</v>
      </c>
      <c r="V41" s="452" t="s">
        <v>105</v>
      </c>
      <c r="W41" s="452" t="s">
        <v>123</v>
      </c>
      <c r="X41" s="452">
        <v>0</v>
      </c>
      <c r="Y41" s="453">
        <v>1.0316272573081913</v>
      </c>
      <c r="Z41" s="452">
        <v>0</v>
      </c>
      <c r="AA41" s="452">
        <v>0</v>
      </c>
      <c r="AB41" s="452">
        <v>0</v>
      </c>
      <c r="AC41" s="452">
        <v>0</v>
      </c>
      <c r="AD41" s="452">
        <v>0</v>
      </c>
      <c r="AE41" s="452">
        <v>0</v>
      </c>
      <c r="AF41" s="452">
        <v>0</v>
      </c>
      <c r="AG41" s="452">
        <v>0</v>
      </c>
      <c r="AH41" s="452">
        <v>0</v>
      </c>
      <c r="AI41" s="452">
        <v>0</v>
      </c>
      <c r="AJ41" s="452">
        <v>0</v>
      </c>
    </row>
    <row r="42" spans="1:36" ht="15.95" customHeight="1">
      <c r="A42" s="450">
        <v>140240004</v>
      </c>
      <c r="B42" s="450" t="s">
        <v>301</v>
      </c>
      <c r="C42" s="451" t="s">
        <v>402</v>
      </c>
      <c r="D42" s="451" t="s">
        <v>303</v>
      </c>
      <c r="E42" s="452">
        <v>200</v>
      </c>
      <c r="F42" s="452" t="s">
        <v>328</v>
      </c>
      <c r="G42" s="452" t="s">
        <v>328</v>
      </c>
      <c r="H42" s="452" t="s">
        <v>328</v>
      </c>
      <c r="I42" s="452" t="s">
        <v>305</v>
      </c>
      <c r="J42" s="452" t="s">
        <v>328</v>
      </c>
      <c r="K42" s="451" t="s">
        <v>3</v>
      </c>
      <c r="L42" s="452" t="s">
        <v>306</v>
      </c>
      <c r="M42" s="452" t="s">
        <v>403</v>
      </c>
      <c r="N42" s="452" t="s">
        <v>307</v>
      </c>
      <c r="O42" s="452" t="s">
        <v>308</v>
      </c>
      <c r="P42" s="450" t="s">
        <v>309</v>
      </c>
      <c r="Q42" s="452" t="s">
        <v>51</v>
      </c>
      <c r="R42" s="451" t="s">
        <v>18</v>
      </c>
      <c r="S42" s="451" t="s">
        <v>404</v>
      </c>
      <c r="T42" s="451" t="s">
        <v>18</v>
      </c>
      <c r="U42" s="451" t="s">
        <v>310</v>
      </c>
      <c r="V42" s="452" t="s">
        <v>105</v>
      </c>
      <c r="W42" s="452" t="s">
        <v>123</v>
      </c>
      <c r="X42" s="452">
        <v>0</v>
      </c>
      <c r="Y42" s="453">
        <v>1.1413748378728923</v>
      </c>
      <c r="Z42" s="452" t="s">
        <v>113</v>
      </c>
      <c r="AA42" s="452" t="s">
        <v>163</v>
      </c>
      <c r="AB42" s="452" t="s">
        <v>122</v>
      </c>
      <c r="AC42" s="452">
        <v>0</v>
      </c>
      <c r="AD42" s="452" t="s">
        <v>125</v>
      </c>
      <c r="AE42" s="452" t="s">
        <v>126</v>
      </c>
      <c r="AF42" s="452">
        <v>0</v>
      </c>
      <c r="AG42" s="452" t="s">
        <v>134</v>
      </c>
      <c r="AH42" s="452" t="s">
        <v>134</v>
      </c>
      <c r="AI42" s="452">
        <v>0</v>
      </c>
      <c r="AJ42" s="452">
        <v>0</v>
      </c>
    </row>
    <row r="43" spans="1:36" ht="15.95" customHeight="1">
      <c r="A43" s="450">
        <v>140280032</v>
      </c>
      <c r="B43" s="450" t="s">
        <v>301</v>
      </c>
      <c r="C43" s="451" t="s">
        <v>53</v>
      </c>
      <c r="D43" s="451" t="s">
        <v>303</v>
      </c>
      <c r="E43" s="452">
        <v>237</v>
      </c>
      <c r="F43" s="452" t="s">
        <v>348</v>
      </c>
      <c r="G43" s="452" t="s">
        <v>348</v>
      </c>
      <c r="H43" s="452" t="s">
        <v>405</v>
      </c>
      <c r="I43" s="452" t="s">
        <v>305</v>
      </c>
      <c r="J43" s="452" t="s">
        <v>405</v>
      </c>
      <c r="K43" s="451" t="s">
        <v>54</v>
      </c>
      <c r="L43" s="452" t="s">
        <v>337</v>
      </c>
      <c r="M43" s="452" t="s">
        <v>337</v>
      </c>
      <c r="N43" s="452" t="s">
        <v>307</v>
      </c>
      <c r="O43" s="452" t="s">
        <v>307</v>
      </c>
      <c r="P43" s="450" t="s">
        <v>309</v>
      </c>
      <c r="Q43" s="452" t="s">
        <v>52</v>
      </c>
      <c r="R43" s="451" t="s">
        <v>26</v>
      </c>
      <c r="S43" s="451" t="s">
        <v>337</v>
      </c>
      <c r="T43" s="451" t="s">
        <v>337</v>
      </c>
      <c r="U43" s="451" t="s">
        <v>310</v>
      </c>
      <c r="V43" s="452" t="s">
        <v>105</v>
      </c>
      <c r="W43" s="452" t="s">
        <v>123</v>
      </c>
      <c r="X43" s="452">
        <v>0</v>
      </c>
      <c r="Y43" s="453">
        <v>1.1812830489873292</v>
      </c>
      <c r="Z43" s="452">
        <v>0</v>
      </c>
      <c r="AA43" s="452">
        <v>0</v>
      </c>
      <c r="AB43" s="452">
        <v>0</v>
      </c>
      <c r="AC43" s="452">
        <v>0</v>
      </c>
      <c r="AD43" s="452">
        <v>0</v>
      </c>
      <c r="AE43" s="452">
        <v>0</v>
      </c>
      <c r="AF43" s="452">
        <v>0</v>
      </c>
      <c r="AG43" s="452">
        <v>0</v>
      </c>
      <c r="AH43" s="452">
        <v>0</v>
      </c>
      <c r="AI43" s="452">
        <v>0</v>
      </c>
      <c r="AJ43" s="452">
        <v>0</v>
      </c>
    </row>
    <row r="44" spans="1:36" ht="15.95" customHeight="1">
      <c r="A44" s="450">
        <v>140310007</v>
      </c>
      <c r="B44" s="450" t="s">
        <v>315</v>
      </c>
      <c r="C44" s="451" t="s">
        <v>56</v>
      </c>
      <c r="D44" s="451" t="s">
        <v>406</v>
      </c>
      <c r="E44" s="452">
        <v>215</v>
      </c>
      <c r="F44" s="452" t="s">
        <v>405</v>
      </c>
      <c r="G44" s="452" t="s">
        <v>405</v>
      </c>
      <c r="H44" s="452" t="s">
        <v>407</v>
      </c>
      <c r="I44" s="452" t="s">
        <v>305</v>
      </c>
      <c r="J44" s="452" t="s">
        <v>407</v>
      </c>
      <c r="K44" s="451" t="s">
        <v>57</v>
      </c>
      <c r="L44" s="452" t="s">
        <v>335</v>
      </c>
      <c r="M44" s="452" t="s">
        <v>335</v>
      </c>
      <c r="N44" s="452" t="s">
        <v>307</v>
      </c>
      <c r="O44" s="452" t="s">
        <v>307</v>
      </c>
      <c r="P44" s="450" t="s">
        <v>309</v>
      </c>
      <c r="Q44" s="452" t="s">
        <v>55</v>
      </c>
      <c r="R44" s="451" t="s">
        <v>408</v>
      </c>
      <c r="S44" s="451" t="s">
        <v>323</v>
      </c>
      <c r="T44" s="451" t="s">
        <v>323</v>
      </c>
      <c r="U44" s="451" t="s">
        <v>310</v>
      </c>
      <c r="V44" s="452" t="s">
        <v>105</v>
      </c>
      <c r="W44" s="452" t="s">
        <v>171</v>
      </c>
      <c r="X44" s="452">
        <v>0</v>
      </c>
      <c r="Y44" s="453">
        <v>1.1413748378728923</v>
      </c>
      <c r="Z44" s="452" t="s">
        <v>122</v>
      </c>
      <c r="AA44" s="452" t="s">
        <v>163</v>
      </c>
      <c r="AB44" s="452" t="s">
        <v>122</v>
      </c>
      <c r="AC44" s="452">
        <v>6.9</v>
      </c>
      <c r="AD44" s="452" t="s">
        <v>125</v>
      </c>
      <c r="AE44" s="452" t="s">
        <v>126</v>
      </c>
      <c r="AF44" s="452">
        <v>0</v>
      </c>
      <c r="AG44" s="452">
        <v>14</v>
      </c>
      <c r="AH44" s="452" t="s">
        <v>135</v>
      </c>
      <c r="AI44" s="452" t="s">
        <v>136</v>
      </c>
      <c r="AJ44" s="452">
        <v>0</v>
      </c>
    </row>
    <row r="45" spans="1:36" ht="15.95" customHeight="1">
      <c r="A45" s="450">
        <v>140310009</v>
      </c>
      <c r="B45" s="450" t="s">
        <v>369</v>
      </c>
      <c r="C45" s="451" t="s">
        <v>409</v>
      </c>
      <c r="D45" s="451" t="s">
        <v>406</v>
      </c>
      <c r="E45" s="452">
        <v>191</v>
      </c>
      <c r="F45" s="452" t="s">
        <v>410</v>
      </c>
      <c r="G45" s="452" t="s">
        <v>410</v>
      </c>
      <c r="H45" s="452" t="s">
        <v>411</v>
      </c>
      <c r="I45" s="452" t="s">
        <v>305</v>
      </c>
      <c r="J45" s="452" t="s">
        <v>411</v>
      </c>
      <c r="K45" s="451" t="s">
        <v>27</v>
      </c>
      <c r="L45" s="452" t="s">
        <v>307</v>
      </c>
      <c r="M45" s="452" t="s">
        <v>307</v>
      </c>
      <c r="N45" s="452" t="s">
        <v>307</v>
      </c>
      <c r="O45" s="452" t="s">
        <v>307</v>
      </c>
      <c r="P45" s="450" t="s">
        <v>313</v>
      </c>
      <c r="Q45" s="452" t="s">
        <v>55</v>
      </c>
      <c r="R45" s="451" t="s">
        <v>412</v>
      </c>
      <c r="S45" s="451" t="s">
        <v>413</v>
      </c>
      <c r="T45" s="451" t="s">
        <v>413</v>
      </c>
      <c r="U45" s="451" t="s">
        <v>414</v>
      </c>
      <c r="V45" s="452" t="s">
        <v>105</v>
      </c>
      <c r="W45" s="452" t="s">
        <v>123</v>
      </c>
      <c r="X45" s="452">
        <v>0</v>
      </c>
      <c r="Y45" s="453" t="s">
        <v>180</v>
      </c>
      <c r="Z45" s="452">
        <v>0</v>
      </c>
      <c r="AA45" s="452">
        <v>0</v>
      </c>
      <c r="AB45" s="452">
        <v>0</v>
      </c>
      <c r="AC45" s="452">
        <v>0</v>
      </c>
      <c r="AD45" s="452">
        <v>0</v>
      </c>
      <c r="AE45" s="452">
        <v>0</v>
      </c>
      <c r="AF45" s="452">
        <v>0</v>
      </c>
      <c r="AG45" s="452">
        <v>0</v>
      </c>
      <c r="AH45" s="452">
        <v>0</v>
      </c>
      <c r="AI45" s="452">
        <v>0</v>
      </c>
      <c r="AJ45" s="452">
        <v>0</v>
      </c>
    </row>
    <row r="46" spans="1:36" ht="15.95" customHeight="1">
      <c r="A46" s="450">
        <v>140310012</v>
      </c>
      <c r="B46" s="450" t="s">
        <v>415</v>
      </c>
      <c r="C46" s="451" t="s">
        <v>416</v>
      </c>
      <c r="D46" s="451" t="s">
        <v>417</v>
      </c>
      <c r="E46" s="452">
        <v>900</v>
      </c>
      <c r="F46" s="452" t="s">
        <v>370</v>
      </c>
      <c r="G46" s="452" t="s">
        <v>370</v>
      </c>
      <c r="H46" s="452" t="s">
        <v>323</v>
      </c>
      <c r="I46" s="452" t="s">
        <v>321</v>
      </c>
      <c r="J46" s="452" t="s">
        <v>370</v>
      </c>
      <c r="K46" s="451" t="s">
        <v>418</v>
      </c>
      <c r="L46" s="452" t="s">
        <v>370</v>
      </c>
      <c r="M46" s="452" t="s">
        <v>370</v>
      </c>
      <c r="N46" s="452" t="s">
        <v>323</v>
      </c>
      <c r="O46" s="452" t="s">
        <v>307</v>
      </c>
      <c r="P46" s="450" t="s">
        <v>419</v>
      </c>
      <c r="Q46" s="452" t="s">
        <v>55</v>
      </c>
      <c r="R46" s="451" t="s">
        <v>323</v>
      </c>
      <c r="S46" s="451" t="s">
        <v>420</v>
      </c>
      <c r="T46" s="451" t="s">
        <v>420</v>
      </c>
      <c r="U46" s="451" t="s">
        <v>323</v>
      </c>
      <c r="V46" s="452" t="s">
        <v>106</v>
      </c>
      <c r="W46" s="452" t="s">
        <v>172</v>
      </c>
      <c r="X46" s="452">
        <v>0</v>
      </c>
      <c r="Y46" s="453">
        <v>1.4007782101167314</v>
      </c>
      <c r="Z46" s="452" t="s">
        <v>161</v>
      </c>
      <c r="AA46" s="452" t="s">
        <v>122</v>
      </c>
      <c r="AB46" s="452" t="s">
        <v>122</v>
      </c>
      <c r="AC46" s="452">
        <v>0</v>
      </c>
      <c r="AD46" s="452" t="s">
        <v>145</v>
      </c>
      <c r="AE46" s="452">
        <v>0</v>
      </c>
      <c r="AF46" s="452">
        <v>0</v>
      </c>
      <c r="AG46" s="452">
        <v>0</v>
      </c>
      <c r="AH46" s="452">
        <v>0</v>
      </c>
      <c r="AI46" s="452">
        <v>0</v>
      </c>
      <c r="AJ46" s="452">
        <v>0</v>
      </c>
    </row>
    <row r="47" spans="1:36" ht="15.95" customHeight="1">
      <c r="A47" s="450">
        <v>140310028</v>
      </c>
      <c r="B47" s="450" t="s">
        <v>369</v>
      </c>
      <c r="C47" s="451" t="s">
        <v>58</v>
      </c>
      <c r="D47" s="451" t="s">
        <v>316</v>
      </c>
      <c r="E47" s="452">
        <v>178</v>
      </c>
      <c r="F47" s="452" t="s">
        <v>308</v>
      </c>
      <c r="G47" s="452" t="s">
        <v>308</v>
      </c>
      <c r="H47" s="452" t="s">
        <v>421</v>
      </c>
      <c r="I47" s="452" t="s">
        <v>305</v>
      </c>
      <c r="J47" s="452" t="s">
        <v>421</v>
      </c>
      <c r="K47" s="451" t="s">
        <v>27</v>
      </c>
      <c r="L47" s="452" t="s">
        <v>335</v>
      </c>
      <c r="M47" s="452" t="s">
        <v>335</v>
      </c>
      <c r="N47" s="452" t="s">
        <v>335</v>
      </c>
      <c r="O47" s="452" t="s">
        <v>307</v>
      </c>
      <c r="P47" s="450" t="s">
        <v>313</v>
      </c>
      <c r="Q47" s="452" t="s">
        <v>55</v>
      </c>
      <c r="R47" s="451" t="s">
        <v>18</v>
      </c>
      <c r="S47" s="451" t="s">
        <v>323</v>
      </c>
      <c r="T47" s="451" t="s">
        <v>323</v>
      </c>
      <c r="U47" s="451" t="s">
        <v>323</v>
      </c>
      <c r="V47" s="452" t="s">
        <v>105</v>
      </c>
      <c r="W47" s="452" t="s">
        <v>123</v>
      </c>
      <c r="X47" s="452">
        <v>0</v>
      </c>
      <c r="Y47" s="453">
        <v>0.95041404769031235</v>
      </c>
      <c r="Z47" s="452">
        <v>0</v>
      </c>
      <c r="AA47" s="452">
        <v>0</v>
      </c>
      <c r="AB47" s="452">
        <v>0</v>
      </c>
      <c r="AC47" s="452">
        <v>0</v>
      </c>
      <c r="AD47" s="452">
        <v>0</v>
      </c>
      <c r="AE47" s="452">
        <v>0</v>
      </c>
      <c r="AF47" s="452">
        <v>0</v>
      </c>
      <c r="AG47" s="452">
        <v>0</v>
      </c>
      <c r="AH47" s="452">
        <v>0</v>
      </c>
      <c r="AI47" s="452">
        <v>0</v>
      </c>
      <c r="AJ47" s="452">
        <v>0</v>
      </c>
    </row>
    <row r="48" spans="1:36" ht="15.95" customHeight="1">
      <c r="A48" s="450">
        <v>140310058</v>
      </c>
      <c r="B48" s="450" t="s">
        <v>311</v>
      </c>
      <c r="C48" s="451" t="s">
        <v>422</v>
      </c>
      <c r="D48" s="451" t="s">
        <v>312</v>
      </c>
      <c r="E48" s="452">
        <v>215</v>
      </c>
      <c r="F48" s="452" t="s">
        <v>317</v>
      </c>
      <c r="G48" s="452" t="s">
        <v>317</v>
      </c>
      <c r="H48" s="452" t="s">
        <v>318</v>
      </c>
      <c r="I48" s="452" t="s">
        <v>305</v>
      </c>
      <c r="J48" s="452" t="s">
        <v>317</v>
      </c>
      <c r="K48" s="451" t="s">
        <v>3</v>
      </c>
      <c r="L48" s="452" t="s">
        <v>307</v>
      </c>
      <c r="M48" s="452" t="s">
        <v>307</v>
      </c>
      <c r="N48" s="452" t="s">
        <v>307</v>
      </c>
      <c r="O48" s="452" t="s">
        <v>305</v>
      </c>
      <c r="P48" s="450" t="s">
        <v>309</v>
      </c>
      <c r="Q48" s="452" t="s">
        <v>55</v>
      </c>
      <c r="R48" s="451" t="s">
        <v>5</v>
      </c>
      <c r="S48" s="451" t="s">
        <v>314</v>
      </c>
      <c r="T48" s="451" t="s">
        <v>314</v>
      </c>
      <c r="U48" s="451" t="s">
        <v>423</v>
      </c>
      <c r="V48" s="452" t="s">
        <v>105</v>
      </c>
      <c r="W48" s="452" t="s">
        <v>172</v>
      </c>
      <c r="X48" s="452">
        <v>0</v>
      </c>
      <c r="Y48" s="453">
        <v>1.3469021251122417</v>
      </c>
      <c r="Z48" s="452" t="s">
        <v>164</v>
      </c>
      <c r="AA48" s="452" t="s">
        <v>164</v>
      </c>
      <c r="AB48" s="452" t="s">
        <v>164</v>
      </c>
      <c r="AC48" s="452">
        <v>6.9</v>
      </c>
      <c r="AD48" s="452" t="s">
        <v>124</v>
      </c>
      <c r="AE48" s="452" t="s">
        <v>125</v>
      </c>
      <c r="AF48" s="452" t="s">
        <v>126</v>
      </c>
      <c r="AG48" s="452">
        <v>12.96</v>
      </c>
      <c r="AH48" s="452" t="s">
        <v>127</v>
      </c>
      <c r="AI48" s="452" t="s">
        <v>129</v>
      </c>
      <c r="AJ48" s="452">
        <v>0</v>
      </c>
    </row>
    <row r="49" spans="1:36" ht="15.95" customHeight="1">
      <c r="A49" s="450">
        <v>140310071</v>
      </c>
      <c r="B49" s="450" t="s">
        <v>369</v>
      </c>
      <c r="C49" s="451" t="s">
        <v>424</v>
      </c>
      <c r="D49" s="451" t="s">
        <v>316</v>
      </c>
      <c r="E49" s="452">
        <v>183</v>
      </c>
      <c r="F49" s="452" t="s">
        <v>425</v>
      </c>
      <c r="G49" s="452" t="s">
        <v>425</v>
      </c>
      <c r="H49" s="452" t="s">
        <v>405</v>
      </c>
      <c r="I49" s="452" t="s">
        <v>305</v>
      </c>
      <c r="J49" s="452" t="s">
        <v>405</v>
      </c>
      <c r="K49" s="451" t="s">
        <v>27</v>
      </c>
      <c r="L49" s="452" t="s">
        <v>307</v>
      </c>
      <c r="M49" s="452" t="s">
        <v>307</v>
      </c>
      <c r="N49" s="452" t="s">
        <v>307</v>
      </c>
      <c r="O49" s="452" t="s">
        <v>308</v>
      </c>
      <c r="P49" s="450" t="s">
        <v>313</v>
      </c>
      <c r="Q49" s="452" t="s">
        <v>55</v>
      </c>
      <c r="R49" s="451" t="s">
        <v>426</v>
      </c>
      <c r="S49" s="451" t="s">
        <v>427</v>
      </c>
      <c r="T49" s="451" t="s">
        <v>427</v>
      </c>
      <c r="U49" s="451" t="s">
        <v>428</v>
      </c>
      <c r="V49" s="452" t="s">
        <v>105</v>
      </c>
      <c r="W49" s="452" t="s">
        <v>172</v>
      </c>
      <c r="X49" s="452">
        <v>0</v>
      </c>
      <c r="Y49" s="454">
        <v>1.3</v>
      </c>
      <c r="Z49" s="452" t="s">
        <v>160</v>
      </c>
      <c r="AA49" s="452" t="s">
        <v>165</v>
      </c>
      <c r="AB49" s="452" t="s">
        <v>122</v>
      </c>
      <c r="AC49" s="452">
        <v>6.9</v>
      </c>
      <c r="AD49" s="452" t="s">
        <v>124</v>
      </c>
      <c r="AE49" s="452" t="s">
        <v>125</v>
      </c>
      <c r="AF49" s="452" t="s">
        <v>126</v>
      </c>
      <c r="AG49" s="452">
        <v>12.78</v>
      </c>
      <c r="AH49" s="452" t="s">
        <v>144</v>
      </c>
      <c r="AI49" s="452">
        <v>0</v>
      </c>
      <c r="AJ49" s="452">
        <v>0</v>
      </c>
    </row>
    <row r="50" spans="1:36" ht="15.95" customHeight="1">
      <c r="A50" s="450">
        <v>140310083</v>
      </c>
      <c r="B50" s="450" t="s">
        <v>369</v>
      </c>
      <c r="C50" s="451" t="s">
        <v>429</v>
      </c>
      <c r="D50" s="451" t="s">
        <v>316</v>
      </c>
      <c r="E50" s="452">
        <v>185</v>
      </c>
      <c r="F50" s="452" t="s">
        <v>308</v>
      </c>
      <c r="G50" s="452" t="s">
        <v>308</v>
      </c>
      <c r="H50" s="452" t="s">
        <v>430</v>
      </c>
      <c r="I50" s="452" t="s">
        <v>305</v>
      </c>
      <c r="J50" s="452" t="s">
        <v>430</v>
      </c>
      <c r="K50" s="451" t="s">
        <v>27</v>
      </c>
      <c r="L50" s="452" t="s">
        <v>307</v>
      </c>
      <c r="M50" s="452" t="s">
        <v>307</v>
      </c>
      <c r="N50" s="452" t="s">
        <v>307</v>
      </c>
      <c r="O50" s="452" t="s">
        <v>308</v>
      </c>
      <c r="P50" s="450" t="s">
        <v>313</v>
      </c>
      <c r="Q50" s="452" t="s">
        <v>55</v>
      </c>
      <c r="R50" s="451" t="s">
        <v>323</v>
      </c>
      <c r="S50" s="451" t="s">
        <v>431</v>
      </c>
      <c r="T50" s="451" t="s">
        <v>431</v>
      </c>
      <c r="U50" s="451" t="s">
        <v>431</v>
      </c>
      <c r="V50" s="452" t="s">
        <v>105</v>
      </c>
      <c r="W50" s="452" t="s">
        <v>172</v>
      </c>
      <c r="X50" s="452">
        <v>0</v>
      </c>
      <c r="Y50" s="453">
        <v>1.3369250723336326</v>
      </c>
      <c r="Z50" s="452" t="s">
        <v>162</v>
      </c>
      <c r="AA50" s="452" t="s">
        <v>162</v>
      </c>
      <c r="AB50" s="452" t="s">
        <v>122</v>
      </c>
      <c r="AC50" s="452">
        <v>0</v>
      </c>
      <c r="AD50" s="452" t="s">
        <v>140</v>
      </c>
      <c r="AE50" s="452" t="s">
        <v>139</v>
      </c>
      <c r="AF50" s="452">
        <v>0</v>
      </c>
      <c r="AG50" s="452">
        <v>0</v>
      </c>
      <c r="AH50" s="452" t="s">
        <v>134</v>
      </c>
      <c r="AI50" s="452">
        <v>0</v>
      </c>
      <c r="AJ50" s="452">
        <v>0</v>
      </c>
    </row>
    <row r="51" spans="1:36" ht="15.95" customHeight="1">
      <c r="A51" s="450">
        <v>140350045</v>
      </c>
      <c r="B51" s="450" t="s">
        <v>301</v>
      </c>
      <c r="C51" s="451" t="s">
        <v>60</v>
      </c>
      <c r="D51" s="451" t="s">
        <v>303</v>
      </c>
      <c r="E51" s="452">
        <v>224</v>
      </c>
      <c r="F51" s="452" t="s">
        <v>334</v>
      </c>
      <c r="G51" s="452" t="s">
        <v>334</v>
      </c>
      <c r="H51" s="452" t="s">
        <v>334</v>
      </c>
      <c r="I51" s="452" t="s">
        <v>305</v>
      </c>
      <c r="J51" s="452" t="s">
        <v>334</v>
      </c>
      <c r="K51" s="451" t="s">
        <v>27</v>
      </c>
      <c r="L51" s="452" t="s">
        <v>335</v>
      </c>
      <c r="M51" s="452" t="s">
        <v>307</v>
      </c>
      <c r="N51" s="452" t="s">
        <v>432</v>
      </c>
      <c r="O51" s="452" t="s">
        <v>324</v>
      </c>
      <c r="P51" s="450" t="s">
        <v>309</v>
      </c>
      <c r="Q51" s="452" t="s">
        <v>59</v>
      </c>
      <c r="R51" s="451" t="s">
        <v>18</v>
      </c>
      <c r="S51" s="451" t="s">
        <v>323</v>
      </c>
      <c r="T51" s="451" t="s">
        <v>433</v>
      </c>
      <c r="U51" s="451" t="s">
        <v>434</v>
      </c>
      <c r="V51" s="452" t="s">
        <v>105</v>
      </c>
      <c r="W51" s="452" t="s">
        <v>123</v>
      </c>
      <c r="X51" s="452">
        <v>0</v>
      </c>
      <c r="Y51" s="453">
        <v>1.2353586750473908</v>
      </c>
      <c r="Z51" s="452">
        <v>0</v>
      </c>
      <c r="AA51" s="452">
        <v>0</v>
      </c>
      <c r="AB51" s="452">
        <v>0</v>
      </c>
      <c r="AC51" s="452">
        <v>0</v>
      </c>
      <c r="AD51" s="452">
        <v>0</v>
      </c>
      <c r="AE51" s="452">
        <v>0</v>
      </c>
      <c r="AF51" s="452">
        <v>0</v>
      </c>
      <c r="AG51" s="452">
        <v>0</v>
      </c>
      <c r="AH51" s="452">
        <v>0</v>
      </c>
      <c r="AI51" s="452">
        <v>0</v>
      </c>
      <c r="AJ51" s="452">
        <v>0</v>
      </c>
    </row>
    <row r="52" spans="1:36" ht="15.95" customHeight="1">
      <c r="A52" s="450">
        <v>140350046</v>
      </c>
      <c r="B52" s="450" t="s">
        <v>301</v>
      </c>
      <c r="C52" s="451" t="s">
        <v>435</v>
      </c>
      <c r="D52" s="451" t="s">
        <v>303</v>
      </c>
      <c r="E52" s="452">
        <v>227</v>
      </c>
      <c r="F52" s="452" t="s">
        <v>436</v>
      </c>
      <c r="G52" s="452" t="s">
        <v>436</v>
      </c>
      <c r="H52" s="452" t="s">
        <v>437</v>
      </c>
      <c r="I52" s="452" t="s">
        <v>305</v>
      </c>
      <c r="J52" s="452" t="s">
        <v>437</v>
      </c>
      <c r="K52" s="451" t="s">
        <v>54</v>
      </c>
      <c r="L52" s="452" t="s">
        <v>337</v>
      </c>
      <c r="M52" s="452" t="s">
        <v>337</v>
      </c>
      <c r="N52" s="452" t="s">
        <v>307</v>
      </c>
      <c r="O52" s="452" t="s">
        <v>308</v>
      </c>
      <c r="P52" s="450" t="s">
        <v>309</v>
      </c>
      <c r="Q52" s="452" t="s">
        <v>59</v>
      </c>
      <c r="R52" s="451" t="s">
        <v>43</v>
      </c>
      <c r="S52" s="451" t="s">
        <v>339</v>
      </c>
      <c r="T52" s="451" t="s">
        <v>339</v>
      </c>
      <c r="U52" s="451" t="s">
        <v>438</v>
      </c>
      <c r="V52" s="452" t="s">
        <v>105</v>
      </c>
      <c r="W52" s="452" t="s">
        <v>123</v>
      </c>
      <c r="X52" s="452">
        <v>0</v>
      </c>
      <c r="Y52" s="453">
        <v>1.4965579167913798</v>
      </c>
      <c r="Z52" s="452">
        <v>0</v>
      </c>
      <c r="AA52" s="452">
        <v>0</v>
      </c>
      <c r="AB52" s="452">
        <v>0</v>
      </c>
      <c r="AC52" s="452">
        <v>0</v>
      </c>
      <c r="AD52" s="452">
        <v>0</v>
      </c>
      <c r="AE52" s="452">
        <v>0</v>
      </c>
      <c r="AF52" s="452">
        <v>0</v>
      </c>
      <c r="AG52" s="452">
        <v>0</v>
      </c>
      <c r="AH52" s="452">
        <v>0</v>
      </c>
      <c r="AI52" s="452">
        <v>0</v>
      </c>
      <c r="AJ52" s="452">
        <v>0</v>
      </c>
    </row>
    <row r="53" spans="1:36" ht="15.95" customHeight="1">
      <c r="A53" s="450">
        <v>140350080</v>
      </c>
      <c r="B53" s="450" t="s">
        <v>301</v>
      </c>
      <c r="C53" s="451" t="s">
        <v>439</v>
      </c>
      <c r="D53" s="451" t="s">
        <v>364</v>
      </c>
      <c r="E53" s="452">
        <v>247</v>
      </c>
      <c r="F53" s="452" t="s">
        <v>440</v>
      </c>
      <c r="G53" s="452" t="s">
        <v>440</v>
      </c>
      <c r="H53" s="452" t="s">
        <v>441</v>
      </c>
      <c r="I53" s="452" t="s">
        <v>305</v>
      </c>
      <c r="J53" s="452" t="s">
        <v>440</v>
      </c>
      <c r="K53" s="451" t="s">
        <v>27</v>
      </c>
      <c r="L53" s="452" t="s">
        <v>337</v>
      </c>
      <c r="M53" s="452" t="s">
        <v>337</v>
      </c>
      <c r="N53" s="452" t="s">
        <v>307</v>
      </c>
      <c r="O53" s="452" t="s">
        <v>307</v>
      </c>
      <c r="P53" s="450" t="s">
        <v>309</v>
      </c>
      <c r="Q53" s="452" t="s">
        <v>59</v>
      </c>
      <c r="R53" s="451" t="s">
        <v>442</v>
      </c>
      <c r="S53" s="451" t="s">
        <v>443</v>
      </c>
      <c r="T53" s="451" t="s">
        <v>443</v>
      </c>
      <c r="U53" s="451" t="s">
        <v>310</v>
      </c>
      <c r="V53" s="452" t="s">
        <v>180</v>
      </c>
      <c r="W53" s="452" t="s">
        <v>180</v>
      </c>
      <c r="X53" s="452" t="s">
        <v>180</v>
      </c>
      <c r="Y53" s="453" t="s">
        <v>180</v>
      </c>
      <c r="Z53" s="452" t="s">
        <v>180</v>
      </c>
      <c r="AA53" s="452" t="s">
        <v>180</v>
      </c>
      <c r="AB53" s="452" t="s">
        <v>180</v>
      </c>
      <c r="AC53" s="452" t="s">
        <v>180</v>
      </c>
      <c r="AD53" s="452" t="s">
        <v>180</v>
      </c>
      <c r="AE53" s="452" t="s">
        <v>180</v>
      </c>
      <c r="AF53" s="452" t="s">
        <v>180</v>
      </c>
      <c r="AG53" s="452" t="s">
        <v>180</v>
      </c>
      <c r="AH53" s="452" t="s">
        <v>180</v>
      </c>
      <c r="AI53" s="452" t="s">
        <v>180</v>
      </c>
      <c r="AJ53" s="452" t="s">
        <v>180</v>
      </c>
    </row>
    <row r="54" spans="1:36" ht="15.95" customHeight="1">
      <c r="A54" s="450">
        <v>140350081</v>
      </c>
      <c r="B54" s="450" t="s">
        <v>301</v>
      </c>
      <c r="C54" s="451" t="s">
        <v>444</v>
      </c>
      <c r="D54" s="451" t="s">
        <v>303</v>
      </c>
      <c r="E54" s="452">
        <v>229</v>
      </c>
      <c r="F54" s="452" t="s">
        <v>304</v>
      </c>
      <c r="G54" s="452" t="s">
        <v>304</v>
      </c>
      <c r="H54" s="452" t="s">
        <v>445</v>
      </c>
      <c r="I54" s="452" t="s">
        <v>305</v>
      </c>
      <c r="J54" s="452" t="s">
        <v>445</v>
      </c>
      <c r="K54" s="451" t="s">
        <v>27</v>
      </c>
      <c r="L54" s="452" t="s">
        <v>337</v>
      </c>
      <c r="M54" s="452" t="s">
        <v>337</v>
      </c>
      <c r="N54" s="452" t="s">
        <v>307</v>
      </c>
      <c r="O54" s="452" t="s">
        <v>308</v>
      </c>
      <c r="P54" s="450" t="s">
        <v>309</v>
      </c>
      <c r="Q54" s="452" t="s">
        <v>59</v>
      </c>
      <c r="R54" s="451" t="s">
        <v>446</v>
      </c>
      <c r="S54" s="451" t="s">
        <v>355</v>
      </c>
      <c r="T54" s="451" t="s">
        <v>355</v>
      </c>
      <c r="U54" s="451" t="s">
        <v>349</v>
      </c>
      <c r="V54" s="452" t="s">
        <v>105</v>
      </c>
      <c r="W54" s="452" t="s">
        <v>123</v>
      </c>
      <c r="X54" s="452">
        <v>0</v>
      </c>
      <c r="Y54" s="453">
        <v>1.6262596029132994</v>
      </c>
      <c r="Z54" s="452">
        <v>0</v>
      </c>
      <c r="AA54" s="452">
        <v>0</v>
      </c>
      <c r="AB54" s="452">
        <v>0</v>
      </c>
      <c r="AC54" s="452">
        <v>0</v>
      </c>
      <c r="AD54" s="452">
        <v>0</v>
      </c>
      <c r="AE54" s="452">
        <v>0</v>
      </c>
      <c r="AF54" s="452">
        <v>0</v>
      </c>
      <c r="AG54" s="452">
        <v>0</v>
      </c>
      <c r="AH54" s="452">
        <v>0</v>
      </c>
      <c r="AI54" s="452">
        <v>0</v>
      </c>
      <c r="AJ54" s="452">
        <v>0</v>
      </c>
    </row>
    <row r="55" spans="1:36" ht="15.95" customHeight="1">
      <c r="A55" s="450">
        <v>140490001</v>
      </c>
      <c r="B55" s="450" t="s">
        <v>301</v>
      </c>
      <c r="C55" s="451" t="s">
        <v>447</v>
      </c>
      <c r="D55" s="451" t="s">
        <v>303</v>
      </c>
      <c r="E55" s="452">
        <v>235</v>
      </c>
      <c r="F55" s="452" t="s">
        <v>222</v>
      </c>
      <c r="G55" s="452" t="s">
        <v>222</v>
      </c>
      <c r="H55" s="452" t="s">
        <v>222</v>
      </c>
      <c r="I55" s="452" t="s">
        <v>305</v>
      </c>
      <c r="J55" s="452" t="s">
        <v>328</v>
      </c>
      <c r="K55" s="451" t="s">
        <v>3</v>
      </c>
      <c r="L55" s="452" t="s">
        <v>307</v>
      </c>
      <c r="M55" s="452" t="s">
        <v>307</v>
      </c>
      <c r="N55" s="452" t="s">
        <v>307</v>
      </c>
      <c r="O55" s="452" t="s">
        <v>307</v>
      </c>
      <c r="P55" s="450" t="s">
        <v>309</v>
      </c>
      <c r="Q55" s="452" t="s">
        <v>61</v>
      </c>
      <c r="R55" s="451" t="s">
        <v>323</v>
      </c>
      <c r="S55" s="451" t="s">
        <v>323</v>
      </c>
      <c r="T55" s="451" t="s">
        <v>323</v>
      </c>
      <c r="U55" s="451" t="s">
        <v>323</v>
      </c>
      <c r="V55" s="452" t="s">
        <v>180</v>
      </c>
      <c r="W55" s="452" t="s">
        <v>180</v>
      </c>
      <c r="X55" s="452" t="s">
        <v>180</v>
      </c>
      <c r="Y55" s="453" t="s">
        <v>180</v>
      </c>
      <c r="Z55" s="452" t="s">
        <v>180</v>
      </c>
      <c r="AA55" s="452" t="s">
        <v>180</v>
      </c>
      <c r="AB55" s="452" t="s">
        <v>180</v>
      </c>
      <c r="AC55" s="452" t="s">
        <v>180</v>
      </c>
      <c r="AD55" s="452" t="s">
        <v>180</v>
      </c>
      <c r="AE55" s="452" t="s">
        <v>180</v>
      </c>
      <c r="AF55" s="452" t="s">
        <v>180</v>
      </c>
      <c r="AG55" s="452" t="s">
        <v>180</v>
      </c>
      <c r="AH55" s="452" t="s">
        <v>180</v>
      </c>
      <c r="AI55" s="452" t="s">
        <v>180</v>
      </c>
      <c r="AJ55" s="452" t="s">
        <v>180</v>
      </c>
    </row>
    <row r="56" spans="1:36" ht="15.95" customHeight="1">
      <c r="A56" s="450">
        <v>140490003</v>
      </c>
      <c r="B56" s="450" t="s">
        <v>301</v>
      </c>
      <c r="C56" s="451" t="s">
        <v>448</v>
      </c>
      <c r="D56" s="451" t="s">
        <v>303</v>
      </c>
      <c r="E56" s="452">
        <v>255</v>
      </c>
      <c r="F56" s="452" t="s">
        <v>222</v>
      </c>
      <c r="G56" s="452" t="s">
        <v>222</v>
      </c>
      <c r="H56" s="452" t="s">
        <v>222</v>
      </c>
      <c r="I56" s="452" t="s">
        <v>449</v>
      </c>
      <c r="J56" s="452" t="s">
        <v>450</v>
      </c>
      <c r="K56" s="451" t="s">
        <v>323</v>
      </c>
      <c r="L56" s="452" t="s">
        <v>323</v>
      </c>
      <c r="M56" s="452" t="s">
        <v>323</v>
      </c>
      <c r="N56" s="452" t="s">
        <v>323</v>
      </c>
      <c r="O56" s="452" t="s">
        <v>323</v>
      </c>
      <c r="P56" s="450" t="s">
        <v>309</v>
      </c>
      <c r="Q56" s="452" t="s">
        <v>61</v>
      </c>
      <c r="R56" s="451" t="s">
        <v>323</v>
      </c>
      <c r="S56" s="451" t="s">
        <v>323</v>
      </c>
      <c r="T56" s="451" t="s">
        <v>323</v>
      </c>
      <c r="U56" s="451" t="s">
        <v>323</v>
      </c>
      <c r="V56" s="452" t="s">
        <v>180</v>
      </c>
      <c r="W56" s="452" t="s">
        <v>180</v>
      </c>
      <c r="X56" s="452" t="s">
        <v>180</v>
      </c>
      <c r="Y56" s="453" t="s">
        <v>180</v>
      </c>
      <c r="Z56" s="452" t="s">
        <v>180</v>
      </c>
      <c r="AA56" s="452" t="s">
        <v>180</v>
      </c>
      <c r="AB56" s="452" t="s">
        <v>180</v>
      </c>
      <c r="AC56" s="452" t="s">
        <v>180</v>
      </c>
      <c r="AD56" s="452" t="s">
        <v>180</v>
      </c>
      <c r="AE56" s="452" t="s">
        <v>180</v>
      </c>
      <c r="AF56" s="452" t="s">
        <v>180</v>
      </c>
      <c r="AG56" s="452" t="s">
        <v>180</v>
      </c>
      <c r="AH56" s="452" t="s">
        <v>180</v>
      </c>
      <c r="AI56" s="452" t="s">
        <v>180</v>
      </c>
      <c r="AJ56" s="452" t="s">
        <v>180</v>
      </c>
    </row>
    <row r="57" spans="1:36" ht="15.95" customHeight="1">
      <c r="A57" s="450">
        <v>140490005</v>
      </c>
      <c r="B57" s="450" t="s">
        <v>301</v>
      </c>
      <c r="C57" s="451" t="s">
        <v>451</v>
      </c>
      <c r="D57" s="451" t="s">
        <v>303</v>
      </c>
      <c r="E57" s="452">
        <v>120</v>
      </c>
      <c r="F57" s="452" t="s">
        <v>222</v>
      </c>
      <c r="G57" s="452" t="s">
        <v>222</v>
      </c>
      <c r="H57" s="452" t="s">
        <v>222</v>
      </c>
      <c r="I57" s="452" t="s">
        <v>452</v>
      </c>
      <c r="J57" s="452" t="s">
        <v>405</v>
      </c>
      <c r="K57" s="451" t="s">
        <v>323</v>
      </c>
      <c r="L57" s="452" t="s">
        <v>453</v>
      </c>
      <c r="M57" s="452" t="s">
        <v>323</v>
      </c>
      <c r="N57" s="452" t="s">
        <v>323</v>
      </c>
      <c r="O57" s="452" t="s">
        <v>323</v>
      </c>
      <c r="P57" s="450" t="s">
        <v>309</v>
      </c>
      <c r="Q57" s="452" t="s">
        <v>61</v>
      </c>
      <c r="R57" s="451" t="s">
        <v>323</v>
      </c>
      <c r="S57" s="451" t="s">
        <v>453</v>
      </c>
      <c r="T57" s="451" t="s">
        <v>323</v>
      </c>
      <c r="U57" s="451" t="s">
        <v>323</v>
      </c>
      <c r="V57" s="452" t="s">
        <v>180</v>
      </c>
      <c r="W57" s="452" t="s">
        <v>180</v>
      </c>
      <c r="X57" s="452" t="s">
        <v>180</v>
      </c>
      <c r="Y57" s="453" t="s">
        <v>180</v>
      </c>
      <c r="Z57" s="452" t="s">
        <v>180</v>
      </c>
      <c r="AA57" s="452" t="s">
        <v>180</v>
      </c>
      <c r="AB57" s="452" t="s">
        <v>180</v>
      </c>
      <c r="AC57" s="452" t="s">
        <v>180</v>
      </c>
      <c r="AD57" s="452" t="s">
        <v>180</v>
      </c>
      <c r="AE57" s="452" t="s">
        <v>180</v>
      </c>
      <c r="AF57" s="452" t="s">
        <v>180</v>
      </c>
      <c r="AG57" s="452" t="s">
        <v>180</v>
      </c>
      <c r="AH57" s="452" t="s">
        <v>180</v>
      </c>
      <c r="AI57" s="452" t="s">
        <v>180</v>
      </c>
      <c r="AJ57" s="452" t="s">
        <v>180</v>
      </c>
    </row>
    <row r="58" spans="1:36" ht="15.95" customHeight="1">
      <c r="A58" s="450">
        <v>140490006</v>
      </c>
      <c r="B58" s="450" t="s">
        <v>301</v>
      </c>
      <c r="C58" s="451" t="s">
        <v>454</v>
      </c>
      <c r="D58" s="451" t="s">
        <v>303</v>
      </c>
      <c r="E58" s="452">
        <v>122</v>
      </c>
      <c r="F58" s="452" t="s">
        <v>222</v>
      </c>
      <c r="G58" s="452" t="s">
        <v>222</v>
      </c>
      <c r="H58" s="452" t="s">
        <v>222</v>
      </c>
      <c r="I58" s="452" t="s">
        <v>304</v>
      </c>
      <c r="J58" s="452" t="s">
        <v>304</v>
      </c>
      <c r="K58" s="451" t="s">
        <v>323</v>
      </c>
      <c r="L58" s="452" t="s">
        <v>306</v>
      </c>
      <c r="M58" s="452" t="s">
        <v>306</v>
      </c>
      <c r="N58" s="452" t="s">
        <v>306</v>
      </c>
      <c r="O58" s="452" t="s">
        <v>307</v>
      </c>
      <c r="P58" s="450" t="s">
        <v>455</v>
      </c>
      <c r="Q58" s="452" t="s">
        <v>61</v>
      </c>
      <c r="R58" s="451" t="s">
        <v>323</v>
      </c>
      <c r="S58" s="451" t="s">
        <v>323</v>
      </c>
      <c r="T58" s="451" t="s">
        <v>323</v>
      </c>
      <c r="U58" s="451" t="s">
        <v>323</v>
      </c>
      <c r="V58" s="452" t="s">
        <v>180</v>
      </c>
      <c r="W58" s="452" t="s">
        <v>180</v>
      </c>
      <c r="X58" s="452" t="s">
        <v>180</v>
      </c>
      <c r="Y58" s="453" t="s">
        <v>180</v>
      </c>
      <c r="Z58" s="452" t="s">
        <v>180</v>
      </c>
      <c r="AA58" s="452" t="s">
        <v>180</v>
      </c>
      <c r="AB58" s="452" t="s">
        <v>180</v>
      </c>
      <c r="AC58" s="452" t="s">
        <v>180</v>
      </c>
      <c r="AD58" s="452" t="s">
        <v>180</v>
      </c>
      <c r="AE58" s="452" t="s">
        <v>180</v>
      </c>
      <c r="AF58" s="452" t="s">
        <v>180</v>
      </c>
      <c r="AG58" s="452" t="s">
        <v>180</v>
      </c>
      <c r="AH58" s="452" t="s">
        <v>180</v>
      </c>
      <c r="AI58" s="452" t="s">
        <v>180</v>
      </c>
      <c r="AJ58" s="452" t="s">
        <v>180</v>
      </c>
    </row>
    <row r="59" spans="1:36" ht="15.95" customHeight="1">
      <c r="A59" s="450">
        <v>140490007</v>
      </c>
      <c r="B59" s="450" t="s">
        <v>301</v>
      </c>
      <c r="C59" s="451" t="s">
        <v>456</v>
      </c>
      <c r="D59" s="451" t="s">
        <v>303</v>
      </c>
      <c r="E59" s="452">
        <v>192</v>
      </c>
      <c r="F59" s="452" t="s">
        <v>222</v>
      </c>
      <c r="G59" s="452" t="s">
        <v>222</v>
      </c>
      <c r="H59" s="452" t="s">
        <v>222</v>
      </c>
      <c r="I59" s="452" t="s">
        <v>307</v>
      </c>
      <c r="J59" s="452" t="s">
        <v>307</v>
      </c>
      <c r="K59" s="451" t="s">
        <v>323</v>
      </c>
      <c r="L59" s="452" t="s">
        <v>323</v>
      </c>
      <c r="M59" s="452" t="s">
        <v>323</v>
      </c>
      <c r="N59" s="452" t="s">
        <v>323</v>
      </c>
      <c r="O59" s="452" t="s">
        <v>323</v>
      </c>
      <c r="P59" s="450" t="s">
        <v>309</v>
      </c>
      <c r="Q59" s="452" t="s">
        <v>61</v>
      </c>
      <c r="R59" s="451" t="s">
        <v>323</v>
      </c>
      <c r="S59" s="451" t="s">
        <v>323</v>
      </c>
      <c r="T59" s="451" t="s">
        <v>323</v>
      </c>
      <c r="U59" s="451" t="s">
        <v>323</v>
      </c>
      <c r="V59" s="452" t="s">
        <v>180</v>
      </c>
      <c r="W59" s="452" t="s">
        <v>180</v>
      </c>
      <c r="X59" s="452" t="s">
        <v>180</v>
      </c>
      <c r="Y59" s="453" t="s">
        <v>180</v>
      </c>
      <c r="Z59" s="452" t="s">
        <v>180</v>
      </c>
      <c r="AA59" s="452" t="s">
        <v>180</v>
      </c>
      <c r="AB59" s="452" t="s">
        <v>180</v>
      </c>
      <c r="AC59" s="452" t="s">
        <v>180</v>
      </c>
      <c r="AD59" s="452" t="s">
        <v>180</v>
      </c>
      <c r="AE59" s="452" t="s">
        <v>180</v>
      </c>
      <c r="AF59" s="452" t="s">
        <v>180</v>
      </c>
      <c r="AG59" s="452" t="s">
        <v>180</v>
      </c>
      <c r="AH59" s="452" t="s">
        <v>180</v>
      </c>
      <c r="AI59" s="452" t="s">
        <v>180</v>
      </c>
      <c r="AJ59" s="452" t="s">
        <v>180</v>
      </c>
    </row>
    <row r="60" spans="1:36" ht="15.95" customHeight="1">
      <c r="A60" s="450">
        <v>140490008</v>
      </c>
      <c r="B60" s="450" t="s">
        <v>301</v>
      </c>
      <c r="C60" s="451" t="s">
        <v>457</v>
      </c>
      <c r="D60" s="451" t="s">
        <v>303</v>
      </c>
      <c r="E60" s="452">
        <v>30</v>
      </c>
      <c r="F60" s="452" t="s">
        <v>222</v>
      </c>
      <c r="G60" s="452" t="s">
        <v>222</v>
      </c>
      <c r="H60" s="452" t="s">
        <v>222</v>
      </c>
      <c r="I60" s="452" t="s">
        <v>370</v>
      </c>
      <c r="J60" s="452" t="s">
        <v>458</v>
      </c>
      <c r="K60" s="451" t="s">
        <v>323</v>
      </c>
      <c r="L60" s="452" t="s">
        <v>306</v>
      </c>
      <c r="M60" s="452" t="s">
        <v>306</v>
      </c>
      <c r="N60" s="452" t="s">
        <v>323</v>
      </c>
      <c r="O60" s="452" t="s">
        <v>307</v>
      </c>
      <c r="P60" s="450" t="s">
        <v>325</v>
      </c>
      <c r="Q60" s="452" t="s">
        <v>61</v>
      </c>
      <c r="R60" s="451" t="s">
        <v>323</v>
      </c>
      <c r="S60" s="451" t="s">
        <v>323</v>
      </c>
      <c r="T60" s="451" t="s">
        <v>323</v>
      </c>
      <c r="U60" s="451" t="s">
        <v>323</v>
      </c>
      <c r="V60" s="452" t="s">
        <v>180</v>
      </c>
      <c r="W60" s="452" t="s">
        <v>180</v>
      </c>
      <c r="X60" s="452" t="s">
        <v>180</v>
      </c>
      <c r="Y60" s="453" t="s">
        <v>180</v>
      </c>
      <c r="Z60" s="452" t="s">
        <v>180</v>
      </c>
      <c r="AA60" s="452" t="s">
        <v>180</v>
      </c>
      <c r="AB60" s="452" t="s">
        <v>180</v>
      </c>
      <c r="AC60" s="452" t="s">
        <v>180</v>
      </c>
      <c r="AD60" s="452" t="s">
        <v>180</v>
      </c>
      <c r="AE60" s="452" t="s">
        <v>180</v>
      </c>
      <c r="AF60" s="452" t="s">
        <v>180</v>
      </c>
      <c r="AG60" s="452" t="s">
        <v>180</v>
      </c>
      <c r="AH60" s="452" t="s">
        <v>180</v>
      </c>
      <c r="AI60" s="452" t="s">
        <v>180</v>
      </c>
      <c r="AJ60" s="452" t="s">
        <v>180</v>
      </c>
    </row>
    <row r="61" spans="1:36" ht="15.95" customHeight="1">
      <c r="A61" s="450">
        <v>140490009</v>
      </c>
      <c r="B61" s="450" t="s">
        <v>301</v>
      </c>
      <c r="C61" s="451" t="s">
        <v>459</v>
      </c>
      <c r="D61" s="451" t="s">
        <v>303</v>
      </c>
      <c r="E61" s="452">
        <v>30</v>
      </c>
      <c r="F61" s="452" t="s">
        <v>222</v>
      </c>
      <c r="G61" s="452" t="s">
        <v>222</v>
      </c>
      <c r="H61" s="452" t="s">
        <v>222</v>
      </c>
      <c r="I61" s="452" t="s">
        <v>370</v>
      </c>
      <c r="J61" s="452" t="s">
        <v>458</v>
      </c>
      <c r="K61" s="451" t="s">
        <v>323</v>
      </c>
      <c r="L61" s="452" t="s">
        <v>306</v>
      </c>
      <c r="M61" s="452" t="s">
        <v>306</v>
      </c>
      <c r="N61" s="452" t="s">
        <v>323</v>
      </c>
      <c r="O61" s="452" t="s">
        <v>307</v>
      </c>
      <c r="P61" s="450" t="s">
        <v>325</v>
      </c>
      <c r="Q61" s="452" t="s">
        <v>61</v>
      </c>
      <c r="R61" s="451" t="s">
        <v>323</v>
      </c>
      <c r="S61" s="451" t="s">
        <v>323</v>
      </c>
      <c r="T61" s="451" t="s">
        <v>323</v>
      </c>
      <c r="U61" s="451" t="s">
        <v>323</v>
      </c>
      <c r="V61" s="452" t="s">
        <v>180</v>
      </c>
      <c r="W61" s="452" t="s">
        <v>180</v>
      </c>
      <c r="X61" s="452" t="s">
        <v>180</v>
      </c>
      <c r="Y61" s="453" t="s">
        <v>180</v>
      </c>
      <c r="Z61" s="452" t="s">
        <v>180</v>
      </c>
      <c r="AA61" s="452" t="s">
        <v>180</v>
      </c>
      <c r="AB61" s="452" t="s">
        <v>180</v>
      </c>
      <c r="AC61" s="452" t="s">
        <v>180</v>
      </c>
      <c r="AD61" s="452" t="s">
        <v>180</v>
      </c>
      <c r="AE61" s="452" t="s">
        <v>180</v>
      </c>
      <c r="AF61" s="452" t="s">
        <v>180</v>
      </c>
      <c r="AG61" s="452" t="s">
        <v>180</v>
      </c>
      <c r="AH61" s="452" t="s">
        <v>180</v>
      </c>
      <c r="AI61" s="452" t="s">
        <v>180</v>
      </c>
      <c r="AJ61" s="452" t="s">
        <v>180</v>
      </c>
    </row>
    <row r="62" spans="1:36" ht="15.95" customHeight="1">
      <c r="A62" s="450">
        <v>140500010</v>
      </c>
      <c r="B62" s="450" t="s">
        <v>311</v>
      </c>
      <c r="C62" s="451" t="s">
        <v>63</v>
      </c>
      <c r="D62" s="451" t="s">
        <v>312</v>
      </c>
      <c r="E62" s="452">
        <v>200</v>
      </c>
      <c r="F62" s="452" t="s">
        <v>222</v>
      </c>
      <c r="G62" s="452" t="s">
        <v>222</v>
      </c>
      <c r="H62" s="452" t="s">
        <v>222</v>
      </c>
      <c r="I62" s="452" t="s">
        <v>305</v>
      </c>
      <c r="J62" s="452" t="s">
        <v>335</v>
      </c>
      <c r="K62" s="451" t="s">
        <v>3</v>
      </c>
      <c r="L62" s="452" t="s">
        <v>304</v>
      </c>
      <c r="M62" s="452" t="s">
        <v>304</v>
      </c>
      <c r="N62" s="452" t="s">
        <v>304</v>
      </c>
      <c r="O62" s="452" t="s">
        <v>307</v>
      </c>
      <c r="P62" s="450" t="s">
        <v>309</v>
      </c>
      <c r="Q62" s="452" t="s">
        <v>62</v>
      </c>
      <c r="R62" s="451" t="s">
        <v>18</v>
      </c>
      <c r="S62" s="451" t="s">
        <v>323</v>
      </c>
      <c r="T62" s="451" t="s">
        <v>323</v>
      </c>
      <c r="U62" s="451" t="s">
        <v>323</v>
      </c>
      <c r="V62" s="452" t="s">
        <v>105</v>
      </c>
      <c r="W62" s="452" t="s">
        <v>123</v>
      </c>
      <c r="X62" s="452">
        <v>0</v>
      </c>
      <c r="Y62" s="453">
        <v>1.0675446473111843</v>
      </c>
      <c r="Z62" s="452">
        <v>0</v>
      </c>
      <c r="AA62" s="452">
        <v>0</v>
      </c>
      <c r="AB62" s="452">
        <v>0</v>
      </c>
      <c r="AC62" s="452">
        <v>0</v>
      </c>
      <c r="AD62" s="452">
        <v>0</v>
      </c>
      <c r="AE62" s="452">
        <v>0</v>
      </c>
      <c r="AF62" s="452">
        <v>0</v>
      </c>
      <c r="AG62" s="452">
        <v>0</v>
      </c>
      <c r="AH62" s="452">
        <v>0</v>
      </c>
      <c r="AI62" s="452">
        <v>0</v>
      </c>
      <c r="AJ62" s="452">
        <v>0</v>
      </c>
    </row>
    <row r="63" spans="1:36" ht="15.95" customHeight="1">
      <c r="A63" s="450">
        <v>140530001</v>
      </c>
      <c r="B63" s="450" t="s">
        <v>319</v>
      </c>
      <c r="C63" s="451" t="s">
        <v>65</v>
      </c>
      <c r="D63" s="451" t="s">
        <v>320</v>
      </c>
      <c r="E63" s="452">
        <v>221</v>
      </c>
      <c r="F63" s="452" t="s">
        <v>222</v>
      </c>
      <c r="G63" s="452" t="s">
        <v>222</v>
      </c>
      <c r="H63" s="452" t="s">
        <v>222</v>
      </c>
      <c r="I63" s="452" t="s">
        <v>321</v>
      </c>
      <c r="J63" s="452" t="s">
        <v>305</v>
      </c>
      <c r="K63" s="451" t="s">
        <v>460</v>
      </c>
      <c r="L63" s="452" t="s">
        <v>306</v>
      </c>
      <c r="M63" s="452" t="s">
        <v>306</v>
      </c>
      <c r="N63" s="452" t="s">
        <v>323</v>
      </c>
      <c r="O63" s="452" t="s">
        <v>307</v>
      </c>
      <c r="P63" s="450" t="s">
        <v>325</v>
      </c>
      <c r="Q63" s="452" t="s">
        <v>64</v>
      </c>
      <c r="R63" s="451" t="s">
        <v>9</v>
      </c>
      <c r="S63" s="451" t="s">
        <v>326</v>
      </c>
      <c r="T63" s="451" t="s">
        <v>326</v>
      </c>
      <c r="U63" s="451" t="s">
        <v>323</v>
      </c>
      <c r="V63" s="452" t="s">
        <v>106</v>
      </c>
      <c r="W63" s="452" t="s">
        <v>123</v>
      </c>
      <c r="X63" s="452">
        <v>0</v>
      </c>
      <c r="Y63" s="453">
        <v>1.0575675945325751</v>
      </c>
      <c r="Z63" s="452">
        <v>0</v>
      </c>
      <c r="AA63" s="452">
        <v>0</v>
      </c>
      <c r="AB63" s="452">
        <v>0</v>
      </c>
      <c r="AC63" s="452">
        <v>0</v>
      </c>
      <c r="AD63" s="452">
        <v>0</v>
      </c>
      <c r="AE63" s="452">
        <v>0</v>
      </c>
      <c r="AF63" s="452">
        <v>0</v>
      </c>
      <c r="AG63" s="452">
        <v>0</v>
      </c>
      <c r="AH63" s="452">
        <v>0</v>
      </c>
      <c r="AI63" s="452">
        <v>0</v>
      </c>
      <c r="AJ63" s="452">
        <v>0</v>
      </c>
    </row>
    <row r="64" spans="1:36" ht="15.95" customHeight="1">
      <c r="A64" s="450">
        <v>140530002</v>
      </c>
      <c r="B64" s="450" t="s">
        <v>319</v>
      </c>
      <c r="C64" s="451" t="s">
        <v>461</v>
      </c>
      <c r="D64" s="451" t="s">
        <v>320</v>
      </c>
      <c r="E64" s="452">
        <v>189</v>
      </c>
      <c r="F64" s="452" t="s">
        <v>222</v>
      </c>
      <c r="G64" s="452" t="s">
        <v>222</v>
      </c>
      <c r="H64" s="452" t="s">
        <v>222</v>
      </c>
      <c r="I64" s="452" t="s">
        <v>321</v>
      </c>
      <c r="J64" s="452" t="s">
        <v>305</v>
      </c>
      <c r="K64" s="451" t="s">
        <v>460</v>
      </c>
      <c r="L64" s="452" t="s">
        <v>306</v>
      </c>
      <c r="M64" s="452" t="s">
        <v>306</v>
      </c>
      <c r="N64" s="452" t="s">
        <v>323</v>
      </c>
      <c r="O64" s="452" t="s">
        <v>307</v>
      </c>
      <c r="P64" s="450" t="s">
        <v>325</v>
      </c>
      <c r="Q64" s="452" t="s">
        <v>64</v>
      </c>
      <c r="R64" s="451" t="s">
        <v>21</v>
      </c>
      <c r="S64" s="451" t="s">
        <v>326</v>
      </c>
      <c r="T64" s="451" t="s">
        <v>326</v>
      </c>
      <c r="U64" s="451" t="s">
        <v>323</v>
      </c>
      <c r="V64" s="452" t="s">
        <v>180</v>
      </c>
      <c r="W64" s="452" t="s">
        <v>180</v>
      </c>
      <c r="X64" s="452" t="s">
        <v>180</v>
      </c>
      <c r="Y64" s="453" t="s">
        <v>180</v>
      </c>
      <c r="Z64" s="452" t="s">
        <v>180</v>
      </c>
      <c r="AA64" s="452" t="s">
        <v>180</v>
      </c>
      <c r="AB64" s="452" t="s">
        <v>180</v>
      </c>
      <c r="AC64" s="452" t="s">
        <v>180</v>
      </c>
      <c r="AD64" s="452" t="s">
        <v>180</v>
      </c>
      <c r="AE64" s="452" t="s">
        <v>180</v>
      </c>
      <c r="AF64" s="452" t="s">
        <v>180</v>
      </c>
      <c r="AG64" s="452" t="s">
        <v>180</v>
      </c>
      <c r="AH64" s="452" t="s">
        <v>180</v>
      </c>
      <c r="AI64" s="452" t="s">
        <v>180</v>
      </c>
      <c r="AJ64" s="452" t="s">
        <v>180</v>
      </c>
    </row>
    <row r="65" spans="1:36" ht="15.95" customHeight="1">
      <c r="A65" s="450">
        <v>140530003</v>
      </c>
      <c r="B65" s="450" t="s">
        <v>319</v>
      </c>
      <c r="C65" s="451" t="s">
        <v>66</v>
      </c>
      <c r="D65" s="451" t="s">
        <v>320</v>
      </c>
      <c r="E65" s="452">
        <v>185</v>
      </c>
      <c r="F65" s="452" t="s">
        <v>222</v>
      </c>
      <c r="G65" s="452" t="s">
        <v>222</v>
      </c>
      <c r="H65" s="452" t="s">
        <v>222</v>
      </c>
      <c r="I65" s="452" t="s">
        <v>321</v>
      </c>
      <c r="J65" s="452" t="s">
        <v>305</v>
      </c>
      <c r="K65" s="451" t="s">
        <v>460</v>
      </c>
      <c r="L65" s="452" t="s">
        <v>306</v>
      </c>
      <c r="M65" s="452" t="s">
        <v>306</v>
      </c>
      <c r="N65" s="452" t="s">
        <v>323</v>
      </c>
      <c r="O65" s="452" t="s">
        <v>307</v>
      </c>
      <c r="P65" s="450" t="s">
        <v>325</v>
      </c>
      <c r="Q65" s="452" t="s">
        <v>64</v>
      </c>
      <c r="R65" s="451" t="s">
        <v>67</v>
      </c>
      <c r="S65" s="451" t="s">
        <v>326</v>
      </c>
      <c r="T65" s="451" t="s">
        <v>326</v>
      </c>
      <c r="U65" s="451" t="s">
        <v>323</v>
      </c>
      <c r="V65" s="452" t="s">
        <v>106</v>
      </c>
      <c r="W65" s="452" t="s">
        <v>123</v>
      </c>
      <c r="X65" s="452">
        <v>0</v>
      </c>
      <c r="Y65" s="453">
        <v>1.0575675945325751</v>
      </c>
      <c r="Z65" s="452">
        <v>0</v>
      </c>
      <c r="AA65" s="452">
        <v>0</v>
      </c>
      <c r="AB65" s="452">
        <v>0</v>
      </c>
      <c r="AC65" s="452">
        <v>0</v>
      </c>
      <c r="AD65" s="452">
        <v>0</v>
      </c>
      <c r="AE65" s="452">
        <v>0</v>
      </c>
      <c r="AF65" s="452">
        <v>0</v>
      </c>
      <c r="AG65" s="452">
        <v>0</v>
      </c>
      <c r="AH65" s="452">
        <v>0</v>
      </c>
      <c r="AI65" s="452">
        <v>0</v>
      </c>
      <c r="AJ65" s="452">
        <v>0</v>
      </c>
    </row>
    <row r="66" spans="1:36" ht="15.95" customHeight="1">
      <c r="A66" s="450">
        <v>140530004</v>
      </c>
      <c r="B66" s="450" t="s">
        <v>319</v>
      </c>
      <c r="C66" s="451" t="s">
        <v>68</v>
      </c>
      <c r="D66" s="451" t="s">
        <v>320</v>
      </c>
      <c r="E66" s="452">
        <v>192</v>
      </c>
      <c r="F66" s="452" t="s">
        <v>222</v>
      </c>
      <c r="G66" s="452" t="s">
        <v>222</v>
      </c>
      <c r="H66" s="452" t="s">
        <v>222</v>
      </c>
      <c r="I66" s="452" t="s">
        <v>321</v>
      </c>
      <c r="J66" s="452" t="s">
        <v>305</v>
      </c>
      <c r="K66" s="451" t="s">
        <v>460</v>
      </c>
      <c r="L66" s="452" t="s">
        <v>306</v>
      </c>
      <c r="M66" s="452" t="s">
        <v>306</v>
      </c>
      <c r="N66" s="452" t="s">
        <v>323</v>
      </c>
      <c r="O66" s="452" t="s">
        <v>308</v>
      </c>
      <c r="P66" s="450" t="s">
        <v>325</v>
      </c>
      <c r="Q66" s="452" t="s">
        <v>64</v>
      </c>
      <c r="R66" s="451" t="s">
        <v>11</v>
      </c>
      <c r="S66" s="451" t="s">
        <v>326</v>
      </c>
      <c r="T66" s="451" t="s">
        <v>326</v>
      </c>
      <c r="U66" s="451" t="s">
        <v>323</v>
      </c>
      <c r="V66" s="452" t="s">
        <v>106</v>
      </c>
      <c r="W66" s="452" t="s">
        <v>123</v>
      </c>
      <c r="X66" s="452">
        <v>0</v>
      </c>
      <c r="Y66" s="453">
        <v>1.0575675945325751</v>
      </c>
      <c r="Z66" s="452" t="s">
        <v>113</v>
      </c>
      <c r="AA66" s="452" t="s">
        <v>122</v>
      </c>
      <c r="AB66" s="452" t="s">
        <v>122</v>
      </c>
      <c r="AC66" s="452">
        <v>7.29</v>
      </c>
      <c r="AD66" s="452" t="s">
        <v>130</v>
      </c>
      <c r="AE66" s="452" t="s">
        <v>130</v>
      </c>
      <c r="AF66" s="452">
        <v>0</v>
      </c>
      <c r="AG66" s="452">
        <v>6.89</v>
      </c>
      <c r="AH66" s="452" t="s">
        <v>137</v>
      </c>
      <c r="AI66" s="452" t="s">
        <v>138</v>
      </c>
      <c r="AJ66" s="452">
        <v>0</v>
      </c>
    </row>
    <row r="67" spans="1:36" ht="15.95" customHeight="1">
      <c r="A67" s="450">
        <v>140530005</v>
      </c>
      <c r="B67" s="450" t="s">
        <v>319</v>
      </c>
      <c r="C67" s="451" t="s">
        <v>69</v>
      </c>
      <c r="D67" s="451" t="s">
        <v>320</v>
      </c>
      <c r="E67" s="452">
        <v>221</v>
      </c>
      <c r="F67" s="452" t="s">
        <v>222</v>
      </c>
      <c r="G67" s="452" t="s">
        <v>222</v>
      </c>
      <c r="H67" s="452" t="s">
        <v>222</v>
      </c>
      <c r="I67" s="452" t="s">
        <v>321</v>
      </c>
      <c r="J67" s="452" t="s">
        <v>305</v>
      </c>
      <c r="K67" s="451" t="s">
        <v>460</v>
      </c>
      <c r="L67" s="452" t="s">
        <v>306</v>
      </c>
      <c r="M67" s="452" t="s">
        <v>306</v>
      </c>
      <c r="N67" s="452" t="s">
        <v>323</v>
      </c>
      <c r="O67" s="452" t="s">
        <v>307</v>
      </c>
      <c r="P67" s="450" t="s">
        <v>325</v>
      </c>
      <c r="Q67" s="452" t="s">
        <v>64</v>
      </c>
      <c r="R67" s="451" t="s">
        <v>70</v>
      </c>
      <c r="S67" s="451" t="s">
        <v>326</v>
      </c>
      <c r="T67" s="451" t="s">
        <v>326</v>
      </c>
      <c r="U67" s="451" t="s">
        <v>323</v>
      </c>
      <c r="V67" s="452" t="s">
        <v>106</v>
      </c>
      <c r="W67" s="452" t="s">
        <v>123</v>
      </c>
      <c r="X67" s="452">
        <v>0</v>
      </c>
      <c r="Y67" s="453">
        <v>1.0575675945325751</v>
      </c>
      <c r="Z67" s="452">
        <v>0</v>
      </c>
      <c r="AA67" s="452">
        <v>0</v>
      </c>
      <c r="AB67" s="452">
        <v>0</v>
      </c>
      <c r="AC67" s="452">
        <v>0</v>
      </c>
      <c r="AD67" s="452">
        <v>0</v>
      </c>
      <c r="AE67" s="452">
        <v>0</v>
      </c>
      <c r="AF67" s="452">
        <v>0</v>
      </c>
      <c r="AG67" s="452">
        <v>0</v>
      </c>
      <c r="AH67" s="452">
        <v>0</v>
      </c>
      <c r="AI67" s="452">
        <v>0</v>
      </c>
      <c r="AJ67" s="452">
        <v>0</v>
      </c>
    </row>
    <row r="68" spans="1:36" ht="15.95" customHeight="1">
      <c r="A68" s="450">
        <v>140530006</v>
      </c>
      <c r="B68" s="450" t="s">
        <v>319</v>
      </c>
      <c r="C68" s="451" t="s">
        <v>71</v>
      </c>
      <c r="D68" s="451" t="s">
        <v>320</v>
      </c>
      <c r="E68" s="452">
        <v>212</v>
      </c>
      <c r="F68" s="452" t="s">
        <v>222</v>
      </c>
      <c r="G68" s="452" t="s">
        <v>222</v>
      </c>
      <c r="H68" s="452" t="s">
        <v>222</v>
      </c>
      <c r="I68" s="452" t="s">
        <v>321</v>
      </c>
      <c r="J68" s="452" t="s">
        <v>305</v>
      </c>
      <c r="K68" s="451" t="s">
        <v>460</v>
      </c>
      <c r="L68" s="452" t="s">
        <v>306</v>
      </c>
      <c r="M68" s="452" t="s">
        <v>306</v>
      </c>
      <c r="N68" s="452" t="s">
        <v>323</v>
      </c>
      <c r="O68" s="452" t="s">
        <v>307</v>
      </c>
      <c r="P68" s="450" t="s">
        <v>325</v>
      </c>
      <c r="Q68" s="452" t="s">
        <v>64</v>
      </c>
      <c r="R68" s="451" t="s">
        <v>11</v>
      </c>
      <c r="S68" s="451" t="s">
        <v>326</v>
      </c>
      <c r="T68" s="451" t="s">
        <v>326</v>
      </c>
      <c r="U68" s="451" t="s">
        <v>323</v>
      </c>
      <c r="V68" s="452" t="s">
        <v>106</v>
      </c>
      <c r="W68" s="452" t="s">
        <v>123</v>
      </c>
      <c r="X68" s="452">
        <v>0</v>
      </c>
      <c r="Y68" s="453">
        <v>1.0575675945325751</v>
      </c>
      <c r="Z68" s="452">
        <v>0</v>
      </c>
      <c r="AA68" s="452">
        <v>0</v>
      </c>
      <c r="AB68" s="452">
        <v>0</v>
      </c>
      <c r="AC68" s="452">
        <v>0</v>
      </c>
      <c r="AD68" s="452">
        <v>0</v>
      </c>
      <c r="AE68" s="452">
        <v>0</v>
      </c>
      <c r="AF68" s="452">
        <v>0</v>
      </c>
      <c r="AG68" s="452">
        <v>0</v>
      </c>
      <c r="AH68" s="452">
        <v>0</v>
      </c>
      <c r="AI68" s="452">
        <v>0</v>
      </c>
      <c r="AJ68" s="452">
        <v>0</v>
      </c>
    </row>
    <row r="69" spans="1:36" ht="15.95" customHeight="1">
      <c r="A69" s="450">
        <v>140530039</v>
      </c>
      <c r="B69" s="450" t="s">
        <v>319</v>
      </c>
      <c r="C69" s="451" t="s">
        <v>462</v>
      </c>
      <c r="D69" s="451" t="s">
        <v>320</v>
      </c>
      <c r="E69" s="452">
        <v>180</v>
      </c>
      <c r="F69" s="452" t="s">
        <v>222</v>
      </c>
      <c r="G69" s="452" t="s">
        <v>222</v>
      </c>
      <c r="H69" s="452" t="s">
        <v>222</v>
      </c>
      <c r="I69" s="452" t="s">
        <v>332</v>
      </c>
      <c r="J69" s="452" t="s">
        <v>305</v>
      </c>
      <c r="K69" s="451" t="s">
        <v>333</v>
      </c>
      <c r="L69" s="452" t="s">
        <v>334</v>
      </c>
      <c r="M69" s="452" t="s">
        <v>334</v>
      </c>
      <c r="N69" s="452" t="s">
        <v>334</v>
      </c>
      <c r="O69" s="452" t="s">
        <v>308</v>
      </c>
      <c r="P69" s="450" t="s">
        <v>325</v>
      </c>
      <c r="Q69" s="452" t="s">
        <v>64</v>
      </c>
      <c r="R69" s="451" t="s">
        <v>72</v>
      </c>
      <c r="S69" s="451" t="s">
        <v>72</v>
      </c>
      <c r="T69" s="451" t="s">
        <v>72</v>
      </c>
      <c r="U69" s="451" t="s">
        <v>222</v>
      </c>
      <c r="V69" s="452" t="s">
        <v>106</v>
      </c>
      <c r="W69" s="452" t="s">
        <v>123</v>
      </c>
      <c r="X69" s="452">
        <v>0</v>
      </c>
      <c r="Y69" s="453">
        <v>1.1274069639828395</v>
      </c>
      <c r="Z69" s="452">
        <v>0</v>
      </c>
      <c r="AA69" s="452">
        <v>0</v>
      </c>
      <c r="AB69" s="452">
        <v>0</v>
      </c>
      <c r="AC69" s="452">
        <v>7.29</v>
      </c>
      <c r="AD69" s="452" t="s">
        <v>130</v>
      </c>
      <c r="AE69" s="452" t="s">
        <v>130</v>
      </c>
      <c r="AF69" s="452">
        <v>0</v>
      </c>
      <c r="AG69" s="452">
        <v>6.93</v>
      </c>
      <c r="AH69" s="452" t="s">
        <v>131</v>
      </c>
      <c r="AI69" s="452">
        <v>0</v>
      </c>
      <c r="AJ69" s="452">
        <v>0</v>
      </c>
    </row>
    <row r="70" spans="1:36" ht="15.95" customHeight="1">
      <c r="A70" s="450">
        <v>140550019</v>
      </c>
      <c r="B70" s="450" t="s">
        <v>463</v>
      </c>
      <c r="C70" s="451" t="s">
        <v>74</v>
      </c>
      <c r="D70" s="451" t="s">
        <v>464</v>
      </c>
      <c r="E70" s="452">
        <v>196</v>
      </c>
      <c r="F70" s="452" t="s">
        <v>465</v>
      </c>
      <c r="G70" s="452" t="s">
        <v>465</v>
      </c>
      <c r="H70" s="452" t="s">
        <v>410</v>
      </c>
      <c r="I70" s="452" t="s">
        <v>305</v>
      </c>
      <c r="J70" s="452" t="s">
        <v>410</v>
      </c>
      <c r="K70" s="451" t="s">
        <v>27</v>
      </c>
      <c r="L70" s="452" t="s">
        <v>307</v>
      </c>
      <c r="M70" s="452" t="s">
        <v>307</v>
      </c>
      <c r="N70" s="452" t="s">
        <v>307</v>
      </c>
      <c r="O70" s="452" t="s">
        <v>307</v>
      </c>
      <c r="P70" s="450" t="s">
        <v>313</v>
      </c>
      <c r="Q70" s="452" t="s">
        <v>73</v>
      </c>
      <c r="R70" s="451" t="s">
        <v>49</v>
      </c>
      <c r="S70" s="451" t="s">
        <v>377</v>
      </c>
      <c r="T70" s="451" t="s">
        <v>377</v>
      </c>
      <c r="U70" s="451" t="s">
        <v>466</v>
      </c>
      <c r="V70" s="452" t="s">
        <v>105</v>
      </c>
      <c r="W70" s="452" t="s">
        <v>171</v>
      </c>
      <c r="X70" s="452">
        <v>0</v>
      </c>
      <c r="Y70" s="453">
        <v>2.6938042502244834</v>
      </c>
      <c r="Z70" s="452" t="s">
        <v>160</v>
      </c>
      <c r="AA70" s="452" t="s">
        <v>163</v>
      </c>
      <c r="AB70" s="452" t="s">
        <v>122</v>
      </c>
      <c r="AC70" s="452">
        <v>0</v>
      </c>
      <c r="AD70" s="452" t="s">
        <v>139</v>
      </c>
      <c r="AE70" s="452" t="s">
        <v>140</v>
      </c>
      <c r="AF70" s="452">
        <v>0</v>
      </c>
      <c r="AG70" s="452">
        <v>0</v>
      </c>
      <c r="AH70" s="452" t="s">
        <v>127</v>
      </c>
      <c r="AI70" s="452">
        <v>0</v>
      </c>
      <c r="AJ70" s="452">
        <v>0</v>
      </c>
    </row>
    <row r="71" spans="1:36" ht="15.95" customHeight="1">
      <c r="A71" s="450">
        <v>140550038</v>
      </c>
      <c r="B71" s="450" t="s">
        <v>467</v>
      </c>
      <c r="C71" s="451" t="s">
        <v>468</v>
      </c>
      <c r="D71" s="451" t="s">
        <v>417</v>
      </c>
      <c r="E71" s="452">
        <v>0</v>
      </c>
      <c r="F71" s="452" t="s">
        <v>222</v>
      </c>
      <c r="G71" s="452" t="s">
        <v>222</v>
      </c>
      <c r="H71" s="452" t="s">
        <v>222</v>
      </c>
      <c r="I71" s="452" t="s">
        <v>305</v>
      </c>
      <c r="J71" s="452" t="s">
        <v>323</v>
      </c>
      <c r="K71" s="451" t="s">
        <v>27</v>
      </c>
      <c r="L71" s="452" t="s">
        <v>323</v>
      </c>
      <c r="M71" s="452" t="s">
        <v>323</v>
      </c>
      <c r="N71" s="452" t="s">
        <v>323</v>
      </c>
      <c r="O71" s="452" t="s">
        <v>323</v>
      </c>
      <c r="P71" s="450" t="s">
        <v>313</v>
      </c>
      <c r="Q71" s="452" t="s">
        <v>73</v>
      </c>
      <c r="R71" s="451" t="s">
        <v>323</v>
      </c>
      <c r="S71" s="451" t="s">
        <v>323</v>
      </c>
      <c r="T71" s="451" t="s">
        <v>323</v>
      </c>
      <c r="U71" s="451" t="s">
        <v>323</v>
      </c>
      <c r="V71" s="452" t="s">
        <v>180</v>
      </c>
      <c r="W71" s="452" t="s">
        <v>180</v>
      </c>
      <c r="X71" s="452" t="s">
        <v>180</v>
      </c>
      <c r="Y71" s="453" t="s">
        <v>180</v>
      </c>
      <c r="Z71" s="452" t="s">
        <v>180</v>
      </c>
      <c r="AA71" s="452" t="s">
        <v>180</v>
      </c>
      <c r="AB71" s="452" t="s">
        <v>180</v>
      </c>
      <c r="AC71" s="452" t="s">
        <v>180</v>
      </c>
      <c r="AD71" s="452" t="s">
        <v>180</v>
      </c>
      <c r="AE71" s="452" t="s">
        <v>180</v>
      </c>
      <c r="AF71" s="452" t="s">
        <v>180</v>
      </c>
      <c r="AG71" s="452" t="s">
        <v>180</v>
      </c>
      <c r="AH71" s="452" t="s">
        <v>180</v>
      </c>
      <c r="AI71" s="452" t="s">
        <v>180</v>
      </c>
      <c r="AJ71" s="452" t="s">
        <v>180</v>
      </c>
    </row>
    <row r="72" spans="1:36" ht="15.95" customHeight="1">
      <c r="A72" s="450">
        <v>140550039</v>
      </c>
      <c r="B72" s="450" t="s">
        <v>469</v>
      </c>
      <c r="C72" s="451" t="s">
        <v>470</v>
      </c>
      <c r="D72" s="451" t="s">
        <v>417</v>
      </c>
      <c r="E72" s="452">
        <v>0</v>
      </c>
      <c r="F72" s="452" t="s">
        <v>222</v>
      </c>
      <c r="G72" s="452" t="s">
        <v>222</v>
      </c>
      <c r="H72" s="452" t="s">
        <v>222</v>
      </c>
      <c r="I72" s="452" t="s">
        <v>305</v>
      </c>
      <c r="J72" s="452" t="s">
        <v>323</v>
      </c>
      <c r="K72" s="451" t="s">
        <v>27</v>
      </c>
      <c r="L72" s="452" t="s">
        <v>323</v>
      </c>
      <c r="M72" s="452" t="s">
        <v>323</v>
      </c>
      <c r="N72" s="452" t="s">
        <v>323</v>
      </c>
      <c r="O72" s="452" t="s">
        <v>323</v>
      </c>
      <c r="P72" s="450" t="s">
        <v>381</v>
      </c>
      <c r="Q72" s="452" t="s">
        <v>73</v>
      </c>
      <c r="R72" s="451" t="s">
        <v>323</v>
      </c>
      <c r="S72" s="451" t="s">
        <v>323</v>
      </c>
      <c r="T72" s="451" t="s">
        <v>323</v>
      </c>
      <c r="U72" s="451" t="s">
        <v>323</v>
      </c>
      <c r="V72" s="452" t="s">
        <v>180</v>
      </c>
      <c r="W72" s="452" t="s">
        <v>180</v>
      </c>
      <c r="X72" s="452" t="s">
        <v>180</v>
      </c>
      <c r="Y72" s="453" t="s">
        <v>180</v>
      </c>
      <c r="Z72" s="452" t="s">
        <v>180</v>
      </c>
      <c r="AA72" s="452" t="s">
        <v>180</v>
      </c>
      <c r="AB72" s="452" t="s">
        <v>180</v>
      </c>
      <c r="AC72" s="452" t="s">
        <v>180</v>
      </c>
      <c r="AD72" s="452" t="s">
        <v>180</v>
      </c>
      <c r="AE72" s="452" t="s">
        <v>180</v>
      </c>
      <c r="AF72" s="452" t="s">
        <v>180</v>
      </c>
      <c r="AG72" s="452" t="s">
        <v>180</v>
      </c>
      <c r="AH72" s="452" t="s">
        <v>180</v>
      </c>
      <c r="AI72" s="452" t="s">
        <v>180</v>
      </c>
      <c r="AJ72" s="452" t="s">
        <v>180</v>
      </c>
    </row>
    <row r="73" spans="1:36" ht="15.95" customHeight="1">
      <c r="A73" s="450">
        <v>140550042</v>
      </c>
      <c r="B73" s="450" t="s">
        <v>471</v>
      </c>
      <c r="C73" s="451" t="s">
        <v>472</v>
      </c>
      <c r="D73" s="451" t="s">
        <v>417</v>
      </c>
      <c r="E73" s="452">
        <v>128</v>
      </c>
      <c r="F73" s="452" t="s">
        <v>304</v>
      </c>
      <c r="G73" s="452" t="s">
        <v>304</v>
      </c>
      <c r="H73" s="452" t="s">
        <v>335</v>
      </c>
      <c r="I73" s="452" t="s">
        <v>305</v>
      </c>
      <c r="J73" s="452" t="s">
        <v>335</v>
      </c>
      <c r="K73" s="451" t="s">
        <v>27</v>
      </c>
      <c r="L73" s="452" t="s">
        <v>370</v>
      </c>
      <c r="M73" s="452" t="s">
        <v>370</v>
      </c>
      <c r="N73" s="452" t="s">
        <v>307</v>
      </c>
      <c r="O73" s="452" t="s">
        <v>308</v>
      </c>
      <c r="P73" s="450" t="s">
        <v>381</v>
      </c>
      <c r="Q73" s="452" t="s">
        <v>73</v>
      </c>
      <c r="R73" s="451" t="s">
        <v>28</v>
      </c>
      <c r="S73" s="451" t="s">
        <v>473</v>
      </c>
      <c r="T73" s="451" t="s">
        <v>473</v>
      </c>
      <c r="U73" s="451" t="s">
        <v>474</v>
      </c>
      <c r="V73" s="452" t="s">
        <v>105</v>
      </c>
      <c r="W73" s="452" t="s">
        <v>123</v>
      </c>
      <c r="X73" s="452">
        <v>0</v>
      </c>
      <c r="Y73" s="453">
        <v>1.9056170807143569</v>
      </c>
      <c r="Z73" s="452">
        <v>0</v>
      </c>
      <c r="AA73" s="452">
        <v>0</v>
      </c>
      <c r="AB73" s="452">
        <v>0</v>
      </c>
      <c r="AC73" s="452">
        <v>0</v>
      </c>
      <c r="AD73" s="452">
        <v>0</v>
      </c>
      <c r="AE73" s="452">
        <v>0</v>
      </c>
      <c r="AF73" s="452">
        <v>0</v>
      </c>
      <c r="AG73" s="452">
        <v>0</v>
      </c>
      <c r="AH73" s="452">
        <v>0</v>
      </c>
      <c r="AI73" s="452">
        <v>0</v>
      </c>
      <c r="AJ73" s="452">
        <v>0</v>
      </c>
    </row>
    <row r="74" spans="1:36" ht="15.95" customHeight="1">
      <c r="A74" s="450">
        <v>140550043</v>
      </c>
      <c r="B74" s="450" t="s">
        <v>475</v>
      </c>
      <c r="C74" s="451" t="s">
        <v>476</v>
      </c>
      <c r="D74" s="451" t="s">
        <v>417</v>
      </c>
      <c r="E74" s="452">
        <v>126</v>
      </c>
      <c r="F74" s="452" t="s">
        <v>324</v>
      </c>
      <c r="G74" s="452" t="s">
        <v>324</v>
      </c>
      <c r="H74" s="452" t="s">
        <v>344</v>
      </c>
      <c r="I74" s="452" t="s">
        <v>305</v>
      </c>
      <c r="J74" s="452" t="s">
        <v>344</v>
      </c>
      <c r="K74" s="451" t="s">
        <v>27</v>
      </c>
      <c r="L74" s="452" t="s">
        <v>370</v>
      </c>
      <c r="M74" s="452" t="s">
        <v>370</v>
      </c>
      <c r="N74" s="452" t="s">
        <v>307</v>
      </c>
      <c r="O74" s="452" t="s">
        <v>308</v>
      </c>
      <c r="P74" s="450" t="s">
        <v>313</v>
      </c>
      <c r="Q74" s="452" t="s">
        <v>73</v>
      </c>
      <c r="R74" s="451" t="s">
        <v>28</v>
      </c>
      <c r="S74" s="451" t="s">
        <v>473</v>
      </c>
      <c r="T74" s="451" t="s">
        <v>473</v>
      </c>
      <c r="U74" s="451" t="s">
        <v>474</v>
      </c>
      <c r="V74" s="452" t="s">
        <v>105</v>
      </c>
      <c r="W74" s="452" t="s">
        <v>123</v>
      </c>
      <c r="X74" s="452">
        <v>0</v>
      </c>
      <c r="Y74" s="453">
        <v>1.9056170807143569</v>
      </c>
      <c r="Z74" s="452">
        <v>0</v>
      </c>
      <c r="AA74" s="452">
        <v>0</v>
      </c>
      <c r="AB74" s="452">
        <v>0</v>
      </c>
      <c r="AC74" s="452">
        <v>0</v>
      </c>
      <c r="AD74" s="452">
        <v>0</v>
      </c>
      <c r="AE74" s="452">
        <v>0</v>
      </c>
      <c r="AF74" s="452">
        <v>0</v>
      </c>
      <c r="AG74" s="452">
        <v>0</v>
      </c>
      <c r="AH74" s="452">
        <v>0</v>
      </c>
      <c r="AI74" s="452">
        <v>0</v>
      </c>
      <c r="AJ74" s="452">
        <v>0</v>
      </c>
    </row>
    <row r="75" spans="1:36" ht="15.95" customHeight="1">
      <c r="A75" s="450">
        <v>140550049</v>
      </c>
      <c r="B75" s="450" t="s">
        <v>471</v>
      </c>
      <c r="C75" s="451" t="s">
        <v>472</v>
      </c>
      <c r="D75" s="451" t="s">
        <v>417</v>
      </c>
      <c r="E75" s="452">
        <v>126</v>
      </c>
      <c r="F75" s="452" t="s">
        <v>324</v>
      </c>
      <c r="G75" s="452" t="s">
        <v>324</v>
      </c>
      <c r="H75" s="452" t="s">
        <v>344</v>
      </c>
      <c r="I75" s="452" t="s">
        <v>305</v>
      </c>
      <c r="J75" s="452" t="s">
        <v>344</v>
      </c>
      <c r="K75" s="451" t="s">
        <v>27</v>
      </c>
      <c r="L75" s="452" t="s">
        <v>370</v>
      </c>
      <c r="M75" s="452" t="s">
        <v>370</v>
      </c>
      <c r="N75" s="452" t="s">
        <v>307</v>
      </c>
      <c r="O75" s="452" t="s">
        <v>308</v>
      </c>
      <c r="P75" s="450" t="s">
        <v>381</v>
      </c>
      <c r="Q75" s="452" t="s">
        <v>73</v>
      </c>
      <c r="R75" s="451" t="s">
        <v>28</v>
      </c>
      <c r="S75" s="451" t="s">
        <v>473</v>
      </c>
      <c r="T75" s="451" t="s">
        <v>473</v>
      </c>
      <c r="U75" s="451" t="s">
        <v>474</v>
      </c>
      <c r="V75" s="452" t="s">
        <v>105</v>
      </c>
      <c r="W75" s="452" t="s">
        <v>123</v>
      </c>
      <c r="X75" s="452">
        <v>0</v>
      </c>
      <c r="Y75" s="453">
        <v>1.9056170807143569</v>
      </c>
      <c r="Z75" s="452">
        <v>0</v>
      </c>
      <c r="AA75" s="452">
        <v>0</v>
      </c>
      <c r="AB75" s="452">
        <v>0</v>
      </c>
      <c r="AC75" s="452">
        <v>0</v>
      </c>
      <c r="AD75" s="452">
        <v>0</v>
      </c>
      <c r="AE75" s="452">
        <v>0</v>
      </c>
      <c r="AF75" s="452">
        <v>0</v>
      </c>
      <c r="AG75" s="452">
        <v>0</v>
      </c>
      <c r="AH75" s="452">
        <v>0</v>
      </c>
      <c r="AI75" s="452">
        <v>0</v>
      </c>
      <c r="AJ75" s="452">
        <v>0</v>
      </c>
    </row>
    <row r="76" spans="1:36" ht="15.95" customHeight="1">
      <c r="A76" s="450">
        <v>140550060</v>
      </c>
      <c r="B76" s="450" t="s">
        <v>477</v>
      </c>
      <c r="C76" s="451" t="s">
        <v>478</v>
      </c>
      <c r="D76" s="451" t="s">
        <v>479</v>
      </c>
      <c r="E76" s="452">
        <v>161</v>
      </c>
      <c r="F76" s="452" t="s">
        <v>222</v>
      </c>
      <c r="G76" s="452" t="s">
        <v>222</v>
      </c>
      <c r="H76" s="452" t="s">
        <v>222</v>
      </c>
      <c r="I76" s="452" t="s">
        <v>321</v>
      </c>
      <c r="J76" s="452" t="s">
        <v>332</v>
      </c>
      <c r="K76" s="451" t="s">
        <v>480</v>
      </c>
      <c r="L76" s="452" t="s">
        <v>334</v>
      </c>
      <c r="M76" s="452" t="s">
        <v>334</v>
      </c>
      <c r="N76" s="452" t="s">
        <v>222</v>
      </c>
      <c r="O76" s="452" t="s">
        <v>308</v>
      </c>
      <c r="P76" s="450" t="s">
        <v>325</v>
      </c>
      <c r="Q76" s="452" t="s">
        <v>73</v>
      </c>
      <c r="R76" s="451" t="s">
        <v>323</v>
      </c>
      <c r="S76" s="451" t="s">
        <v>481</v>
      </c>
      <c r="T76" s="451" t="s">
        <v>482</v>
      </c>
      <c r="U76" s="451" t="s">
        <v>323</v>
      </c>
      <c r="V76" s="452" t="s">
        <v>106</v>
      </c>
      <c r="W76" s="452" t="s">
        <v>172</v>
      </c>
      <c r="X76" s="452">
        <v>0</v>
      </c>
      <c r="Y76" s="453">
        <v>1.1972463334331038</v>
      </c>
      <c r="Z76" s="452" t="s">
        <v>159</v>
      </c>
      <c r="AA76" s="452" t="s">
        <v>122</v>
      </c>
      <c r="AB76" s="452" t="s">
        <v>122</v>
      </c>
      <c r="AC76" s="452">
        <v>0</v>
      </c>
      <c r="AD76" s="452" t="s">
        <v>145</v>
      </c>
      <c r="AE76" s="452">
        <v>0</v>
      </c>
      <c r="AF76" s="452">
        <v>0</v>
      </c>
      <c r="AG76" s="452">
        <v>0</v>
      </c>
      <c r="AH76" s="452" t="s">
        <v>156</v>
      </c>
      <c r="AI76" s="452">
        <v>0</v>
      </c>
      <c r="AJ76" s="452">
        <v>0</v>
      </c>
    </row>
    <row r="77" spans="1:36" ht="15.95" customHeight="1">
      <c r="A77" s="450">
        <v>140550062</v>
      </c>
      <c r="B77" s="450" t="s">
        <v>483</v>
      </c>
      <c r="C77" s="451" t="s">
        <v>484</v>
      </c>
      <c r="D77" s="451" t="s">
        <v>479</v>
      </c>
      <c r="E77" s="452">
        <v>190</v>
      </c>
      <c r="F77" s="452" t="s">
        <v>222</v>
      </c>
      <c r="G77" s="452" t="s">
        <v>222</v>
      </c>
      <c r="H77" s="452" t="s">
        <v>222</v>
      </c>
      <c r="I77" s="452" t="s">
        <v>321</v>
      </c>
      <c r="J77" s="452" t="s">
        <v>321</v>
      </c>
      <c r="K77" s="451" t="s">
        <v>485</v>
      </c>
      <c r="L77" s="452" t="s">
        <v>306</v>
      </c>
      <c r="M77" s="452" t="s">
        <v>306</v>
      </c>
      <c r="N77" s="452" t="s">
        <v>222</v>
      </c>
      <c r="O77" s="452" t="s">
        <v>308</v>
      </c>
      <c r="P77" s="450" t="s">
        <v>325</v>
      </c>
      <c r="Q77" s="452" t="s">
        <v>73</v>
      </c>
      <c r="R77" s="451" t="s">
        <v>323</v>
      </c>
      <c r="S77" s="451" t="s">
        <v>326</v>
      </c>
      <c r="T77" s="451" t="s">
        <v>326</v>
      </c>
      <c r="U77" s="451" t="s">
        <v>323</v>
      </c>
      <c r="V77" s="452" t="s">
        <v>106</v>
      </c>
      <c r="W77" s="452" t="s">
        <v>172</v>
      </c>
      <c r="X77" s="452">
        <v>0</v>
      </c>
      <c r="Y77" s="453">
        <v>1.5763743390202534</v>
      </c>
      <c r="Z77" s="452" t="s">
        <v>113</v>
      </c>
      <c r="AA77" s="452" t="s">
        <v>122</v>
      </c>
      <c r="AB77" s="452" t="s">
        <v>122</v>
      </c>
      <c r="AC77" s="452">
        <v>0</v>
      </c>
      <c r="AD77" s="452">
        <v>0</v>
      </c>
      <c r="AE77" s="452">
        <v>0</v>
      </c>
      <c r="AF77" s="452">
        <v>0</v>
      </c>
      <c r="AG77" s="452">
        <v>0</v>
      </c>
      <c r="AH77" s="452">
        <v>0</v>
      </c>
      <c r="AI77" s="452">
        <v>0</v>
      </c>
      <c r="AJ77" s="452">
        <v>0</v>
      </c>
    </row>
    <row r="78" spans="1:36" ht="15.95" customHeight="1">
      <c r="A78" s="450">
        <v>140550063</v>
      </c>
      <c r="B78" s="450" t="s">
        <v>483</v>
      </c>
      <c r="C78" s="451" t="s">
        <v>486</v>
      </c>
      <c r="D78" s="451" t="s">
        <v>479</v>
      </c>
      <c r="E78" s="452">
        <v>229</v>
      </c>
      <c r="F78" s="452" t="s">
        <v>222</v>
      </c>
      <c r="G78" s="452" t="s">
        <v>222</v>
      </c>
      <c r="H78" s="452" t="s">
        <v>222</v>
      </c>
      <c r="I78" s="452" t="s">
        <v>321</v>
      </c>
      <c r="J78" s="452" t="s">
        <v>305</v>
      </c>
      <c r="K78" s="451" t="s">
        <v>485</v>
      </c>
      <c r="L78" s="452" t="s">
        <v>306</v>
      </c>
      <c r="M78" s="452" t="s">
        <v>306</v>
      </c>
      <c r="N78" s="452" t="s">
        <v>222</v>
      </c>
      <c r="O78" s="452" t="s">
        <v>308</v>
      </c>
      <c r="P78" s="450" t="s">
        <v>325</v>
      </c>
      <c r="Q78" s="452" t="s">
        <v>73</v>
      </c>
      <c r="R78" s="451" t="s">
        <v>323</v>
      </c>
      <c r="S78" s="451" t="s">
        <v>326</v>
      </c>
      <c r="T78" s="451" t="s">
        <v>326</v>
      </c>
      <c r="U78" s="451" t="s">
        <v>323</v>
      </c>
      <c r="V78" s="452" t="s">
        <v>106</v>
      </c>
      <c r="W78" s="452" t="s">
        <v>123</v>
      </c>
      <c r="X78" s="452">
        <v>0</v>
      </c>
      <c r="Y78" s="453">
        <v>1.5763743390202534</v>
      </c>
      <c r="Z78" s="452" t="s">
        <v>113</v>
      </c>
      <c r="AA78" s="452" t="s">
        <v>122</v>
      </c>
      <c r="AB78" s="452" t="s">
        <v>122</v>
      </c>
      <c r="AC78" s="452">
        <v>0</v>
      </c>
      <c r="AD78" s="452" t="s">
        <v>157</v>
      </c>
      <c r="AE78" s="452">
        <v>0</v>
      </c>
      <c r="AF78" s="452">
        <v>0</v>
      </c>
      <c r="AG78" s="452">
        <v>0</v>
      </c>
      <c r="AH78" s="452">
        <v>0</v>
      </c>
      <c r="AI78" s="452">
        <v>0</v>
      </c>
      <c r="AJ78" s="452">
        <v>0</v>
      </c>
    </row>
    <row r="79" spans="1:36" ht="15.95" customHeight="1">
      <c r="A79" s="450">
        <v>140550064</v>
      </c>
      <c r="B79" s="450" t="s">
        <v>363</v>
      </c>
      <c r="C79" s="451" t="s">
        <v>487</v>
      </c>
      <c r="D79" s="451" t="s">
        <v>364</v>
      </c>
      <c r="E79" s="452">
        <v>172</v>
      </c>
      <c r="F79" s="452" t="s">
        <v>436</v>
      </c>
      <c r="G79" s="452" t="s">
        <v>436</v>
      </c>
      <c r="H79" s="452" t="s">
        <v>488</v>
      </c>
      <c r="I79" s="452" t="s">
        <v>305</v>
      </c>
      <c r="J79" s="452" t="s">
        <v>488</v>
      </c>
      <c r="K79" s="451" t="s">
        <v>27</v>
      </c>
      <c r="L79" s="452" t="s">
        <v>335</v>
      </c>
      <c r="M79" s="452" t="s">
        <v>335</v>
      </c>
      <c r="N79" s="452" t="s">
        <v>335</v>
      </c>
      <c r="O79" s="452" t="s">
        <v>308</v>
      </c>
      <c r="P79" s="450" t="s">
        <v>313</v>
      </c>
      <c r="Q79" s="452" t="s">
        <v>73</v>
      </c>
      <c r="R79" s="451" t="s">
        <v>323</v>
      </c>
      <c r="S79" s="451" t="s">
        <v>323</v>
      </c>
      <c r="T79" s="451" t="s">
        <v>323</v>
      </c>
      <c r="U79" s="451" t="s">
        <v>323</v>
      </c>
      <c r="V79" s="452" t="s">
        <v>180</v>
      </c>
      <c r="W79" s="452" t="s">
        <v>180</v>
      </c>
      <c r="X79" s="452" t="s">
        <v>180</v>
      </c>
      <c r="Y79" s="453" t="s">
        <v>180</v>
      </c>
      <c r="Z79" s="452" t="s">
        <v>180</v>
      </c>
      <c r="AA79" s="452" t="s">
        <v>180</v>
      </c>
      <c r="AB79" s="452" t="s">
        <v>180</v>
      </c>
      <c r="AC79" s="452" t="s">
        <v>180</v>
      </c>
      <c r="AD79" s="452" t="s">
        <v>180</v>
      </c>
      <c r="AE79" s="452" t="s">
        <v>180</v>
      </c>
      <c r="AF79" s="452" t="s">
        <v>180</v>
      </c>
      <c r="AG79" s="452" t="s">
        <v>180</v>
      </c>
      <c r="AH79" s="452" t="s">
        <v>180</v>
      </c>
      <c r="AI79" s="452" t="s">
        <v>180</v>
      </c>
      <c r="AJ79" s="452" t="s">
        <v>180</v>
      </c>
    </row>
    <row r="80" spans="1:36" ht="15.95" customHeight="1">
      <c r="A80" s="450">
        <v>140550079</v>
      </c>
      <c r="B80" s="450" t="s">
        <v>483</v>
      </c>
      <c r="C80" s="451" t="s">
        <v>489</v>
      </c>
      <c r="D80" s="451" t="s">
        <v>479</v>
      </c>
      <c r="E80" s="452">
        <v>259</v>
      </c>
      <c r="F80" s="452" t="s">
        <v>222</v>
      </c>
      <c r="G80" s="452" t="s">
        <v>222</v>
      </c>
      <c r="H80" s="452" t="s">
        <v>222</v>
      </c>
      <c r="I80" s="452" t="s">
        <v>321</v>
      </c>
      <c r="J80" s="452" t="s">
        <v>321</v>
      </c>
      <c r="K80" s="451" t="s">
        <v>485</v>
      </c>
      <c r="L80" s="452" t="s">
        <v>306</v>
      </c>
      <c r="M80" s="452" t="s">
        <v>306</v>
      </c>
      <c r="N80" s="452" t="s">
        <v>222</v>
      </c>
      <c r="O80" s="452" t="s">
        <v>308</v>
      </c>
      <c r="P80" s="450" t="s">
        <v>325</v>
      </c>
      <c r="Q80" s="452" t="s">
        <v>73</v>
      </c>
      <c r="R80" s="451" t="s">
        <v>323</v>
      </c>
      <c r="S80" s="451" t="s">
        <v>326</v>
      </c>
      <c r="T80" s="451" t="s">
        <v>326</v>
      </c>
      <c r="U80" s="451" t="s">
        <v>323</v>
      </c>
      <c r="V80" s="452" t="s">
        <v>180</v>
      </c>
      <c r="W80" s="452" t="s">
        <v>180</v>
      </c>
      <c r="X80" s="452" t="s">
        <v>180</v>
      </c>
      <c r="Y80" s="453" t="s">
        <v>180</v>
      </c>
      <c r="Z80" s="452" t="s">
        <v>180</v>
      </c>
      <c r="AA80" s="452" t="s">
        <v>180</v>
      </c>
      <c r="AB80" s="452" t="s">
        <v>180</v>
      </c>
      <c r="AC80" s="452" t="s">
        <v>180</v>
      </c>
      <c r="AD80" s="452" t="s">
        <v>180</v>
      </c>
      <c r="AE80" s="452" t="s">
        <v>180</v>
      </c>
      <c r="AF80" s="452" t="s">
        <v>180</v>
      </c>
      <c r="AG80" s="452" t="s">
        <v>180</v>
      </c>
      <c r="AH80" s="452" t="s">
        <v>180</v>
      </c>
      <c r="AI80" s="452" t="s">
        <v>180</v>
      </c>
      <c r="AJ80" s="452" t="s">
        <v>180</v>
      </c>
    </row>
    <row r="81" spans="1:36" ht="15.95" customHeight="1">
      <c r="A81" s="450">
        <v>140590009</v>
      </c>
      <c r="B81" s="450" t="s">
        <v>301</v>
      </c>
      <c r="C81" s="451" t="s">
        <v>490</v>
      </c>
      <c r="D81" s="451" t="s">
        <v>303</v>
      </c>
      <c r="E81" s="452">
        <v>199</v>
      </c>
      <c r="F81" s="452" t="s">
        <v>308</v>
      </c>
      <c r="G81" s="452" t="s">
        <v>308</v>
      </c>
      <c r="H81" s="452" t="s">
        <v>308</v>
      </c>
      <c r="I81" s="452" t="s">
        <v>305</v>
      </c>
      <c r="J81" s="452" t="s">
        <v>308</v>
      </c>
      <c r="K81" s="451" t="s">
        <v>91</v>
      </c>
      <c r="L81" s="452" t="s">
        <v>306</v>
      </c>
      <c r="M81" s="452" t="s">
        <v>306</v>
      </c>
      <c r="N81" s="452" t="s">
        <v>307</v>
      </c>
      <c r="O81" s="452" t="s">
        <v>308</v>
      </c>
      <c r="P81" s="450" t="s">
        <v>309</v>
      </c>
      <c r="Q81" s="452" t="s">
        <v>75</v>
      </c>
      <c r="R81" s="451" t="s">
        <v>323</v>
      </c>
      <c r="S81" s="451" t="s">
        <v>113</v>
      </c>
      <c r="T81" s="451" t="s">
        <v>113</v>
      </c>
      <c r="U81" s="451" t="s">
        <v>310</v>
      </c>
      <c r="V81" s="452" t="s">
        <v>105</v>
      </c>
      <c r="W81" s="452" t="s">
        <v>123</v>
      </c>
      <c r="X81" s="452">
        <v>0</v>
      </c>
      <c r="Y81" s="453">
        <v>1.0775217000897934</v>
      </c>
      <c r="Z81" s="452">
        <v>0</v>
      </c>
      <c r="AA81" s="452">
        <v>0</v>
      </c>
      <c r="AB81" s="452">
        <v>0</v>
      </c>
      <c r="AC81" s="452">
        <v>0</v>
      </c>
      <c r="AD81" s="452">
        <v>0</v>
      </c>
      <c r="AE81" s="452">
        <v>0</v>
      </c>
      <c r="AF81" s="452">
        <v>0</v>
      </c>
      <c r="AG81" s="452">
        <v>0</v>
      </c>
      <c r="AH81" s="452">
        <v>0</v>
      </c>
      <c r="AI81" s="452">
        <v>0</v>
      </c>
      <c r="AJ81" s="452">
        <v>0</v>
      </c>
    </row>
    <row r="82" spans="1:36" ht="15.95" customHeight="1">
      <c r="A82" s="450">
        <v>140640007</v>
      </c>
      <c r="B82" s="450" t="s">
        <v>391</v>
      </c>
      <c r="C82" s="451" t="s">
        <v>77</v>
      </c>
      <c r="D82" s="451" t="s">
        <v>392</v>
      </c>
      <c r="E82" s="452">
        <v>248</v>
      </c>
      <c r="F82" s="452" t="s">
        <v>491</v>
      </c>
      <c r="G82" s="452" t="s">
        <v>491</v>
      </c>
      <c r="H82" s="452" t="s">
        <v>492</v>
      </c>
      <c r="I82" s="452" t="s">
        <v>305</v>
      </c>
      <c r="J82" s="452" t="s">
        <v>492</v>
      </c>
      <c r="K82" s="451" t="s">
        <v>27</v>
      </c>
      <c r="L82" s="452" t="s">
        <v>337</v>
      </c>
      <c r="M82" s="452" t="s">
        <v>337</v>
      </c>
      <c r="N82" s="452" t="s">
        <v>307</v>
      </c>
      <c r="O82" s="452" t="s">
        <v>307</v>
      </c>
      <c r="P82" s="450" t="s">
        <v>309</v>
      </c>
      <c r="Q82" s="452" t="s">
        <v>76</v>
      </c>
      <c r="R82" s="451" t="s">
        <v>493</v>
      </c>
      <c r="S82" s="451" t="s">
        <v>339</v>
      </c>
      <c r="T82" s="451" t="s">
        <v>339</v>
      </c>
      <c r="U82" s="451" t="s">
        <v>375</v>
      </c>
      <c r="V82" s="452" t="s">
        <v>105</v>
      </c>
      <c r="W82" s="452" t="s">
        <v>123</v>
      </c>
      <c r="X82" s="452">
        <v>0</v>
      </c>
      <c r="Y82" s="453">
        <v>1.1413748378728923</v>
      </c>
      <c r="Z82" s="452" t="s">
        <v>111</v>
      </c>
      <c r="AA82" s="452" t="s">
        <v>167</v>
      </c>
      <c r="AB82" s="452">
        <v>0</v>
      </c>
      <c r="AC82" s="452">
        <v>0</v>
      </c>
      <c r="AD82" s="452">
        <v>0</v>
      </c>
      <c r="AE82" s="452">
        <v>0</v>
      </c>
      <c r="AF82" s="452">
        <v>0</v>
      </c>
      <c r="AG82" s="452">
        <v>0</v>
      </c>
      <c r="AH82" s="452">
        <v>0</v>
      </c>
      <c r="AI82" s="452">
        <v>0</v>
      </c>
      <c r="AJ82" s="452">
        <v>0</v>
      </c>
    </row>
    <row r="83" spans="1:36" ht="15.95" customHeight="1">
      <c r="A83" s="450">
        <v>140640026</v>
      </c>
      <c r="B83" s="450" t="s">
        <v>494</v>
      </c>
      <c r="C83" s="451" t="s">
        <v>495</v>
      </c>
      <c r="D83" s="451" t="s">
        <v>496</v>
      </c>
      <c r="E83" s="452">
        <v>188</v>
      </c>
      <c r="F83" s="452" t="s">
        <v>328</v>
      </c>
      <c r="G83" s="452" t="s">
        <v>328</v>
      </c>
      <c r="H83" s="452" t="s">
        <v>492</v>
      </c>
      <c r="I83" s="452" t="s">
        <v>305</v>
      </c>
      <c r="J83" s="452" t="s">
        <v>492</v>
      </c>
      <c r="K83" s="451" t="s">
        <v>27</v>
      </c>
      <c r="L83" s="452" t="s">
        <v>307</v>
      </c>
      <c r="M83" s="452" t="s">
        <v>307</v>
      </c>
      <c r="N83" s="452" t="s">
        <v>307</v>
      </c>
      <c r="O83" s="452" t="s">
        <v>307</v>
      </c>
      <c r="P83" s="450" t="s">
        <v>381</v>
      </c>
      <c r="Q83" s="452" t="s">
        <v>497</v>
      </c>
      <c r="R83" s="451" t="s">
        <v>43</v>
      </c>
      <c r="S83" s="451" t="s">
        <v>339</v>
      </c>
      <c r="T83" s="451" t="s">
        <v>339</v>
      </c>
      <c r="U83" s="451" t="s">
        <v>375</v>
      </c>
      <c r="V83" s="452" t="s">
        <v>180</v>
      </c>
      <c r="W83" s="452" t="s">
        <v>180</v>
      </c>
      <c r="X83" s="452" t="s">
        <v>180</v>
      </c>
      <c r="Y83" s="453" t="s">
        <v>180</v>
      </c>
      <c r="Z83" s="452" t="s">
        <v>180</v>
      </c>
      <c r="AA83" s="452" t="s">
        <v>180</v>
      </c>
      <c r="AB83" s="452" t="s">
        <v>180</v>
      </c>
      <c r="AC83" s="452" t="s">
        <v>180</v>
      </c>
      <c r="AD83" s="452" t="s">
        <v>180</v>
      </c>
      <c r="AE83" s="452" t="s">
        <v>180</v>
      </c>
      <c r="AF83" s="452" t="s">
        <v>180</v>
      </c>
      <c r="AG83" s="452" t="s">
        <v>180</v>
      </c>
      <c r="AH83" s="452" t="s">
        <v>180</v>
      </c>
      <c r="AI83" s="452" t="s">
        <v>180</v>
      </c>
      <c r="AJ83" s="452" t="s">
        <v>180</v>
      </c>
    </row>
    <row r="84" spans="1:36" ht="15.95" customHeight="1">
      <c r="A84" s="450">
        <v>140640035</v>
      </c>
      <c r="B84" s="450" t="s">
        <v>391</v>
      </c>
      <c r="C84" s="451" t="s">
        <v>498</v>
      </c>
      <c r="D84" s="451" t="s">
        <v>392</v>
      </c>
      <c r="E84" s="452">
        <v>248</v>
      </c>
      <c r="F84" s="452" t="s">
        <v>308</v>
      </c>
      <c r="G84" s="452" t="s">
        <v>308</v>
      </c>
      <c r="H84" s="452" t="s">
        <v>499</v>
      </c>
      <c r="I84" s="452" t="s">
        <v>305</v>
      </c>
      <c r="J84" s="452" t="s">
        <v>499</v>
      </c>
      <c r="K84" s="451" t="s">
        <v>27</v>
      </c>
      <c r="L84" s="452" t="s">
        <v>337</v>
      </c>
      <c r="M84" s="452" t="s">
        <v>337</v>
      </c>
      <c r="N84" s="452" t="s">
        <v>307</v>
      </c>
      <c r="O84" s="452" t="s">
        <v>308</v>
      </c>
      <c r="P84" s="450" t="s">
        <v>309</v>
      </c>
      <c r="Q84" s="452" t="s">
        <v>76</v>
      </c>
      <c r="R84" s="451" t="s">
        <v>493</v>
      </c>
      <c r="S84" s="451" t="s">
        <v>339</v>
      </c>
      <c r="T84" s="451" t="s">
        <v>339</v>
      </c>
      <c r="U84" s="451" t="s">
        <v>375</v>
      </c>
      <c r="V84" s="452" t="s">
        <v>105</v>
      </c>
      <c r="W84" s="452" t="s">
        <v>123</v>
      </c>
      <c r="X84" s="452">
        <v>0</v>
      </c>
      <c r="Y84" s="453">
        <v>1.9654793973860121</v>
      </c>
      <c r="Z84" s="452" t="s">
        <v>111</v>
      </c>
      <c r="AA84" s="452" t="s">
        <v>167</v>
      </c>
      <c r="AB84" s="452" t="s">
        <v>122</v>
      </c>
      <c r="AC84" s="452">
        <v>0</v>
      </c>
      <c r="AD84" s="452">
        <v>0</v>
      </c>
      <c r="AE84" s="452">
        <v>0</v>
      </c>
      <c r="AF84" s="452">
        <v>0</v>
      </c>
      <c r="AG84" s="452">
        <v>0</v>
      </c>
      <c r="AH84" s="452">
        <v>0</v>
      </c>
      <c r="AI84" s="452">
        <v>0</v>
      </c>
      <c r="AJ84" s="452">
        <v>0</v>
      </c>
    </row>
    <row r="85" spans="1:36" ht="15.95" customHeight="1">
      <c r="A85" s="450">
        <v>140670001</v>
      </c>
      <c r="B85" s="450" t="s">
        <v>500</v>
      </c>
      <c r="C85" s="451" t="s">
        <v>79</v>
      </c>
      <c r="D85" s="451" t="s">
        <v>386</v>
      </c>
      <c r="E85" s="452">
        <v>110</v>
      </c>
      <c r="F85" s="452" t="s">
        <v>222</v>
      </c>
      <c r="G85" s="452" t="s">
        <v>222</v>
      </c>
      <c r="H85" s="452" t="s">
        <v>222</v>
      </c>
      <c r="I85" s="452" t="s">
        <v>305</v>
      </c>
      <c r="J85" s="452" t="s">
        <v>334</v>
      </c>
      <c r="K85" s="451" t="s">
        <v>27</v>
      </c>
      <c r="L85" s="452" t="s">
        <v>307</v>
      </c>
      <c r="M85" s="452" t="s">
        <v>307</v>
      </c>
      <c r="N85" s="452" t="s">
        <v>307</v>
      </c>
      <c r="O85" s="452" t="s">
        <v>307</v>
      </c>
      <c r="P85" s="450" t="s">
        <v>309</v>
      </c>
      <c r="Q85" s="452" t="s">
        <v>85</v>
      </c>
      <c r="R85" s="451" t="s">
        <v>18</v>
      </c>
      <c r="S85" s="451" t="s">
        <v>310</v>
      </c>
      <c r="T85" s="451" t="s">
        <v>310</v>
      </c>
      <c r="U85" s="451" t="s">
        <v>310</v>
      </c>
      <c r="V85" s="452" t="s">
        <v>105</v>
      </c>
      <c r="W85" s="452" t="s">
        <v>123</v>
      </c>
      <c r="X85" s="452">
        <v>0</v>
      </c>
      <c r="Y85" s="453">
        <v>1.0615584156440188</v>
      </c>
      <c r="Z85" s="452">
        <v>0</v>
      </c>
      <c r="AA85" s="452">
        <v>0</v>
      </c>
      <c r="AB85" s="452">
        <v>0</v>
      </c>
      <c r="AC85" s="452">
        <v>0</v>
      </c>
      <c r="AD85" s="452">
        <v>0</v>
      </c>
      <c r="AE85" s="452">
        <v>0</v>
      </c>
      <c r="AF85" s="452">
        <v>0</v>
      </c>
      <c r="AG85" s="452">
        <v>0</v>
      </c>
      <c r="AH85" s="452">
        <v>0</v>
      </c>
      <c r="AI85" s="452">
        <v>0</v>
      </c>
      <c r="AJ85" s="452">
        <v>0</v>
      </c>
    </row>
    <row r="86" spans="1:36" ht="15.95" customHeight="1">
      <c r="A86" s="450">
        <v>140670004</v>
      </c>
      <c r="B86" s="450" t="s">
        <v>391</v>
      </c>
      <c r="C86" s="451" t="s">
        <v>80</v>
      </c>
      <c r="D86" s="451" t="s">
        <v>392</v>
      </c>
      <c r="E86" s="452">
        <v>180</v>
      </c>
      <c r="F86" s="452" t="s">
        <v>222</v>
      </c>
      <c r="G86" s="452" t="s">
        <v>222</v>
      </c>
      <c r="H86" s="452" t="s">
        <v>222</v>
      </c>
      <c r="I86" s="452" t="s">
        <v>370</v>
      </c>
      <c r="J86" s="452" t="s">
        <v>458</v>
      </c>
      <c r="K86" s="451" t="s">
        <v>18</v>
      </c>
      <c r="L86" s="452" t="s">
        <v>306</v>
      </c>
      <c r="M86" s="452" t="s">
        <v>306</v>
      </c>
      <c r="N86" s="452" t="s">
        <v>307</v>
      </c>
      <c r="O86" s="452" t="s">
        <v>304</v>
      </c>
      <c r="P86" s="450" t="s">
        <v>309</v>
      </c>
      <c r="Q86" s="452" t="s">
        <v>78</v>
      </c>
      <c r="R86" s="451" t="s">
        <v>18</v>
      </c>
      <c r="S86" s="451" t="s">
        <v>323</v>
      </c>
      <c r="T86" s="451" t="s">
        <v>323</v>
      </c>
      <c r="U86" s="451" t="s">
        <v>310</v>
      </c>
      <c r="V86" s="452" t="s">
        <v>105</v>
      </c>
      <c r="W86" s="452" t="s">
        <v>123</v>
      </c>
      <c r="X86" s="452">
        <v>0</v>
      </c>
      <c r="Y86" s="453">
        <v>0.42442901925660548</v>
      </c>
      <c r="Z86" s="452">
        <v>0</v>
      </c>
      <c r="AA86" s="452">
        <v>0</v>
      </c>
      <c r="AB86" s="452">
        <v>0</v>
      </c>
      <c r="AC86" s="452">
        <v>0</v>
      </c>
      <c r="AD86" s="452">
        <v>0</v>
      </c>
      <c r="AE86" s="452">
        <v>0</v>
      </c>
      <c r="AF86" s="452">
        <v>0</v>
      </c>
      <c r="AG86" s="452">
        <v>0</v>
      </c>
      <c r="AH86" s="452">
        <v>0</v>
      </c>
      <c r="AI86" s="452">
        <v>0</v>
      </c>
      <c r="AJ86" s="452">
        <v>0</v>
      </c>
    </row>
    <row r="87" spans="1:36" ht="15.95" customHeight="1">
      <c r="A87" s="450">
        <v>140670007</v>
      </c>
      <c r="B87" s="450" t="s">
        <v>391</v>
      </c>
      <c r="C87" s="451" t="s">
        <v>79</v>
      </c>
      <c r="D87" s="451" t="s">
        <v>392</v>
      </c>
      <c r="E87" s="452">
        <v>110</v>
      </c>
      <c r="F87" s="452" t="s">
        <v>222</v>
      </c>
      <c r="G87" s="452" t="s">
        <v>222</v>
      </c>
      <c r="H87" s="452" t="s">
        <v>222</v>
      </c>
      <c r="I87" s="452" t="s">
        <v>305</v>
      </c>
      <c r="J87" s="452" t="s">
        <v>334</v>
      </c>
      <c r="K87" s="451" t="s">
        <v>27</v>
      </c>
      <c r="L87" s="452" t="s">
        <v>307</v>
      </c>
      <c r="M87" s="452" t="s">
        <v>307</v>
      </c>
      <c r="N87" s="452" t="s">
        <v>307</v>
      </c>
      <c r="O87" s="452" t="s">
        <v>307</v>
      </c>
      <c r="P87" s="450" t="s">
        <v>309</v>
      </c>
      <c r="Q87" s="452" t="s">
        <v>78</v>
      </c>
      <c r="R87" s="451" t="s">
        <v>18</v>
      </c>
      <c r="S87" s="451" t="s">
        <v>310</v>
      </c>
      <c r="T87" s="451" t="s">
        <v>310</v>
      </c>
      <c r="U87" s="451" t="s">
        <v>310</v>
      </c>
      <c r="V87" s="452" t="s">
        <v>105</v>
      </c>
      <c r="W87" s="452" t="s">
        <v>123</v>
      </c>
      <c r="X87" s="452">
        <v>0</v>
      </c>
      <c r="Y87" s="453">
        <v>1.0615584156440188</v>
      </c>
      <c r="Z87" s="452">
        <v>0</v>
      </c>
      <c r="AA87" s="452">
        <v>0</v>
      </c>
      <c r="AB87" s="452">
        <v>0</v>
      </c>
      <c r="AC87" s="452">
        <v>0</v>
      </c>
      <c r="AD87" s="452">
        <v>0</v>
      </c>
      <c r="AE87" s="452">
        <v>0</v>
      </c>
      <c r="AF87" s="452">
        <v>0</v>
      </c>
      <c r="AG87" s="452">
        <v>0</v>
      </c>
      <c r="AH87" s="452">
        <v>0</v>
      </c>
      <c r="AI87" s="452">
        <v>0</v>
      </c>
      <c r="AJ87" s="452">
        <v>0</v>
      </c>
    </row>
    <row r="88" spans="1:36" ht="15.95" customHeight="1">
      <c r="A88" s="450">
        <v>140680007</v>
      </c>
      <c r="B88" s="450" t="s">
        <v>311</v>
      </c>
      <c r="C88" s="451" t="s">
        <v>82</v>
      </c>
      <c r="D88" s="451" t="s">
        <v>312</v>
      </c>
      <c r="E88" s="452">
        <v>225</v>
      </c>
      <c r="F88" s="452" t="s">
        <v>304</v>
      </c>
      <c r="G88" s="452" t="s">
        <v>304</v>
      </c>
      <c r="H88" s="452" t="s">
        <v>335</v>
      </c>
      <c r="I88" s="452" t="s">
        <v>305</v>
      </c>
      <c r="J88" s="452" t="s">
        <v>335</v>
      </c>
      <c r="K88" s="451" t="s">
        <v>3</v>
      </c>
      <c r="L88" s="452" t="s">
        <v>307</v>
      </c>
      <c r="M88" s="452" t="s">
        <v>307</v>
      </c>
      <c r="N88" s="452" t="s">
        <v>307</v>
      </c>
      <c r="O88" s="452" t="s">
        <v>307</v>
      </c>
      <c r="P88" s="450" t="s">
        <v>309</v>
      </c>
      <c r="Q88" s="452" t="s">
        <v>81</v>
      </c>
      <c r="R88" s="451" t="s">
        <v>2</v>
      </c>
      <c r="S88" s="451" t="s">
        <v>314</v>
      </c>
      <c r="T88" s="451" t="s">
        <v>314</v>
      </c>
      <c r="U88" s="451" t="s">
        <v>502</v>
      </c>
      <c r="V88" s="452" t="s">
        <v>105</v>
      </c>
      <c r="W88" s="452" t="s">
        <v>171</v>
      </c>
      <c r="X88" s="452">
        <v>0</v>
      </c>
      <c r="Y88" s="453">
        <v>1.0698393694502644</v>
      </c>
      <c r="Z88" s="452" t="s">
        <v>164</v>
      </c>
      <c r="AA88" s="452" t="s">
        <v>122</v>
      </c>
      <c r="AB88" s="452" t="s">
        <v>164</v>
      </c>
      <c r="AC88" s="452">
        <v>6.9</v>
      </c>
      <c r="AD88" s="452" t="s">
        <v>125</v>
      </c>
      <c r="AE88" s="452" t="s">
        <v>126</v>
      </c>
      <c r="AF88" s="452">
        <v>0</v>
      </c>
      <c r="AG88" s="452">
        <v>12.96</v>
      </c>
      <c r="AH88" s="452" t="s">
        <v>127</v>
      </c>
      <c r="AI88" s="452" t="s">
        <v>128</v>
      </c>
      <c r="AJ88" s="452" t="s">
        <v>129</v>
      </c>
    </row>
    <row r="89" spans="1:36" ht="15.95" customHeight="1">
      <c r="A89" s="450">
        <v>140760004</v>
      </c>
      <c r="B89" s="450" t="s">
        <v>503</v>
      </c>
      <c r="C89" s="451" t="s">
        <v>504</v>
      </c>
      <c r="D89" s="451" t="s">
        <v>364</v>
      </c>
      <c r="E89" s="452">
        <v>152</v>
      </c>
      <c r="F89" s="452" t="s">
        <v>307</v>
      </c>
      <c r="G89" s="452" t="s">
        <v>307</v>
      </c>
      <c r="H89" s="452" t="s">
        <v>324</v>
      </c>
      <c r="I89" s="452" t="s">
        <v>305</v>
      </c>
      <c r="J89" s="452" t="s">
        <v>324</v>
      </c>
      <c r="K89" s="451" t="s">
        <v>27</v>
      </c>
      <c r="L89" s="452" t="s">
        <v>337</v>
      </c>
      <c r="M89" s="452" t="s">
        <v>337</v>
      </c>
      <c r="N89" s="452" t="s">
        <v>505</v>
      </c>
      <c r="O89" s="452" t="s">
        <v>307</v>
      </c>
      <c r="P89" s="450" t="s">
        <v>506</v>
      </c>
      <c r="Q89" s="452" t="s">
        <v>507</v>
      </c>
      <c r="R89" s="451" t="s">
        <v>323</v>
      </c>
      <c r="S89" s="451" t="s">
        <v>508</v>
      </c>
      <c r="T89" s="451" t="s">
        <v>508</v>
      </c>
      <c r="U89" s="451" t="s">
        <v>509</v>
      </c>
      <c r="V89" s="452" t="s">
        <v>180</v>
      </c>
      <c r="W89" s="452" t="s">
        <v>180</v>
      </c>
      <c r="X89" s="452" t="s">
        <v>180</v>
      </c>
      <c r="Y89" s="453" t="s">
        <v>180</v>
      </c>
      <c r="Z89" s="452" t="s">
        <v>180</v>
      </c>
      <c r="AA89" s="452" t="s">
        <v>180</v>
      </c>
      <c r="AB89" s="452" t="s">
        <v>180</v>
      </c>
      <c r="AC89" s="452" t="s">
        <v>180</v>
      </c>
      <c r="AD89" s="452" t="s">
        <v>180</v>
      </c>
      <c r="AE89" s="452" t="s">
        <v>180</v>
      </c>
      <c r="AF89" s="452" t="s">
        <v>180</v>
      </c>
      <c r="AG89" s="452" t="s">
        <v>180</v>
      </c>
      <c r="AH89" s="452" t="s">
        <v>180</v>
      </c>
      <c r="AI89" s="452" t="s">
        <v>180</v>
      </c>
      <c r="AJ89" s="452" t="s">
        <v>180</v>
      </c>
    </row>
    <row r="90" spans="1:36" ht="15.95" customHeight="1">
      <c r="A90" s="450">
        <v>140830001</v>
      </c>
      <c r="B90" s="450" t="s">
        <v>301</v>
      </c>
      <c r="C90" s="451" t="s">
        <v>84</v>
      </c>
      <c r="D90" s="451" t="s">
        <v>364</v>
      </c>
      <c r="E90" s="452">
        <v>257</v>
      </c>
      <c r="F90" s="452" t="s">
        <v>222</v>
      </c>
      <c r="G90" s="452" t="s">
        <v>222</v>
      </c>
      <c r="H90" s="452" t="s">
        <v>222</v>
      </c>
      <c r="I90" s="452" t="s">
        <v>305</v>
      </c>
      <c r="J90" s="452" t="s">
        <v>510</v>
      </c>
      <c r="K90" s="451" t="s">
        <v>3</v>
      </c>
      <c r="L90" s="452" t="s">
        <v>370</v>
      </c>
      <c r="M90" s="452" t="s">
        <v>370</v>
      </c>
      <c r="N90" s="452" t="s">
        <v>370</v>
      </c>
      <c r="O90" s="452" t="s">
        <v>458</v>
      </c>
      <c r="P90" s="450" t="s">
        <v>309</v>
      </c>
      <c r="Q90" s="452" t="s">
        <v>83</v>
      </c>
      <c r="R90" s="451" t="s">
        <v>18</v>
      </c>
      <c r="S90" s="451" t="s">
        <v>511</v>
      </c>
      <c r="T90" s="451" t="s">
        <v>511</v>
      </c>
      <c r="U90" s="451" t="s">
        <v>310</v>
      </c>
      <c r="V90" s="452" t="s">
        <v>105</v>
      </c>
      <c r="W90" s="452" t="s">
        <v>123</v>
      </c>
      <c r="X90" s="452">
        <v>0</v>
      </c>
      <c r="Y90" s="453">
        <v>1.2970168612191959</v>
      </c>
      <c r="Z90" s="452">
        <v>0</v>
      </c>
      <c r="AA90" s="452">
        <v>0</v>
      </c>
      <c r="AB90" s="452">
        <v>0</v>
      </c>
      <c r="AC90" s="452">
        <v>0</v>
      </c>
      <c r="AD90" s="452">
        <v>0</v>
      </c>
      <c r="AE90" s="452">
        <v>0</v>
      </c>
      <c r="AF90" s="452">
        <v>0</v>
      </c>
      <c r="AG90" s="452">
        <v>0</v>
      </c>
      <c r="AH90" s="452">
        <v>0</v>
      </c>
      <c r="AI90" s="452">
        <v>0</v>
      </c>
      <c r="AJ90" s="452">
        <v>0</v>
      </c>
    </row>
    <row r="91" spans="1:36" ht="15.95" customHeight="1">
      <c r="A91" s="450">
        <v>140850002</v>
      </c>
      <c r="B91" s="450" t="s">
        <v>501</v>
      </c>
      <c r="C91" s="451" t="s">
        <v>512</v>
      </c>
      <c r="D91" s="451" t="s">
        <v>417</v>
      </c>
      <c r="E91" s="452">
        <v>153</v>
      </c>
      <c r="F91" s="452" t="s">
        <v>334</v>
      </c>
      <c r="G91" s="452" t="s">
        <v>334</v>
      </c>
      <c r="H91" s="452" t="s">
        <v>307</v>
      </c>
      <c r="I91" s="452" t="s">
        <v>305</v>
      </c>
      <c r="J91" s="452" t="s">
        <v>307</v>
      </c>
      <c r="K91" s="451" t="s">
        <v>27</v>
      </c>
      <c r="L91" s="452" t="s">
        <v>370</v>
      </c>
      <c r="M91" s="452" t="s">
        <v>370</v>
      </c>
      <c r="N91" s="452" t="s">
        <v>370</v>
      </c>
      <c r="O91" s="452" t="s">
        <v>307</v>
      </c>
      <c r="P91" s="450" t="s">
        <v>313</v>
      </c>
      <c r="Q91" s="452" t="s">
        <v>85</v>
      </c>
      <c r="R91" s="451" t="s">
        <v>18</v>
      </c>
      <c r="S91" s="451" t="s">
        <v>513</v>
      </c>
      <c r="T91" s="451" t="s">
        <v>513</v>
      </c>
      <c r="U91" s="451" t="s">
        <v>513</v>
      </c>
      <c r="V91" s="452" t="s">
        <v>105</v>
      </c>
      <c r="W91" s="452" t="s">
        <v>123</v>
      </c>
      <c r="X91" s="452">
        <v>0</v>
      </c>
      <c r="Y91" s="453">
        <v>1</v>
      </c>
      <c r="Z91" s="452">
        <v>0</v>
      </c>
      <c r="AA91" s="452">
        <v>0</v>
      </c>
      <c r="AB91" s="452">
        <v>0</v>
      </c>
      <c r="AC91" s="452">
        <v>0</v>
      </c>
      <c r="AD91" s="452">
        <v>0</v>
      </c>
      <c r="AE91" s="452">
        <v>0</v>
      </c>
      <c r="AF91" s="452">
        <v>0</v>
      </c>
      <c r="AG91" s="452">
        <v>0</v>
      </c>
      <c r="AH91" s="452">
        <v>0</v>
      </c>
      <c r="AI91" s="452">
        <v>0</v>
      </c>
      <c r="AJ91" s="452">
        <v>0</v>
      </c>
    </row>
    <row r="92" spans="1:36" ht="15.95" customHeight="1">
      <c r="A92" s="450">
        <v>140860001</v>
      </c>
      <c r="B92" s="450" t="s">
        <v>514</v>
      </c>
      <c r="C92" s="451" t="s">
        <v>87</v>
      </c>
      <c r="D92" s="451" t="s">
        <v>392</v>
      </c>
      <c r="E92" s="452">
        <v>150</v>
      </c>
      <c r="F92" s="452" t="s">
        <v>222</v>
      </c>
      <c r="G92" s="452" t="s">
        <v>222</v>
      </c>
      <c r="H92" s="452" t="s">
        <v>222</v>
      </c>
      <c r="I92" s="452" t="s">
        <v>305</v>
      </c>
      <c r="J92" s="452" t="s">
        <v>370</v>
      </c>
      <c r="K92" s="451" t="s">
        <v>27</v>
      </c>
      <c r="L92" s="452" t="s">
        <v>307</v>
      </c>
      <c r="M92" s="452" t="s">
        <v>307</v>
      </c>
      <c r="N92" s="452" t="s">
        <v>307</v>
      </c>
      <c r="O92" s="452" t="s">
        <v>307</v>
      </c>
      <c r="P92" s="450" t="s">
        <v>309</v>
      </c>
      <c r="Q92" s="452" t="s">
        <v>86</v>
      </c>
      <c r="R92" s="451" t="s">
        <v>335</v>
      </c>
      <c r="S92" s="451" t="s">
        <v>515</v>
      </c>
      <c r="T92" s="451" t="s">
        <v>367</v>
      </c>
      <c r="U92" s="451" t="s">
        <v>516</v>
      </c>
      <c r="V92" s="452" t="s">
        <v>105</v>
      </c>
      <c r="W92" s="452" t="s">
        <v>123</v>
      </c>
      <c r="X92" s="452">
        <v>0</v>
      </c>
      <c r="Y92" s="453">
        <v>12.885164122518209</v>
      </c>
      <c r="Z92" s="452">
        <v>0</v>
      </c>
      <c r="AA92" s="452">
        <v>0</v>
      </c>
      <c r="AB92" s="452">
        <v>0</v>
      </c>
      <c r="AC92" s="452">
        <v>0</v>
      </c>
      <c r="AD92" s="452">
        <v>0</v>
      </c>
      <c r="AE92" s="452">
        <v>0</v>
      </c>
      <c r="AF92" s="452">
        <v>0</v>
      </c>
      <c r="AG92" s="452">
        <v>0</v>
      </c>
      <c r="AH92" s="452">
        <v>0</v>
      </c>
      <c r="AI92" s="452">
        <v>0</v>
      </c>
      <c r="AJ92" s="452">
        <v>0</v>
      </c>
    </row>
    <row r="93" spans="1:36" ht="15.95" customHeight="1">
      <c r="A93" s="450">
        <v>140890002</v>
      </c>
      <c r="B93" s="450" t="s">
        <v>301</v>
      </c>
      <c r="C93" s="451" t="s">
        <v>89</v>
      </c>
      <c r="D93" s="451" t="s">
        <v>303</v>
      </c>
      <c r="E93" s="452">
        <v>200</v>
      </c>
      <c r="F93" s="452" t="s">
        <v>222</v>
      </c>
      <c r="G93" s="452" t="s">
        <v>222</v>
      </c>
      <c r="H93" s="452" t="s">
        <v>222</v>
      </c>
      <c r="I93" s="452" t="s">
        <v>305</v>
      </c>
      <c r="J93" s="452" t="s">
        <v>517</v>
      </c>
      <c r="K93" s="451" t="s">
        <v>91</v>
      </c>
      <c r="L93" s="452" t="s">
        <v>452</v>
      </c>
      <c r="M93" s="452" t="s">
        <v>452</v>
      </c>
      <c r="N93" s="452" t="s">
        <v>307</v>
      </c>
      <c r="O93" s="452" t="s">
        <v>324</v>
      </c>
      <c r="P93" s="450" t="s">
        <v>309</v>
      </c>
      <c r="Q93" s="452" t="s">
        <v>88</v>
      </c>
      <c r="R93" s="451" t="s">
        <v>90</v>
      </c>
      <c r="S93" s="451" t="s">
        <v>323</v>
      </c>
      <c r="T93" s="451" t="s">
        <v>323</v>
      </c>
      <c r="U93" s="451" t="s">
        <v>310</v>
      </c>
      <c r="V93" s="452" t="s">
        <v>105</v>
      </c>
      <c r="W93" s="452" t="s">
        <v>123</v>
      </c>
      <c r="X93" s="452">
        <v>0</v>
      </c>
      <c r="Y93" s="453">
        <v>0.97775117230370145</v>
      </c>
      <c r="Z93" s="452">
        <v>0</v>
      </c>
      <c r="AA93" s="452">
        <v>0</v>
      </c>
      <c r="AB93" s="452">
        <v>0</v>
      </c>
      <c r="AC93" s="452">
        <v>0</v>
      </c>
      <c r="AD93" s="452">
        <v>0</v>
      </c>
      <c r="AE93" s="452">
        <v>0</v>
      </c>
      <c r="AF93" s="452">
        <v>0</v>
      </c>
      <c r="AG93" s="452">
        <v>0</v>
      </c>
      <c r="AH93" s="452">
        <v>0</v>
      </c>
      <c r="AI93" s="452">
        <v>0</v>
      </c>
      <c r="AJ93" s="452">
        <v>0</v>
      </c>
    </row>
    <row r="94" spans="1:36" ht="15.95" customHeight="1">
      <c r="A94" s="450">
        <v>140890003</v>
      </c>
      <c r="B94" s="450" t="s">
        <v>301</v>
      </c>
      <c r="C94" s="451" t="s">
        <v>92</v>
      </c>
      <c r="D94" s="451" t="s">
        <v>303</v>
      </c>
      <c r="E94" s="452">
        <v>200</v>
      </c>
      <c r="F94" s="452" t="s">
        <v>222</v>
      </c>
      <c r="G94" s="452" t="s">
        <v>222</v>
      </c>
      <c r="H94" s="452" t="s">
        <v>222</v>
      </c>
      <c r="I94" s="452" t="s">
        <v>305</v>
      </c>
      <c r="J94" s="452" t="s">
        <v>517</v>
      </c>
      <c r="K94" s="451" t="s">
        <v>3</v>
      </c>
      <c r="L94" s="452" t="s">
        <v>332</v>
      </c>
      <c r="M94" s="452" t="s">
        <v>332</v>
      </c>
      <c r="N94" s="452" t="s">
        <v>332</v>
      </c>
      <c r="O94" s="452" t="s">
        <v>307</v>
      </c>
      <c r="P94" s="450" t="s">
        <v>309</v>
      </c>
      <c r="Q94" s="452" t="s">
        <v>88</v>
      </c>
      <c r="R94" s="451" t="s">
        <v>90</v>
      </c>
      <c r="S94" s="451" t="s">
        <v>323</v>
      </c>
      <c r="T94" s="451" t="s">
        <v>323</v>
      </c>
      <c r="U94" s="451" t="s">
        <v>323</v>
      </c>
      <c r="V94" s="452" t="s">
        <v>105</v>
      </c>
      <c r="W94" s="452" t="s">
        <v>123</v>
      </c>
      <c r="X94" s="452">
        <v>0</v>
      </c>
      <c r="Y94" s="453">
        <v>1.1233163723436097</v>
      </c>
      <c r="Z94" s="452">
        <v>0</v>
      </c>
      <c r="AA94" s="452">
        <v>0</v>
      </c>
      <c r="AB94" s="452">
        <v>0</v>
      </c>
      <c r="AC94" s="452">
        <v>0</v>
      </c>
      <c r="AD94" s="452">
        <v>0</v>
      </c>
      <c r="AE94" s="452">
        <v>0</v>
      </c>
      <c r="AF94" s="452">
        <v>0</v>
      </c>
      <c r="AG94" s="452">
        <v>0</v>
      </c>
      <c r="AH94" s="452">
        <v>0</v>
      </c>
      <c r="AI94" s="452">
        <v>0</v>
      </c>
      <c r="AJ94" s="452">
        <v>0</v>
      </c>
    </row>
    <row r="95" spans="1:36" ht="15.95" customHeight="1">
      <c r="A95" s="450">
        <v>140890004</v>
      </c>
      <c r="B95" s="450" t="s">
        <v>315</v>
      </c>
      <c r="C95" s="451" t="s">
        <v>93</v>
      </c>
      <c r="D95" s="451" t="s">
        <v>316</v>
      </c>
      <c r="E95" s="452">
        <v>200</v>
      </c>
      <c r="F95" s="452" t="s">
        <v>222</v>
      </c>
      <c r="G95" s="452" t="s">
        <v>222</v>
      </c>
      <c r="H95" s="452" t="s">
        <v>222</v>
      </c>
      <c r="I95" s="452" t="s">
        <v>305</v>
      </c>
      <c r="J95" s="452" t="s">
        <v>517</v>
      </c>
      <c r="K95" s="451" t="s">
        <v>3</v>
      </c>
      <c r="L95" s="452" t="s">
        <v>332</v>
      </c>
      <c r="M95" s="452" t="s">
        <v>332</v>
      </c>
      <c r="N95" s="452" t="s">
        <v>332</v>
      </c>
      <c r="O95" s="452" t="s">
        <v>307</v>
      </c>
      <c r="P95" s="450" t="s">
        <v>309</v>
      </c>
      <c r="Q95" s="452" t="s">
        <v>88</v>
      </c>
      <c r="R95" s="451" t="s">
        <v>90</v>
      </c>
      <c r="S95" s="451" t="s">
        <v>323</v>
      </c>
      <c r="T95" s="451" t="s">
        <v>323</v>
      </c>
      <c r="U95" s="451" t="s">
        <v>323</v>
      </c>
      <c r="V95" s="452" t="s">
        <v>105</v>
      </c>
      <c r="W95" s="452" t="s">
        <v>123</v>
      </c>
      <c r="X95" s="452">
        <v>0</v>
      </c>
      <c r="Y95" s="453">
        <v>0.96857228374738091</v>
      </c>
      <c r="Z95" s="452">
        <v>0</v>
      </c>
      <c r="AA95" s="452">
        <v>0</v>
      </c>
      <c r="AB95" s="452">
        <v>0</v>
      </c>
      <c r="AC95" s="452">
        <v>0</v>
      </c>
      <c r="AD95" s="452">
        <v>0</v>
      </c>
      <c r="AE95" s="452">
        <v>0</v>
      </c>
      <c r="AF95" s="452">
        <v>0</v>
      </c>
      <c r="AG95" s="452">
        <v>0</v>
      </c>
      <c r="AH95" s="452">
        <v>0</v>
      </c>
      <c r="AI95" s="452">
        <v>0</v>
      </c>
      <c r="AJ95" s="452">
        <v>0</v>
      </c>
    </row>
    <row r="96" spans="1:36" ht="15.95" customHeight="1">
      <c r="A96" s="450">
        <v>140890005</v>
      </c>
      <c r="B96" s="450" t="s">
        <v>315</v>
      </c>
      <c r="C96" s="451" t="s">
        <v>518</v>
      </c>
      <c r="D96" s="451" t="s">
        <v>316</v>
      </c>
      <c r="E96" s="452">
        <v>200</v>
      </c>
      <c r="F96" s="452" t="s">
        <v>222</v>
      </c>
      <c r="G96" s="452" t="s">
        <v>222</v>
      </c>
      <c r="H96" s="452" t="s">
        <v>222</v>
      </c>
      <c r="I96" s="452" t="s">
        <v>305</v>
      </c>
      <c r="J96" s="452" t="s">
        <v>517</v>
      </c>
      <c r="K96" s="451" t="s">
        <v>91</v>
      </c>
      <c r="L96" s="452" t="s">
        <v>452</v>
      </c>
      <c r="M96" s="452" t="s">
        <v>452</v>
      </c>
      <c r="N96" s="452" t="s">
        <v>307</v>
      </c>
      <c r="O96" s="452" t="s">
        <v>324</v>
      </c>
      <c r="P96" s="450" t="s">
        <v>309</v>
      </c>
      <c r="Q96" s="452" t="s">
        <v>88</v>
      </c>
      <c r="R96" s="451" t="s">
        <v>90</v>
      </c>
      <c r="S96" s="451" t="s">
        <v>323</v>
      </c>
      <c r="T96" s="451" t="s">
        <v>323</v>
      </c>
      <c r="U96" s="451" t="s">
        <v>310</v>
      </c>
      <c r="V96" s="452" t="s">
        <v>105</v>
      </c>
      <c r="W96" s="452" t="s">
        <v>123</v>
      </c>
      <c r="X96" s="452">
        <v>0</v>
      </c>
      <c r="Y96" s="453">
        <v>1.0076823306395291</v>
      </c>
      <c r="Z96" s="452">
        <v>0</v>
      </c>
      <c r="AA96" s="452">
        <v>0</v>
      </c>
      <c r="AB96" s="452">
        <v>0</v>
      </c>
      <c r="AC96" s="452">
        <v>0</v>
      </c>
      <c r="AD96" s="452">
        <v>0</v>
      </c>
      <c r="AE96" s="452">
        <v>0</v>
      </c>
      <c r="AF96" s="452">
        <v>0</v>
      </c>
      <c r="AG96" s="452">
        <v>0</v>
      </c>
      <c r="AH96" s="452">
        <v>0</v>
      </c>
      <c r="AI96" s="452">
        <v>0</v>
      </c>
      <c r="AJ96" s="452">
        <v>0</v>
      </c>
    </row>
    <row r="97" spans="1:36" ht="15.95" customHeight="1">
      <c r="A97" s="450">
        <v>141000006</v>
      </c>
      <c r="B97" s="450" t="s">
        <v>301</v>
      </c>
      <c r="C97" s="451" t="s">
        <v>302</v>
      </c>
      <c r="D97" s="451" t="s">
        <v>364</v>
      </c>
      <c r="E97" s="452">
        <v>200</v>
      </c>
      <c r="F97" s="452" t="s">
        <v>304</v>
      </c>
      <c r="G97" s="452" t="s">
        <v>304</v>
      </c>
      <c r="H97" s="452" t="s">
        <v>304</v>
      </c>
      <c r="I97" s="452" t="s">
        <v>305</v>
      </c>
      <c r="J97" s="452" t="s">
        <v>304</v>
      </c>
      <c r="K97" s="451" t="s">
        <v>91</v>
      </c>
      <c r="L97" s="452" t="s">
        <v>306</v>
      </c>
      <c r="M97" s="452" t="s">
        <v>306</v>
      </c>
      <c r="N97" s="452" t="s">
        <v>307</v>
      </c>
      <c r="O97" s="452" t="s">
        <v>308</v>
      </c>
      <c r="P97" s="450" t="s">
        <v>309</v>
      </c>
      <c r="Q97" s="452" t="s">
        <v>94</v>
      </c>
      <c r="R97" s="451" t="s">
        <v>28</v>
      </c>
      <c r="S97" s="451" t="s">
        <v>113</v>
      </c>
      <c r="T97" s="451" t="s">
        <v>113</v>
      </c>
      <c r="U97" s="451" t="s">
        <v>310</v>
      </c>
      <c r="V97" s="452" t="s">
        <v>105</v>
      </c>
      <c r="W97" s="452" t="s">
        <v>123</v>
      </c>
      <c r="X97" s="452">
        <v>0</v>
      </c>
      <c r="Y97" s="453" t="s">
        <v>180</v>
      </c>
      <c r="Z97" s="452">
        <v>0</v>
      </c>
      <c r="AA97" s="452">
        <v>0</v>
      </c>
      <c r="AB97" s="452">
        <v>0</v>
      </c>
      <c r="AC97" s="452">
        <v>0</v>
      </c>
      <c r="AD97" s="452">
        <v>0</v>
      </c>
      <c r="AE97" s="452">
        <v>0</v>
      </c>
      <c r="AF97" s="452">
        <v>0</v>
      </c>
      <c r="AG97" s="452">
        <v>0</v>
      </c>
      <c r="AH97" s="452">
        <v>0</v>
      </c>
      <c r="AI97" s="452">
        <v>0</v>
      </c>
      <c r="AJ97" s="452">
        <v>0</v>
      </c>
    </row>
    <row r="98" spans="1:36" ht="15.95" customHeight="1">
      <c r="A98" s="450">
        <v>141030001</v>
      </c>
      <c r="B98" s="450" t="s">
        <v>391</v>
      </c>
      <c r="C98" s="451" t="s">
        <v>519</v>
      </c>
      <c r="D98" s="451" t="s">
        <v>392</v>
      </c>
      <c r="E98" s="452">
        <v>195</v>
      </c>
      <c r="F98" s="452" t="s">
        <v>222</v>
      </c>
      <c r="G98" s="452" t="s">
        <v>222</v>
      </c>
      <c r="H98" s="452" t="s">
        <v>222</v>
      </c>
      <c r="I98" s="452" t="s">
        <v>305</v>
      </c>
      <c r="J98" s="452" t="s">
        <v>458</v>
      </c>
      <c r="K98" s="451" t="s">
        <v>27</v>
      </c>
      <c r="L98" s="452" t="s">
        <v>307</v>
      </c>
      <c r="M98" s="452" t="s">
        <v>307</v>
      </c>
      <c r="N98" s="452" t="s">
        <v>307</v>
      </c>
      <c r="O98" s="452" t="s">
        <v>307</v>
      </c>
      <c r="P98" s="450" t="s">
        <v>309</v>
      </c>
      <c r="Q98" s="452" t="s">
        <v>520</v>
      </c>
      <c r="R98" s="451" t="s">
        <v>18</v>
      </c>
      <c r="S98" s="451" t="s">
        <v>323</v>
      </c>
      <c r="T98" s="451" t="s">
        <v>323</v>
      </c>
      <c r="U98" s="451" t="s">
        <v>323</v>
      </c>
      <c r="V98" s="452" t="s">
        <v>180</v>
      </c>
      <c r="W98" s="452" t="s">
        <v>180</v>
      </c>
      <c r="X98" s="452" t="s">
        <v>180</v>
      </c>
      <c r="Y98" s="453" t="s">
        <v>180</v>
      </c>
      <c r="Z98" s="452" t="s">
        <v>180</v>
      </c>
      <c r="AA98" s="452" t="s">
        <v>180</v>
      </c>
      <c r="AB98" s="452" t="s">
        <v>180</v>
      </c>
      <c r="AC98" s="452" t="s">
        <v>180</v>
      </c>
      <c r="AD98" s="452" t="s">
        <v>180</v>
      </c>
      <c r="AE98" s="452" t="s">
        <v>180</v>
      </c>
      <c r="AF98" s="452" t="s">
        <v>180</v>
      </c>
      <c r="AG98" s="452" t="s">
        <v>180</v>
      </c>
      <c r="AH98" s="452" t="s">
        <v>180</v>
      </c>
      <c r="AI98" s="452" t="s">
        <v>180</v>
      </c>
      <c r="AJ98" s="452" t="s">
        <v>180</v>
      </c>
    </row>
    <row r="99" spans="1:36" ht="15.95" customHeight="1">
      <c r="A99" s="450">
        <v>141030003</v>
      </c>
      <c r="B99" s="450" t="s">
        <v>391</v>
      </c>
      <c r="C99" s="451" t="s">
        <v>521</v>
      </c>
      <c r="D99" s="451" t="s">
        <v>392</v>
      </c>
      <c r="E99" s="452">
        <v>160</v>
      </c>
      <c r="F99" s="452" t="s">
        <v>222</v>
      </c>
      <c r="G99" s="452" t="s">
        <v>222</v>
      </c>
      <c r="H99" s="452" t="s">
        <v>222</v>
      </c>
      <c r="I99" s="452" t="s">
        <v>305</v>
      </c>
      <c r="J99" s="452" t="s">
        <v>380</v>
      </c>
      <c r="K99" s="451" t="s">
        <v>27</v>
      </c>
      <c r="L99" s="452" t="s">
        <v>307</v>
      </c>
      <c r="M99" s="452" t="s">
        <v>307</v>
      </c>
      <c r="N99" s="452" t="s">
        <v>307</v>
      </c>
      <c r="O99" s="452" t="s">
        <v>307</v>
      </c>
      <c r="P99" s="450" t="s">
        <v>309</v>
      </c>
      <c r="Q99" s="452" t="s">
        <v>520</v>
      </c>
      <c r="R99" s="451" t="s">
        <v>18</v>
      </c>
      <c r="S99" s="451" t="s">
        <v>323</v>
      </c>
      <c r="T99" s="451" t="s">
        <v>323</v>
      </c>
      <c r="U99" s="451" t="s">
        <v>323</v>
      </c>
      <c r="V99" s="452" t="s">
        <v>180</v>
      </c>
      <c r="W99" s="452" t="s">
        <v>180</v>
      </c>
      <c r="X99" s="452" t="s">
        <v>180</v>
      </c>
      <c r="Y99" s="453" t="s">
        <v>180</v>
      </c>
      <c r="Z99" s="452" t="s">
        <v>180</v>
      </c>
      <c r="AA99" s="452" t="s">
        <v>180</v>
      </c>
      <c r="AB99" s="452" t="s">
        <v>180</v>
      </c>
      <c r="AC99" s="452" t="s">
        <v>180</v>
      </c>
      <c r="AD99" s="452" t="s">
        <v>180</v>
      </c>
      <c r="AE99" s="452" t="s">
        <v>180</v>
      </c>
      <c r="AF99" s="452" t="s">
        <v>180</v>
      </c>
      <c r="AG99" s="452" t="s">
        <v>180</v>
      </c>
      <c r="AH99" s="452" t="s">
        <v>180</v>
      </c>
      <c r="AI99" s="452" t="s">
        <v>180</v>
      </c>
      <c r="AJ99" s="452" t="s">
        <v>180</v>
      </c>
    </row>
    <row r="100" spans="1:36" ht="15.95" customHeight="1">
      <c r="A100" s="450">
        <v>141030028</v>
      </c>
      <c r="B100" s="450" t="s">
        <v>391</v>
      </c>
      <c r="C100" s="451" t="s">
        <v>522</v>
      </c>
      <c r="D100" s="451" t="s">
        <v>392</v>
      </c>
      <c r="E100" s="452">
        <v>195</v>
      </c>
      <c r="F100" s="452" t="s">
        <v>222</v>
      </c>
      <c r="G100" s="452" t="s">
        <v>222</v>
      </c>
      <c r="H100" s="452" t="s">
        <v>222</v>
      </c>
      <c r="I100" s="452" t="s">
        <v>305</v>
      </c>
      <c r="J100" s="452" t="s">
        <v>380</v>
      </c>
      <c r="K100" s="451" t="s">
        <v>27</v>
      </c>
      <c r="L100" s="452" t="s">
        <v>307</v>
      </c>
      <c r="M100" s="452" t="s">
        <v>307</v>
      </c>
      <c r="N100" s="452" t="s">
        <v>307</v>
      </c>
      <c r="O100" s="452" t="s">
        <v>307</v>
      </c>
      <c r="P100" s="450" t="s">
        <v>381</v>
      </c>
      <c r="Q100" s="452" t="s">
        <v>520</v>
      </c>
      <c r="R100" s="451" t="s">
        <v>18</v>
      </c>
      <c r="S100" s="451" t="s">
        <v>323</v>
      </c>
      <c r="T100" s="451" t="s">
        <v>323</v>
      </c>
      <c r="U100" s="451" t="s">
        <v>323</v>
      </c>
      <c r="V100" s="452" t="s">
        <v>180</v>
      </c>
      <c r="W100" s="452" t="s">
        <v>180</v>
      </c>
      <c r="X100" s="452" t="s">
        <v>180</v>
      </c>
      <c r="Y100" s="453" t="s">
        <v>180</v>
      </c>
      <c r="Z100" s="452" t="s">
        <v>180</v>
      </c>
      <c r="AA100" s="452" t="s">
        <v>180</v>
      </c>
      <c r="AB100" s="452" t="s">
        <v>180</v>
      </c>
      <c r="AC100" s="452" t="s">
        <v>180</v>
      </c>
      <c r="AD100" s="452" t="s">
        <v>180</v>
      </c>
      <c r="AE100" s="452" t="s">
        <v>180</v>
      </c>
      <c r="AF100" s="452" t="s">
        <v>180</v>
      </c>
      <c r="AG100" s="452" t="s">
        <v>180</v>
      </c>
      <c r="AH100" s="452" t="s">
        <v>180</v>
      </c>
      <c r="AI100" s="452" t="s">
        <v>180</v>
      </c>
      <c r="AJ100" s="452" t="s">
        <v>180</v>
      </c>
    </row>
    <row r="101" spans="1:36" ht="15.95" customHeight="1">
      <c r="A101" s="450">
        <v>141030029</v>
      </c>
      <c r="B101" s="450" t="s">
        <v>323</v>
      </c>
      <c r="C101" s="451" t="s">
        <v>523</v>
      </c>
      <c r="D101" s="451" t="s">
        <v>417</v>
      </c>
      <c r="E101" s="452">
        <v>195</v>
      </c>
      <c r="F101" s="452" t="s">
        <v>222</v>
      </c>
      <c r="G101" s="452" t="s">
        <v>222</v>
      </c>
      <c r="H101" s="452" t="s">
        <v>222</v>
      </c>
      <c r="I101" s="452" t="s">
        <v>305</v>
      </c>
      <c r="J101" s="452" t="s">
        <v>458</v>
      </c>
      <c r="K101" s="451" t="s">
        <v>27</v>
      </c>
      <c r="L101" s="452" t="s">
        <v>307</v>
      </c>
      <c r="M101" s="452" t="s">
        <v>307</v>
      </c>
      <c r="N101" s="452" t="s">
        <v>307</v>
      </c>
      <c r="O101" s="452" t="s">
        <v>307</v>
      </c>
      <c r="P101" s="450" t="s">
        <v>313</v>
      </c>
      <c r="Q101" s="452" t="s">
        <v>524</v>
      </c>
      <c r="R101" s="451" t="s">
        <v>18</v>
      </c>
      <c r="S101" s="451" t="s">
        <v>323</v>
      </c>
      <c r="T101" s="451" t="s">
        <v>323</v>
      </c>
      <c r="U101" s="451" t="s">
        <v>323</v>
      </c>
      <c r="V101" s="452" t="s">
        <v>180</v>
      </c>
      <c r="W101" s="452" t="s">
        <v>180</v>
      </c>
      <c r="X101" s="452" t="s">
        <v>180</v>
      </c>
      <c r="Y101" s="453" t="s">
        <v>180</v>
      </c>
      <c r="Z101" s="452" t="s">
        <v>180</v>
      </c>
      <c r="AA101" s="452" t="s">
        <v>180</v>
      </c>
      <c r="AB101" s="452" t="s">
        <v>180</v>
      </c>
      <c r="AC101" s="452" t="s">
        <v>180</v>
      </c>
      <c r="AD101" s="452" t="s">
        <v>180</v>
      </c>
      <c r="AE101" s="452" t="s">
        <v>180</v>
      </c>
      <c r="AF101" s="452" t="s">
        <v>180</v>
      </c>
      <c r="AG101" s="452" t="s">
        <v>180</v>
      </c>
      <c r="AH101" s="452" t="s">
        <v>180</v>
      </c>
      <c r="AI101" s="452" t="s">
        <v>180</v>
      </c>
      <c r="AJ101" s="452" t="s">
        <v>180</v>
      </c>
    </row>
    <row r="102" spans="1:36" ht="15.95" customHeight="1">
      <c r="A102" s="450">
        <v>141060001</v>
      </c>
      <c r="B102" s="450" t="s">
        <v>319</v>
      </c>
      <c r="C102" s="451" t="s">
        <v>525</v>
      </c>
      <c r="D102" s="451" t="s">
        <v>526</v>
      </c>
      <c r="E102" s="452">
        <v>155</v>
      </c>
      <c r="F102" s="452" t="s">
        <v>222</v>
      </c>
      <c r="G102" s="452" t="s">
        <v>222</v>
      </c>
      <c r="H102" s="452" t="s">
        <v>222</v>
      </c>
      <c r="I102" s="452" t="s">
        <v>305</v>
      </c>
      <c r="J102" s="452" t="s">
        <v>405</v>
      </c>
      <c r="K102" s="451" t="s">
        <v>527</v>
      </c>
      <c r="L102" s="452" t="s">
        <v>304</v>
      </c>
      <c r="M102" s="452" t="s">
        <v>505</v>
      </c>
      <c r="N102" s="452" t="s">
        <v>323</v>
      </c>
      <c r="O102" s="452" t="s">
        <v>305</v>
      </c>
      <c r="P102" s="450" t="s">
        <v>325</v>
      </c>
      <c r="Q102" s="452" t="s">
        <v>528</v>
      </c>
      <c r="R102" s="451" t="s">
        <v>529</v>
      </c>
      <c r="S102" s="451" t="s">
        <v>113</v>
      </c>
      <c r="T102" s="451" t="s">
        <v>113</v>
      </c>
      <c r="U102" s="451" t="s">
        <v>323</v>
      </c>
      <c r="V102" s="452" t="s">
        <v>180</v>
      </c>
      <c r="W102" s="452" t="s">
        <v>180</v>
      </c>
      <c r="X102" s="452" t="s">
        <v>180</v>
      </c>
      <c r="Y102" s="453" t="s">
        <v>180</v>
      </c>
      <c r="Z102" s="452" t="s">
        <v>180</v>
      </c>
      <c r="AA102" s="452" t="s">
        <v>180</v>
      </c>
      <c r="AB102" s="452" t="s">
        <v>180</v>
      </c>
      <c r="AC102" s="452" t="s">
        <v>180</v>
      </c>
      <c r="AD102" s="452" t="s">
        <v>180</v>
      </c>
      <c r="AE102" s="452" t="s">
        <v>180</v>
      </c>
      <c r="AF102" s="452" t="s">
        <v>180</v>
      </c>
      <c r="AG102" s="452" t="s">
        <v>180</v>
      </c>
      <c r="AH102" s="452" t="s">
        <v>180</v>
      </c>
      <c r="AI102" s="452" t="s">
        <v>180</v>
      </c>
      <c r="AJ102" s="452" t="s">
        <v>180</v>
      </c>
    </row>
    <row r="103" spans="1:36" ht="15.95" customHeight="1">
      <c r="A103" s="450">
        <v>141060005</v>
      </c>
      <c r="B103" s="450" t="s">
        <v>391</v>
      </c>
      <c r="C103" s="451" t="s">
        <v>96</v>
      </c>
      <c r="D103" s="451" t="s">
        <v>526</v>
      </c>
      <c r="E103" s="452">
        <v>112</v>
      </c>
      <c r="F103" s="452" t="s">
        <v>222</v>
      </c>
      <c r="G103" s="452" t="s">
        <v>222</v>
      </c>
      <c r="H103" s="452" t="s">
        <v>222</v>
      </c>
      <c r="I103" s="452" t="s">
        <v>305</v>
      </c>
      <c r="J103" s="452" t="s">
        <v>370</v>
      </c>
      <c r="K103" s="451" t="s">
        <v>40</v>
      </c>
      <c r="L103" s="452" t="s">
        <v>304</v>
      </c>
      <c r="M103" s="452" t="s">
        <v>304</v>
      </c>
      <c r="N103" s="452" t="s">
        <v>304</v>
      </c>
      <c r="O103" s="452" t="s">
        <v>324</v>
      </c>
      <c r="P103" s="450" t="s">
        <v>309</v>
      </c>
      <c r="Q103" s="452" t="s">
        <v>95</v>
      </c>
      <c r="R103" s="451" t="s">
        <v>18</v>
      </c>
      <c r="S103" s="451" t="s">
        <v>222</v>
      </c>
      <c r="T103" s="451" t="s">
        <v>222</v>
      </c>
      <c r="U103" s="451" t="s">
        <v>222</v>
      </c>
      <c r="V103" s="452" t="s">
        <v>105</v>
      </c>
      <c r="W103" s="452" t="s">
        <v>123</v>
      </c>
      <c r="X103" s="452">
        <v>0</v>
      </c>
      <c r="Y103" s="453">
        <v>0.77821011673151752</v>
      </c>
      <c r="Z103" s="452">
        <v>0</v>
      </c>
      <c r="AA103" s="452">
        <v>0</v>
      </c>
      <c r="AB103" s="452">
        <v>0</v>
      </c>
      <c r="AC103" s="452">
        <v>0</v>
      </c>
      <c r="AD103" s="452">
        <v>0</v>
      </c>
      <c r="AE103" s="452">
        <v>0</v>
      </c>
      <c r="AF103" s="452">
        <v>0</v>
      </c>
      <c r="AG103" s="452">
        <v>0</v>
      </c>
      <c r="AH103" s="452">
        <v>0</v>
      </c>
      <c r="AI103" s="452">
        <v>0</v>
      </c>
      <c r="AJ103" s="452">
        <v>0</v>
      </c>
    </row>
    <row r="104" spans="1:36" ht="15.95" customHeight="1">
      <c r="A104" s="450">
        <v>141130001</v>
      </c>
      <c r="B104" s="450" t="s">
        <v>301</v>
      </c>
      <c r="C104" s="451" t="s">
        <v>530</v>
      </c>
      <c r="D104" s="451" t="s">
        <v>364</v>
      </c>
      <c r="E104" s="452">
        <v>175</v>
      </c>
      <c r="F104" s="452" t="s">
        <v>222</v>
      </c>
      <c r="G104" s="452" t="s">
        <v>222</v>
      </c>
      <c r="H104" s="452" t="s">
        <v>222</v>
      </c>
      <c r="I104" s="452" t="s">
        <v>305</v>
      </c>
      <c r="J104" s="452" t="s">
        <v>304</v>
      </c>
      <c r="K104" s="451" t="s">
        <v>57</v>
      </c>
      <c r="L104" s="452" t="s">
        <v>323</v>
      </c>
      <c r="M104" s="452" t="s">
        <v>323</v>
      </c>
      <c r="N104" s="452" t="s">
        <v>323</v>
      </c>
      <c r="O104" s="452" t="s">
        <v>323</v>
      </c>
      <c r="P104" s="450" t="s">
        <v>309</v>
      </c>
      <c r="Q104" s="452" t="s">
        <v>531</v>
      </c>
      <c r="R104" s="451" t="s">
        <v>328</v>
      </c>
      <c r="S104" s="451" t="s">
        <v>323</v>
      </c>
      <c r="T104" s="451" t="s">
        <v>323</v>
      </c>
      <c r="U104" s="451" t="s">
        <v>323</v>
      </c>
      <c r="V104" s="452" t="s">
        <v>180</v>
      </c>
      <c r="W104" s="452" t="s">
        <v>180</v>
      </c>
      <c r="X104" s="452" t="s">
        <v>180</v>
      </c>
      <c r="Y104" s="453" t="s">
        <v>180</v>
      </c>
      <c r="Z104" s="452" t="s">
        <v>180</v>
      </c>
      <c r="AA104" s="452" t="s">
        <v>180</v>
      </c>
      <c r="AB104" s="452" t="s">
        <v>180</v>
      </c>
      <c r="AC104" s="452" t="s">
        <v>180</v>
      </c>
      <c r="AD104" s="452" t="s">
        <v>180</v>
      </c>
      <c r="AE104" s="452" t="s">
        <v>180</v>
      </c>
      <c r="AF104" s="452" t="s">
        <v>180</v>
      </c>
      <c r="AG104" s="452" t="s">
        <v>180</v>
      </c>
      <c r="AH104" s="452" t="s">
        <v>180</v>
      </c>
      <c r="AI104" s="452" t="s">
        <v>180</v>
      </c>
      <c r="AJ104" s="452" t="s">
        <v>180</v>
      </c>
    </row>
    <row r="105" spans="1:36" ht="15.95" customHeight="1">
      <c r="A105" s="450">
        <v>141130002</v>
      </c>
      <c r="B105" s="450" t="s">
        <v>301</v>
      </c>
      <c r="C105" s="451" t="s">
        <v>532</v>
      </c>
      <c r="D105" s="451" t="s">
        <v>364</v>
      </c>
      <c r="E105" s="452">
        <v>220</v>
      </c>
      <c r="F105" s="452" t="s">
        <v>222</v>
      </c>
      <c r="G105" s="452" t="s">
        <v>222</v>
      </c>
      <c r="H105" s="452" t="s">
        <v>222</v>
      </c>
      <c r="I105" s="452" t="s">
        <v>305</v>
      </c>
      <c r="J105" s="452" t="s">
        <v>304</v>
      </c>
      <c r="K105" s="451" t="s">
        <v>57</v>
      </c>
      <c r="L105" s="452" t="s">
        <v>335</v>
      </c>
      <c r="M105" s="452" t="s">
        <v>335</v>
      </c>
      <c r="N105" s="452" t="s">
        <v>335</v>
      </c>
      <c r="O105" s="452" t="s">
        <v>307</v>
      </c>
      <c r="P105" s="450" t="s">
        <v>309</v>
      </c>
      <c r="Q105" s="452" t="s">
        <v>531</v>
      </c>
      <c r="R105" s="451" t="s">
        <v>18</v>
      </c>
      <c r="S105" s="451" t="s">
        <v>323</v>
      </c>
      <c r="T105" s="451" t="s">
        <v>323</v>
      </c>
      <c r="U105" s="451" t="s">
        <v>323</v>
      </c>
      <c r="V105" s="452" t="s">
        <v>180</v>
      </c>
      <c r="W105" s="452" t="s">
        <v>180</v>
      </c>
      <c r="X105" s="452" t="s">
        <v>180</v>
      </c>
      <c r="Y105" s="453" t="s">
        <v>180</v>
      </c>
      <c r="Z105" s="452" t="s">
        <v>180</v>
      </c>
      <c r="AA105" s="452" t="s">
        <v>180</v>
      </c>
      <c r="AB105" s="452" t="s">
        <v>180</v>
      </c>
      <c r="AC105" s="452" t="s">
        <v>180</v>
      </c>
      <c r="AD105" s="452" t="s">
        <v>180</v>
      </c>
      <c r="AE105" s="452" t="s">
        <v>180</v>
      </c>
      <c r="AF105" s="452" t="s">
        <v>180</v>
      </c>
      <c r="AG105" s="452" t="s">
        <v>180</v>
      </c>
      <c r="AH105" s="452" t="s">
        <v>180</v>
      </c>
      <c r="AI105" s="452" t="s">
        <v>180</v>
      </c>
      <c r="AJ105" s="452" t="s">
        <v>180</v>
      </c>
    </row>
    <row r="106" spans="1:36" ht="15.95" customHeight="1">
      <c r="A106" s="450">
        <v>141170009</v>
      </c>
      <c r="B106" s="450" t="s">
        <v>391</v>
      </c>
      <c r="C106" s="451" t="s">
        <v>533</v>
      </c>
      <c r="D106" s="451" t="s">
        <v>392</v>
      </c>
      <c r="E106" s="452">
        <v>206</v>
      </c>
      <c r="F106" s="452" t="s">
        <v>222</v>
      </c>
      <c r="G106" s="452" t="s">
        <v>222</v>
      </c>
      <c r="H106" s="452" t="s">
        <v>222</v>
      </c>
      <c r="I106" s="452" t="s">
        <v>305</v>
      </c>
      <c r="J106" s="452" t="s">
        <v>465</v>
      </c>
      <c r="K106" s="451" t="s">
        <v>27</v>
      </c>
      <c r="L106" s="452" t="s">
        <v>307</v>
      </c>
      <c r="M106" s="452" t="s">
        <v>337</v>
      </c>
      <c r="N106" s="452" t="s">
        <v>337</v>
      </c>
      <c r="O106" s="452" t="s">
        <v>307</v>
      </c>
      <c r="P106" s="450" t="s">
        <v>309</v>
      </c>
      <c r="Q106" s="452" t="s">
        <v>534</v>
      </c>
      <c r="R106" s="451" t="s">
        <v>465</v>
      </c>
      <c r="S106" s="451" t="s">
        <v>535</v>
      </c>
      <c r="T106" s="451" t="s">
        <v>536</v>
      </c>
      <c r="U106" s="451" t="s">
        <v>536</v>
      </c>
      <c r="V106" s="452" t="s">
        <v>180</v>
      </c>
      <c r="W106" s="452" t="s">
        <v>180</v>
      </c>
      <c r="X106" s="452" t="s">
        <v>180</v>
      </c>
      <c r="Y106" s="453" t="s">
        <v>180</v>
      </c>
      <c r="Z106" s="452" t="s">
        <v>180</v>
      </c>
      <c r="AA106" s="452" t="s">
        <v>180</v>
      </c>
      <c r="AB106" s="452" t="s">
        <v>180</v>
      </c>
      <c r="AC106" s="452" t="s">
        <v>180</v>
      </c>
      <c r="AD106" s="452" t="s">
        <v>180</v>
      </c>
      <c r="AE106" s="452" t="s">
        <v>180</v>
      </c>
      <c r="AF106" s="452" t="s">
        <v>180</v>
      </c>
      <c r="AG106" s="452" t="s">
        <v>180</v>
      </c>
      <c r="AH106" s="452" t="s">
        <v>180</v>
      </c>
      <c r="AI106" s="452" t="s">
        <v>180</v>
      </c>
      <c r="AJ106" s="452" t="s">
        <v>180</v>
      </c>
    </row>
    <row r="107" spans="1:36" ht="15.95" customHeight="1">
      <c r="A107" s="450">
        <v>141170010</v>
      </c>
      <c r="B107" s="450" t="s">
        <v>323</v>
      </c>
      <c r="C107" s="451" t="s">
        <v>537</v>
      </c>
      <c r="D107" s="451" t="s">
        <v>417</v>
      </c>
      <c r="E107" s="452">
        <v>208</v>
      </c>
      <c r="F107" s="452" t="s">
        <v>222</v>
      </c>
      <c r="G107" s="452" t="s">
        <v>222</v>
      </c>
      <c r="H107" s="452" t="s">
        <v>222</v>
      </c>
      <c r="I107" s="452" t="s">
        <v>305</v>
      </c>
      <c r="J107" s="452" t="s">
        <v>465</v>
      </c>
      <c r="K107" s="451" t="s">
        <v>27</v>
      </c>
      <c r="L107" s="452" t="s">
        <v>337</v>
      </c>
      <c r="M107" s="452" t="s">
        <v>337</v>
      </c>
      <c r="N107" s="452" t="s">
        <v>307</v>
      </c>
      <c r="O107" s="452" t="s">
        <v>307</v>
      </c>
      <c r="P107" s="450" t="s">
        <v>313</v>
      </c>
      <c r="Q107" s="452" t="s">
        <v>534</v>
      </c>
      <c r="R107" s="451" t="s">
        <v>538</v>
      </c>
      <c r="S107" s="451" t="s">
        <v>323</v>
      </c>
      <c r="T107" s="451" t="s">
        <v>323</v>
      </c>
      <c r="U107" s="451" t="s">
        <v>323</v>
      </c>
      <c r="V107" s="452" t="s">
        <v>180</v>
      </c>
      <c r="W107" s="452" t="s">
        <v>180</v>
      </c>
      <c r="X107" s="452" t="s">
        <v>180</v>
      </c>
      <c r="Y107" s="453" t="s">
        <v>180</v>
      </c>
      <c r="Z107" s="452" t="s">
        <v>180</v>
      </c>
      <c r="AA107" s="452" t="s">
        <v>180</v>
      </c>
      <c r="AB107" s="452" t="s">
        <v>180</v>
      </c>
      <c r="AC107" s="452" t="s">
        <v>180</v>
      </c>
      <c r="AD107" s="452" t="s">
        <v>180</v>
      </c>
      <c r="AE107" s="452" t="s">
        <v>180</v>
      </c>
      <c r="AF107" s="452" t="s">
        <v>180</v>
      </c>
      <c r="AG107" s="452" t="s">
        <v>180</v>
      </c>
      <c r="AH107" s="452" t="s">
        <v>180</v>
      </c>
      <c r="AI107" s="452" t="s">
        <v>180</v>
      </c>
      <c r="AJ107" s="452" t="s">
        <v>180</v>
      </c>
    </row>
    <row r="108" spans="1:36" ht="15.95" customHeight="1">
      <c r="A108" s="450">
        <v>141170016</v>
      </c>
      <c r="B108" s="450" t="s">
        <v>315</v>
      </c>
      <c r="C108" s="451" t="s">
        <v>539</v>
      </c>
      <c r="D108" s="451" t="s">
        <v>316</v>
      </c>
      <c r="E108" s="452">
        <v>220</v>
      </c>
      <c r="F108" s="452" t="s">
        <v>222</v>
      </c>
      <c r="G108" s="452" t="s">
        <v>222</v>
      </c>
      <c r="H108" s="452" t="s">
        <v>222</v>
      </c>
      <c r="I108" s="452" t="s">
        <v>305</v>
      </c>
      <c r="J108" s="452" t="s">
        <v>540</v>
      </c>
      <c r="K108" s="451" t="s">
        <v>27</v>
      </c>
      <c r="L108" s="452" t="s">
        <v>337</v>
      </c>
      <c r="M108" s="452" t="s">
        <v>337</v>
      </c>
      <c r="N108" s="452" t="s">
        <v>307</v>
      </c>
      <c r="O108" s="452" t="s">
        <v>307</v>
      </c>
      <c r="P108" s="450" t="s">
        <v>309</v>
      </c>
      <c r="Q108" s="452" t="s">
        <v>534</v>
      </c>
      <c r="R108" s="451" t="s">
        <v>28</v>
      </c>
      <c r="S108" s="451" t="s">
        <v>323</v>
      </c>
      <c r="T108" s="451" t="s">
        <v>323</v>
      </c>
      <c r="U108" s="451" t="s">
        <v>323</v>
      </c>
      <c r="V108" s="452" t="s">
        <v>180</v>
      </c>
      <c r="W108" s="452" t="s">
        <v>180</v>
      </c>
      <c r="X108" s="452" t="s">
        <v>180</v>
      </c>
      <c r="Y108" s="453" t="s">
        <v>180</v>
      </c>
      <c r="Z108" s="452" t="s">
        <v>180</v>
      </c>
      <c r="AA108" s="452" t="s">
        <v>180</v>
      </c>
      <c r="AB108" s="452" t="s">
        <v>180</v>
      </c>
      <c r="AC108" s="452" t="s">
        <v>180</v>
      </c>
      <c r="AD108" s="452" t="s">
        <v>180</v>
      </c>
      <c r="AE108" s="452" t="s">
        <v>180</v>
      </c>
      <c r="AF108" s="452" t="s">
        <v>180</v>
      </c>
      <c r="AG108" s="452" t="s">
        <v>180</v>
      </c>
      <c r="AH108" s="452" t="s">
        <v>180</v>
      </c>
      <c r="AI108" s="452" t="s">
        <v>180</v>
      </c>
      <c r="AJ108" s="452" t="s">
        <v>180</v>
      </c>
    </row>
    <row r="109" spans="1:36" ht="15.95" customHeight="1">
      <c r="A109" s="450">
        <v>141170021</v>
      </c>
      <c r="B109" s="450" t="s">
        <v>391</v>
      </c>
      <c r="C109" s="451" t="s">
        <v>541</v>
      </c>
      <c r="D109" s="451" t="s">
        <v>392</v>
      </c>
      <c r="E109" s="452">
        <v>206</v>
      </c>
      <c r="F109" s="452" t="s">
        <v>222</v>
      </c>
      <c r="G109" s="452" t="s">
        <v>222</v>
      </c>
      <c r="H109" s="452" t="s">
        <v>222</v>
      </c>
      <c r="I109" s="452" t="s">
        <v>305</v>
      </c>
      <c r="J109" s="452" t="s">
        <v>465</v>
      </c>
      <c r="K109" s="451" t="s">
        <v>27</v>
      </c>
      <c r="L109" s="452" t="s">
        <v>307</v>
      </c>
      <c r="M109" s="452" t="s">
        <v>337</v>
      </c>
      <c r="N109" s="452" t="s">
        <v>337</v>
      </c>
      <c r="O109" s="452" t="s">
        <v>307</v>
      </c>
      <c r="P109" s="450" t="s">
        <v>309</v>
      </c>
      <c r="Q109" s="452" t="s">
        <v>534</v>
      </c>
      <c r="R109" s="451" t="s">
        <v>465</v>
      </c>
      <c r="S109" s="451" t="s">
        <v>535</v>
      </c>
      <c r="T109" s="451" t="s">
        <v>536</v>
      </c>
      <c r="U109" s="451" t="s">
        <v>536</v>
      </c>
      <c r="V109" s="452" t="s">
        <v>180</v>
      </c>
      <c r="W109" s="452" t="s">
        <v>180</v>
      </c>
      <c r="X109" s="452" t="s">
        <v>180</v>
      </c>
      <c r="Y109" s="453" t="s">
        <v>180</v>
      </c>
      <c r="Z109" s="452" t="s">
        <v>180</v>
      </c>
      <c r="AA109" s="452" t="s">
        <v>180</v>
      </c>
      <c r="AB109" s="452" t="s">
        <v>180</v>
      </c>
      <c r="AC109" s="452" t="s">
        <v>180</v>
      </c>
      <c r="AD109" s="452" t="s">
        <v>180</v>
      </c>
      <c r="AE109" s="452" t="s">
        <v>180</v>
      </c>
      <c r="AF109" s="452" t="s">
        <v>180</v>
      </c>
      <c r="AG109" s="452" t="s">
        <v>180</v>
      </c>
      <c r="AH109" s="452" t="s">
        <v>180</v>
      </c>
      <c r="AI109" s="452" t="s">
        <v>180</v>
      </c>
      <c r="AJ109" s="452" t="s">
        <v>180</v>
      </c>
    </row>
    <row r="110" spans="1:36" ht="15.95" customHeight="1">
      <c r="A110" s="450">
        <v>141170022</v>
      </c>
      <c r="B110" s="450" t="s">
        <v>391</v>
      </c>
      <c r="C110" s="451" t="s">
        <v>542</v>
      </c>
      <c r="D110" s="451" t="s">
        <v>392</v>
      </c>
      <c r="E110" s="452">
        <v>206</v>
      </c>
      <c r="F110" s="452" t="s">
        <v>222</v>
      </c>
      <c r="G110" s="452" t="s">
        <v>222</v>
      </c>
      <c r="H110" s="452" t="s">
        <v>222</v>
      </c>
      <c r="I110" s="452" t="s">
        <v>305</v>
      </c>
      <c r="J110" s="452" t="s">
        <v>465</v>
      </c>
      <c r="K110" s="451" t="s">
        <v>27</v>
      </c>
      <c r="L110" s="452" t="s">
        <v>307</v>
      </c>
      <c r="M110" s="452" t="s">
        <v>337</v>
      </c>
      <c r="N110" s="452" t="s">
        <v>337</v>
      </c>
      <c r="O110" s="452" t="s">
        <v>307</v>
      </c>
      <c r="P110" s="450" t="s">
        <v>309</v>
      </c>
      <c r="Q110" s="452" t="s">
        <v>534</v>
      </c>
      <c r="R110" s="451" t="s">
        <v>452</v>
      </c>
      <c r="S110" s="451" t="s">
        <v>535</v>
      </c>
      <c r="T110" s="451" t="s">
        <v>536</v>
      </c>
      <c r="U110" s="451" t="s">
        <v>536</v>
      </c>
      <c r="V110" s="452" t="s">
        <v>180</v>
      </c>
      <c r="W110" s="452" t="s">
        <v>180</v>
      </c>
      <c r="X110" s="452" t="s">
        <v>180</v>
      </c>
      <c r="Y110" s="453" t="s">
        <v>180</v>
      </c>
      <c r="Z110" s="452" t="s">
        <v>180</v>
      </c>
      <c r="AA110" s="452" t="s">
        <v>180</v>
      </c>
      <c r="AB110" s="452" t="s">
        <v>180</v>
      </c>
      <c r="AC110" s="452" t="s">
        <v>180</v>
      </c>
      <c r="AD110" s="452" t="s">
        <v>180</v>
      </c>
      <c r="AE110" s="452" t="s">
        <v>180</v>
      </c>
      <c r="AF110" s="452" t="s">
        <v>180</v>
      </c>
      <c r="AG110" s="452" t="s">
        <v>180</v>
      </c>
      <c r="AH110" s="452" t="s">
        <v>180</v>
      </c>
      <c r="AI110" s="452" t="s">
        <v>180</v>
      </c>
      <c r="AJ110" s="452" t="s">
        <v>180</v>
      </c>
    </row>
    <row r="111" spans="1:36" ht="15.95" customHeight="1">
      <c r="A111" s="450">
        <v>141200050</v>
      </c>
      <c r="B111" s="450" t="s">
        <v>319</v>
      </c>
      <c r="C111" s="451" t="s">
        <v>98</v>
      </c>
      <c r="D111" s="451" t="s">
        <v>320</v>
      </c>
      <c r="E111" s="452">
        <v>100</v>
      </c>
      <c r="F111" s="452" t="s">
        <v>222</v>
      </c>
      <c r="G111" s="452" t="s">
        <v>222</v>
      </c>
      <c r="H111" s="452" t="s">
        <v>222</v>
      </c>
      <c r="I111" s="452" t="s">
        <v>321</v>
      </c>
      <c r="J111" s="452" t="s">
        <v>332</v>
      </c>
      <c r="K111" s="451" t="s">
        <v>333</v>
      </c>
      <c r="L111" s="452" t="s">
        <v>334</v>
      </c>
      <c r="M111" s="452" t="s">
        <v>334</v>
      </c>
      <c r="N111" s="452" t="s">
        <v>323</v>
      </c>
      <c r="O111" s="452" t="s">
        <v>308</v>
      </c>
      <c r="P111" s="450" t="s">
        <v>325</v>
      </c>
      <c r="Q111" s="452" t="s">
        <v>97</v>
      </c>
      <c r="R111" s="451" t="s">
        <v>323</v>
      </c>
      <c r="S111" s="451" t="s">
        <v>72</v>
      </c>
      <c r="T111" s="451" t="s">
        <v>72</v>
      </c>
      <c r="U111" s="451" t="s">
        <v>323</v>
      </c>
      <c r="V111" s="452" t="s">
        <v>106</v>
      </c>
      <c r="W111" s="452" t="s">
        <v>123</v>
      </c>
      <c r="X111" s="452">
        <v>0</v>
      </c>
      <c r="Y111" s="453">
        <v>1.0475905417539659</v>
      </c>
      <c r="Z111" s="452">
        <v>0</v>
      </c>
      <c r="AA111" s="452">
        <v>0</v>
      </c>
      <c r="AB111" s="452">
        <v>0</v>
      </c>
      <c r="AC111" s="452">
        <v>0</v>
      </c>
      <c r="AD111" s="452">
        <v>0</v>
      </c>
      <c r="AE111" s="452">
        <v>0</v>
      </c>
      <c r="AF111" s="452">
        <v>0</v>
      </c>
      <c r="AG111" s="452">
        <v>0</v>
      </c>
      <c r="AH111" s="452">
        <v>0</v>
      </c>
      <c r="AI111" s="452">
        <v>0</v>
      </c>
      <c r="AJ111" s="452">
        <v>0</v>
      </c>
    </row>
    <row r="112" spans="1:36" ht="15.95" customHeight="1">
      <c r="A112" s="450">
        <v>141270007</v>
      </c>
      <c r="B112" s="450" t="s">
        <v>319</v>
      </c>
      <c r="C112" s="451" t="s">
        <v>543</v>
      </c>
      <c r="D112" s="451" t="s">
        <v>320</v>
      </c>
      <c r="E112" s="452">
        <v>116</v>
      </c>
      <c r="F112" s="452" t="s">
        <v>222</v>
      </c>
      <c r="G112" s="452" t="s">
        <v>222</v>
      </c>
      <c r="H112" s="452" t="s">
        <v>222</v>
      </c>
      <c r="I112" s="452" t="s">
        <v>321</v>
      </c>
      <c r="J112" s="452" t="s">
        <v>544</v>
      </c>
      <c r="K112" s="451" t="s">
        <v>333</v>
      </c>
      <c r="L112" s="452" t="s">
        <v>491</v>
      </c>
      <c r="M112" s="452" t="s">
        <v>491</v>
      </c>
      <c r="N112" s="452" t="s">
        <v>323</v>
      </c>
      <c r="O112" s="452" t="s">
        <v>308</v>
      </c>
      <c r="P112" s="450" t="s">
        <v>325</v>
      </c>
      <c r="Q112" s="452" t="s">
        <v>99</v>
      </c>
      <c r="R112" s="451" t="s">
        <v>337</v>
      </c>
      <c r="S112" s="451" t="s">
        <v>545</v>
      </c>
      <c r="T112" s="451" t="s">
        <v>323</v>
      </c>
      <c r="U112" s="451" t="s">
        <v>323</v>
      </c>
      <c r="V112" s="452" t="s">
        <v>106</v>
      </c>
      <c r="W112" s="452" t="s">
        <v>123</v>
      </c>
      <c r="X112" s="452">
        <v>0</v>
      </c>
      <c r="Y112" s="453">
        <v>0</v>
      </c>
      <c r="Z112" s="452">
        <v>0</v>
      </c>
      <c r="AA112" s="452">
        <v>0</v>
      </c>
      <c r="AB112" s="452">
        <v>0</v>
      </c>
      <c r="AC112" s="452">
        <v>0</v>
      </c>
      <c r="AD112" s="452">
        <v>0</v>
      </c>
      <c r="AE112" s="452">
        <v>0</v>
      </c>
      <c r="AF112" s="452">
        <v>0</v>
      </c>
      <c r="AG112" s="452">
        <v>0</v>
      </c>
      <c r="AH112" s="452">
        <v>0</v>
      </c>
      <c r="AI112" s="452">
        <v>0</v>
      </c>
      <c r="AJ112" s="452">
        <v>0</v>
      </c>
    </row>
    <row r="113" spans="1:36" ht="15.95" customHeight="1">
      <c r="A113" s="450">
        <v>141300004</v>
      </c>
      <c r="B113" s="450" t="s">
        <v>483</v>
      </c>
      <c r="C113" s="451" t="s">
        <v>101</v>
      </c>
      <c r="D113" s="451" t="s">
        <v>546</v>
      </c>
      <c r="E113" s="452">
        <v>130</v>
      </c>
      <c r="F113" s="452" t="s">
        <v>222</v>
      </c>
      <c r="G113" s="452" t="s">
        <v>222</v>
      </c>
      <c r="H113" s="452" t="s">
        <v>222</v>
      </c>
      <c r="I113" s="452" t="s">
        <v>305</v>
      </c>
      <c r="J113" s="452" t="s">
        <v>334</v>
      </c>
      <c r="K113" s="451" t="s">
        <v>333</v>
      </c>
      <c r="L113" s="452" t="s">
        <v>304</v>
      </c>
      <c r="M113" s="452" t="s">
        <v>304</v>
      </c>
      <c r="N113" s="452" t="s">
        <v>18</v>
      </c>
      <c r="O113" s="452" t="s">
        <v>547</v>
      </c>
      <c r="P113" s="450" t="s">
        <v>325</v>
      </c>
      <c r="Q113" s="452" t="s">
        <v>100</v>
      </c>
      <c r="R113" s="451" t="s">
        <v>18</v>
      </c>
      <c r="S113" s="451" t="s">
        <v>18</v>
      </c>
      <c r="T113" s="451" t="s">
        <v>18</v>
      </c>
      <c r="U113" s="451" t="s">
        <v>18</v>
      </c>
      <c r="V113" s="452" t="s">
        <v>106</v>
      </c>
      <c r="W113" s="452" t="s">
        <v>123</v>
      </c>
      <c r="X113" s="452">
        <v>0</v>
      </c>
      <c r="Y113" s="453">
        <v>0.89793475007482781</v>
      </c>
      <c r="Z113" s="452">
        <v>0</v>
      </c>
      <c r="AA113" s="452">
        <v>0</v>
      </c>
      <c r="AB113" s="452">
        <v>0</v>
      </c>
      <c r="AC113" s="452">
        <v>0</v>
      </c>
      <c r="AD113" s="452">
        <v>0</v>
      </c>
      <c r="AE113" s="452">
        <v>0</v>
      </c>
      <c r="AF113" s="452">
        <v>0</v>
      </c>
      <c r="AG113" s="452">
        <v>0</v>
      </c>
      <c r="AH113" s="452">
        <v>0</v>
      </c>
      <c r="AI113" s="452">
        <v>0</v>
      </c>
      <c r="AJ113" s="452">
        <v>0</v>
      </c>
    </row>
    <row r="114" spans="1:36" ht="15.95" customHeight="1">
      <c r="A114" s="450">
        <v>141300008</v>
      </c>
      <c r="B114" s="450" t="s">
        <v>319</v>
      </c>
      <c r="C114" s="451" t="s">
        <v>102</v>
      </c>
      <c r="D114" s="451" t="s">
        <v>320</v>
      </c>
      <c r="E114" s="452">
        <v>149</v>
      </c>
      <c r="F114" s="452" t="s">
        <v>222</v>
      </c>
      <c r="G114" s="452" t="s">
        <v>222</v>
      </c>
      <c r="H114" s="452" t="s">
        <v>222</v>
      </c>
      <c r="I114" s="452" t="s">
        <v>305</v>
      </c>
      <c r="J114" s="452" t="s">
        <v>430</v>
      </c>
      <c r="K114" s="451" t="s">
        <v>333</v>
      </c>
      <c r="L114" s="452" t="s">
        <v>370</v>
      </c>
      <c r="M114" s="452" t="s">
        <v>304</v>
      </c>
      <c r="N114" s="452" t="s">
        <v>18</v>
      </c>
      <c r="O114" s="452" t="s">
        <v>308</v>
      </c>
      <c r="P114" s="450" t="s">
        <v>325</v>
      </c>
      <c r="Q114" s="452" t="s">
        <v>100</v>
      </c>
      <c r="R114" s="451" t="s">
        <v>29</v>
      </c>
      <c r="S114" s="451" t="s">
        <v>548</v>
      </c>
      <c r="T114" s="451" t="s">
        <v>18</v>
      </c>
      <c r="U114" s="451" t="s">
        <v>18</v>
      </c>
      <c r="V114" s="452" t="s">
        <v>106</v>
      </c>
      <c r="W114" s="452" t="s">
        <v>123</v>
      </c>
      <c r="X114" s="452">
        <v>0</v>
      </c>
      <c r="Y114" s="453">
        <v>1.0775217000897934</v>
      </c>
      <c r="Z114" s="452">
        <v>0</v>
      </c>
      <c r="AA114" s="452">
        <v>0</v>
      </c>
      <c r="AB114" s="452">
        <v>0</v>
      </c>
      <c r="AC114" s="452">
        <v>0</v>
      </c>
      <c r="AD114" s="452">
        <v>0</v>
      </c>
      <c r="AE114" s="452">
        <v>0</v>
      </c>
      <c r="AF114" s="452">
        <v>0</v>
      </c>
      <c r="AG114" s="452">
        <v>0</v>
      </c>
      <c r="AH114" s="452">
        <v>0</v>
      </c>
      <c r="AI114" s="452">
        <v>0</v>
      </c>
      <c r="AJ114" s="452">
        <v>0</v>
      </c>
    </row>
    <row r="115" spans="1:36" ht="15.95" customHeight="1">
      <c r="A115" s="450">
        <v>141300014</v>
      </c>
      <c r="B115" s="450" t="s">
        <v>483</v>
      </c>
      <c r="C115" s="451" t="s">
        <v>549</v>
      </c>
      <c r="D115" s="451" t="s">
        <v>550</v>
      </c>
      <c r="E115" s="452">
        <v>150</v>
      </c>
      <c r="F115" s="452" t="s">
        <v>222</v>
      </c>
      <c r="G115" s="452" t="s">
        <v>222</v>
      </c>
      <c r="H115" s="452" t="s">
        <v>222</v>
      </c>
      <c r="I115" s="452" t="s">
        <v>305</v>
      </c>
      <c r="J115" s="452" t="s">
        <v>335</v>
      </c>
      <c r="K115" s="451" t="s">
        <v>551</v>
      </c>
      <c r="L115" s="452" t="s">
        <v>304</v>
      </c>
      <c r="M115" s="452" t="s">
        <v>304</v>
      </c>
      <c r="N115" s="452" t="s">
        <v>323</v>
      </c>
      <c r="O115" s="452" t="s">
        <v>308</v>
      </c>
      <c r="P115" s="450" t="s">
        <v>325</v>
      </c>
      <c r="Q115" s="452" t="s">
        <v>100</v>
      </c>
      <c r="R115" s="451" t="s">
        <v>552</v>
      </c>
      <c r="S115" s="451" t="s">
        <v>323</v>
      </c>
      <c r="T115" s="451" t="s">
        <v>323</v>
      </c>
      <c r="U115" s="451" t="s">
        <v>323</v>
      </c>
      <c r="V115" s="452" t="s">
        <v>180</v>
      </c>
      <c r="W115" s="452" t="s">
        <v>180</v>
      </c>
      <c r="X115" s="452" t="s">
        <v>180</v>
      </c>
      <c r="Y115" s="453" t="s">
        <v>180</v>
      </c>
      <c r="Z115" s="452" t="s">
        <v>180</v>
      </c>
      <c r="AA115" s="452" t="s">
        <v>180</v>
      </c>
      <c r="AB115" s="452" t="s">
        <v>180</v>
      </c>
      <c r="AC115" s="452" t="s">
        <v>180</v>
      </c>
      <c r="AD115" s="452" t="s">
        <v>180</v>
      </c>
      <c r="AE115" s="452" t="s">
        <v>180</v>
      </c>
      <c r="AF115" s="452" t="s">
        <v>180</v>
      </c>
      <c r="AG115" s="452" t="s">
        <v>180</v>
      </c>
      <c r="AH115" s="452" t="s">
        <v>180</v>
      </c>
      <c r="AI115" s="452" t="s">
        <v>180</v>
      </c>
      <c r="AJ115" s="452" t="s">
        <v>180</v>
      </c>
    </row>
    <row r="116" spans="1:36" ht="15.95" customHeight="1">
      <c r="A116" s="450">
        <v>141300015</v>
      </c>
      <c r="B116" s="450" t="s">
        <v>553</v>
      </c>
      <c r="C116" s="451" t="s">
        <v>554</v>
      </c>
      <c r="D116" s="451" t="s">
        <v>364</v>
      </c>
      <c r="E116" s="452">
        <v>150</v>
      </c>
      <c r="F116" s="452" t="s">
        <v>370</v>
      </c>
      <c r="G116" s="452" t="s">
        <v>370</v>
      </c>
      <c r="H116" s="452" t="s">
        <v>323</v>
      </c>
      <c r="I116" s="452" t="s">
        <v>305</v>
      </c>
      <c r="J116" s="452" t="s">
        <v>370</v>
      </c>
      <c r="K116" s="451" t="s">
        <v>555</v>
      </c>
      <c r="L116" s="452" t="s">
        <v>307</v>
      </c>
      <c r="M116" s="452" t="s">
        <v>335</v>
      </c>
      <c r="N116" s="452" t="s">
        <v>323</v>
      </c>
      <c r="O116" s="452" t="s">
        <v>307</v>
      </c>
      <c r="P116" s="450" t="s">
        <v>419</v>
      </c>
      <c r="Q116" s="452" t="s">
        <v>100</v>
      </c>
      <c r="R116" s="451" t="s">
        <v>323</v>
      </c>
      <c r="S116" s="451" t="s">
        <v>323</v>
      </c>
      <c r="T116" s="451" t="s">
        <v>556</v>
      </c>
      <c r="U116" s="451" t="s">
        <v>323</v>
      </c>
      <c r="V116" s="452" t="s">
        <v>180</v>
      </c>
      <c r="W116" s="452" t="s">
        <v>180</v>
      </c>
      <c r="X116" s="452" t="s">
        <v>180</v>
      </c>
      <c r="Y116" s="453" t="s">
        <v>180</v>
      </c>
      <c r="Z116" s="452" t="s">
        <v>180</v>
      </c>
      <c r="AA116" s="452" t="s">
        <v>180</v>
      </c>
      <c r="AB116" s="452" t="s">
        <v>180</v>
      </c>
      <c r="AC116" s="452" t="s">
        <v>180</v>
      </c>
      <c r="AD116" s="452" t="s">
        <v>180</v>
      </c>
      <c r="AE116" s="452" t="s">
        <v>180</v>
      </c>
      <c r="AF116" s="452" t="s">
        <v>180</v>
      </c>
      <c r="AG116" s="452" t="s">
        <v>180</v>
      </c>
      <c r="AH116" s="452" t="s">
        <v>180</v>
      </c>
      <c r="AI116" s="452" t="s">
        <v>180</v>
      </c>
      <c r="AJ116" s="452" t="s">
        <v>180</v>
      </c>
    </row>
    <row r="117" spans="1:36" ht="15.95" customHeight="1">
      <c r="A117" s="450">
        <v>141320018</v>
      </c>
      <c r="B117" s="450" t="s">
        <v>501</v>
      </c>
      <c r="C117" s="451" t="s">
        <v>557</v>
      </c>
      <c r="D117" s="451" t="s">
        <v>417</v>
      </c>
      <c r="E117" s="452">
        <v>88</v>
      </c>
      <c r="F117" s="452" t="s">
        <v>307</v>
      </c>
      <c r="G117" s="452" t="s">
        <v>370</v>
      </c>
      <c r="H117" s="452" t="s">
        <v>307</v>
      </c>
      <c r="I117" s="452" t="s">
        <v>305</v>
      </c>
      <c r="J117" s="452" t="s">
        <v>307</v>
      </c>
      <c r="K117" s="451" t="s">
        <v>27</v>
      </c>
      <c r="L117" s="452" t="s">
        <v>307</v>
      </c>
      <c r="M117" s="452" t="s">
        <v>370</v>
      </c>
      <c r="N117" s="452" t="s">
        <v>307</v>
      </c>
      <c r="O117" s="452" t="s">
        <v>307</v>
      </c>
      <c r="P117" s="450" t="s">
        <v>313</v>
      </c>
      <c r="Q117" s="452" t="s">
        <v>558</v>
      </c>
      <c r="R117" s="451" t="s">
        <v>18</v>
      </c>
      <c r="S117" s="451" t="s">
        <v>559</v>
      </c>
      <c r="T117" s="451" t="s">
        <v>560</v>
      </c>
      <c r="U117" s="451" t="s">
        <v>559</v>
      </c>
      <c r="V117" s="452" t="s">
        <v>105</v>
      </c>
      <c r="W117" s="452" t="s">
        <v>123</v>
      </c>
      <c r="X117" s="452">
        <v>0</v>
      </c>
      <c r="Y117" s="453">
        <v>1.4466726528983338</v>
      </c>
      <c r="Z117" s="452">
        <v>0</v>
      </c>
      <c r="AA117" s="452">
        <v>0</v>
      </c>
      <c r="AB117" s="452">
        <v>0</v>
      </c>
      <c r="AC117" s="452">
        <v>0</v>
      </c>
      <c r="AD117" s="452">
        <v>0</v>
      </c>
      <c r="AE117" s="452">
        <v>0</v>
      </c>
      <c r="AF117" s="452">
        <v>0</v>
      </c>
      <c r="AG117" s="452">
        <v>0</v>
      </c>
      <c r="AH117" s="452">
        <v>0</v>
      </c>
      <c r="AI117" s="452">
        <v>0</v>
      </c>
      <c r="AJ117" s="452">
        <v>0</v>
      </c>
    </row>
    <row r="118" spans="1:36" ht="15.95" customHeight="1">
      <c r="A118" s="450">
        <v>141320031</v>
      </c>
      <c r="B118" s="450" t="s">
        <v>319</v>
      </c>
      <c r="C118" s="451" t="s">
        <v>561</v>
      </c>
      <c r="D118" s="451" t="s">
        <v>320</v>
      </c>
      <c r="E118" s="452">
        <v>192</v>
      </c>
      <c r="F118" s="452" t="s">
        <v>222</v>
      </c>
      <c r="G118" s="452" t="s">
        <v>222</v>
      </c>
      <c r="H118" s="452" t="s">
        <v>222</v>
      </c>
      <c r="I118" s="452" t="s">
        <v>321</v>
      </c>
      <c r="J118" s="452" t="s">
        <v>305</v>
      </c>
      <c r="K118" s="451" t="s">
        <v>17</v>
      </c>
      <c r="L118" s="452" t="s">
        <v>306</v>
      </c>
      <c r="M118" s="452" t="s">
        <v>306</v>
      </c>
      <c r="N118" s="452" t="s">
        <v>323</v>
      </c>
      <c r="O118" s="452" t="s">
        <v>308</v>
      </c>
      <c r="P118" s="450" t="s">
        <v>325</v>
      </c>
      <c r="Q118" s="452" t="s">
        <v>103</v>
      </c>
      <c r="R118" s="451" t="s">
        <v>11</v>
      </c>
      <c r="S118" s="451" t="s">
        <v>326</v>
      </c>
      <c r="T118" s="451" t="s">
        <v>326</v>
      </c>
      <c r="U118" s="451" t="s">
        <v>323</v>
      </c>
      <c r="V118" s="452" t="s">
        <v>106</v>
      </c>
      <c r="W118" s="452" t="s">
        <v>123</v>
      </c>
      <c r="X118" s="452">
        <v>0</v>
      </c>
      <c r="Y118" s="453">
        <v>1.0575675945325751</v>
      </c>
      <c r="Z118" s="452">
        <v>0</v>
      </c>
      <c r="AA118" s="452">
        <v>0</v>
      </c>
      <c r="AB118" s="452">
        <v>0</v>
      </c>
      <c r="AC118" s="452">
        <v>0</v>
      </c>
      <c r="AD118" s="452">
        <v>0</v>
      </c>
      <c r="AE118" s="452">
        <v>0</v>
      </c>
      <c r="AF118" s="452">
        <v>0</v>
      </c>
      <c r="AG118" s="452">
        <v>0</v>
      </c>
      <c r="AH118" s="452">
        <v>0</v>
      </c>
      <c r="AI118" s="452">
        <v>0</v>
      </c>
      <c r="AJ118" s="452">
        <v>0</v>
      </c>
    </row>
    <row r="119" spans="1:36" ht="15.95" customHeight="1">
      <c r="A119" s="450">
        <v>141320032</v>
      </c>
      <c r="B119" s="450" t="s">
        <v>319</v>
      </c>
      <c r="C119" s="451" t="s">
        <v>69</v>
      </c>
      <c r="D119" s="451" t="s">
        <v>320</v>
      </c>
      <c r="E119" s="452">
        <v>221</v>
      </c>
      <c r="F119" s="452" t="s">
        <v>222</v>
      </c>
      <c r="G119" s="452" t="s">
        <v>222</v>
      </c>
      <c r="H119" s="452" t="s">
        <v>222</v>
      </c>
      <c r="I119" s="452" t="s">
        <v>321</v>
      </c>
      <c r="J119" s="452" t="s">
        <v>305</v>
      </c>
      <c r="K119" s="451" t="s">
        <v>17</v>
      </c>
      <c r="L119" s="452" t="s">
        <v>306</v>
      </c>
      <c r="M119" s="452" t="s">
        <v>306</v>
      </c>
      <c r="N119" s="452" t="s">
        <v>323</v>
      </c>
      <c r="O119" s="452" t="s">
        <v>307</v>
      </c>
      <c r="P119" s="450" t="s">
        <v>325</v>
      </c>
      <c r="Q119" s="452" t="s">
        <v>103</v>
      </c>
      <c r="R119" s="451" t="s">
        <v>70</v>
      </c>
      <c r="S119" s="451" t="s">
        <v>326</v>
      </c>
      <c r="T119" s="451" t="s">
        <v>326</v>
      </c>
      <c r="U119" s="451" t="s">
        <v>323</v>
      </c>
      <c r="V119" s="452" t="s">
        <v>106</v>
      </c>
      <c r="W119" s="452" t="s">
        <v>123</v>
      </c>
      <c r="X119" s="452">
        <v>0</v>
      </c>
      <c r="Y119" s="453">
        <v>1.0575675945325751</v>
      </c>
      <c r="Z119" s="452">
        <v>0</v>
      </c>
      <c r="AA119" s="452">
        <v>0</v>
      </c>
      <c r="AB119" s="452">
        <v>0</v>
      </c>
      <c r="AC119" s="452">
        <v>0</v>
      </c>
      <c r="AD119" s="452">
        <v>0</v>
      </c>
      <c r="AE119" s="452">
        <v>0</v>
      </c>
      <c r="AF119" s="452">
        <v>0</v>
      </c>
      <c r="AG119" s="452">
        <v>0</v>
      </c>
      <c r="AH119" s="452">
        <v>0</v>
      </c>
      <c r="AI119" s="452">
        <v>0</v>
      </c>
      <c r="AJ119" s="452">
        <v>0</v>
      </c>
    </row>
    <row r="120" spans="1:36" ht="15.95" customHeight="1">
      <c r="A120" s="450">
        <v>141320033</v>
      </c>
      <c r="B120" s="450" t="s">
        <v>319</v>
      </c>
      <c r="C120" s="451" t="s">
        <v>71</v>
      </c>
      <c r="D120" s="451" t="s">
        <v>320</v>
      </c>
      <c r="E120" s="452">
        <v>212</v>
      </c>
      <c r="F120" s="452" t="s">
        <v>222</v>
      </c>
      <c r="G120" s="452" t="s">
        <v>222</v>
      </c>
      <c r="H120" s="452" t="s">
        <v>222</v>
      </c>
      <c r="I120" s="452" t="s">
        <v>321</v>
      </c>
      <c r="J120" s="452" t="s">
        <v>305</v>
      </c>
      <c r="K120" s="451" t="s">
        <v>17</v>
      </c>
      <c r="L120" s="452" t="s">
        <v>306</v>
      </c>
      <c r="M120" s="452" t="s">
        <v>306</v>
      </c>
      <c r="N120" s="452" t="s">
        <v>323</v>
      </c>
      <c r="O120" s="452" t="s">
        <v>307</v>
      </c>
      <c r="P120" s="450" t="s">
        <v>325</v>
      </c>
      <c r="Q120" s="452" t="s">
        <v>103</v>
      </c>
      <c r="R120" s="451" t="s">
        <v>11</v>
      </c>
      <c r="S120" s="451" t="s">
        <v>326</v>
      </c>
      <c r="T120" s="451" t="s">
        <v>326</v>
      </c>
      <c r="U120" s="451" t="s">
        <v>323</v>
      </c>
      <c r="V120" s="452" t="s">
        <v>106</v>
      </c>
      <c r="W120" s="452" t="s">
        <v>123</v>
      </c>
      <c r="X120" s="452">
        <v>0</v>
      </c>
      <c r="Y120" s="453">
        <v>1.0575675945325751</v>
      </c>
      <c r="Z120" s="452">
        <v>0</v>
      </c>
      <c r="AA120" s="452">
        <v>0</v>
      </c>
      <c r="AB120" s="452">
        <v>0</v>
      </c>
      <c r="AC120" s="452">
        <v>0</v>
      </c>
      <c r="AD120" s="452">
        <v>0</v>
      </c>
      <c r="AE120" s="452">
        <v>0</v>
      </c>
      <c r="AF120" s="452">
        <v>0</v>
      </c>
      <c r="AG120" s="452">
        <v>0</v>
      </c>
      <c r="AH120" s="452">
        <v>0</v>
      </c>
      <c r="AI120" s="452">
        <v>0</v>
      </c>
      <c r="AJ120" s="452">
        <v>0</v>
      </c>
    </row>
    <row r="121" spans="1:36" ht="15.95" customHeight="1">
      <c r="A121" s="450">
        <v>141320055</v>
      </c>
      <c r="B121" s="450" t="s">
        <v>319</v>
      </c>
      <c r="C121" s="451" t="s">
        <v>462</v>
      </c>
      <c r="D121" s="451" t="s">
        <v>320</v>
      </c>
      <c r="E121" s="452">
        <v>180</v>
      </c>
      <c r="F121" s="452" t="s">
        <v>222</v>
      </c>
      <c r="G121" s="452" t="s">
        <v>222</v>
      </c>
      <c r="H121" s="452" t="s">
        <v>222</v>
      </c>
      <c r="I121" s="452" t="s">
        <v>332</v>
      </c>
      <c r="J121" s="452" t="s">
        <v>305</v>
      </c>
      <c r="K121" s="451" t="s">
        <v>333</v>
      </c>
      <c r="L121" s="452" t="s">
        <v>334</v>
      </c>
      <c r="M121" s="452" t="s">
        <v>334</v>
      </c>
      <c r="N121" s="452" t="s">
        <v>334</v>
      </c>
      <c r="O121" s="452" t="s">
        <v>308</v>
      </c>
      <c r="P121" s="450" t="s">
        <v>325</v>
      </c>
      <c r="Q121" s="452" t="s">
        <v>103</v>
      </c>
      <c r="R121" s="451" t="s">
        <v>72</v>
      </c>
      <c r="S121" s="451" t="s">
        <v>72</v>
      </c>
      <c r="T121" s="451" t="s">
        <v>72</v>
      </c>
      <c r="U121" s="451" t="s">
        <v>222</v>
      </c>
      <c r="V121" s="452" t="s">
        <v>106</v>
      </c>
      <c r="W121" s="452" t="s">
        <v>123</v>
      </c>
      <c r="X121" s="452">
        <v>0</v>
      </c>
      <c r="Y121" s="453">
        <v>1.1274069639828395</v>
      </c>
      <c r="Z121" s="452">
        <v>0</v>
      </c>
      <c r="AA121" s="452">
        <v>0</v>
      </c>
      <c r="AB121" s="452">
        <v>0</v>
      </c>
      <c r="AC121" s="452">
        <v>0</v>
      </c>
      <c r="AD121" s="452">
        <v>0</v>
      </c>
      <c r="AE121" s="452">
        <v>0</v>
      </c>
      <c r="AF121" s="452">
        <v>0</v>
      </c>
      <c r="AG121" s="452">
        <v>0</v>
      </c>
      <c r="AH121" s="452">
        <v>0</v>
      </c>
      <c r="AI121" s="452">
        <v>0</v>
      </c>
      <c r="AJ121" s="452">
        <v>0</v>
      </c>
    </row>
    <row r="122" spans="1:36" ht="15.95" customHeight="1">
      <c r="A122" s="450">
        <v>141650001</v>
      </c>
      <c r="B122" s="450" t="s">
        <v>369</v>
      </c>
      <c r="C122" s="451" t="s">
        <v>562</v>
      </c>
      <c r="D122" s="451" t="s">
        <v>316</v>
      </c>
      <c r="E122" s="452">
        <v>183</v>
      </c>
      <c r="F122" s="452" t="s">
        <v>308</v>
      </c>
      <c r="G122" s="452" t="s">
        <v>308</v>
      </c>
      <c r="H122" s="452" t="s">
        <v>348</v>
      </c>
      <c r="I122" s="452" t="s">
        <v>305</v>
      </c>
      <c r="J122" s="452" t="s">
        <v>348</v>
      </c>
      <c r="K122" s="451" t="s">
        <v>27</v>
      </c>
      <c r="L122" s="452" t="s">
        <v>370</v>
      </c>
      <c r="M122" s="452" t="s">
        <v>370</v>
      </c>
      <c r="N122" s="452" t="s">
        <v>370</v>
      </c>
      <c r="O122" s="452" t="s">
        <v>308</v>
      </c>
      <c r="P122" s="450" t="s">
        <v>313</v>
      </c>
      <c r="Q122" s="452" t="s">
        <v>104</v>
      </c>
      <c r="R122" s="451" t="s">
        <v>323</v>
      </c>
      <c r="S122" s="451" t="s">
        <v>371</v>
      </c>
      <c r="T122" s="451" t="s">
        <v>371</v>
      </c>
      <c r="U122" s="451" t="s">
        <v>372</v>
      </c>
      <c r="V122" s="452" t="s">
        <v>105</v>
      </c>
      <c r="W122" s="452" t="s">
        <v>172</v>
      </c>
      <c r="X122" s="452">
        <v>0</v>
      </c>
      <c r="Y122" s="453">
        <v>1.207223386211713</v>
      </c>
      <c r="Z122" s="452" t="s">
        <v>165</v>
      </c>
      <c r="AA122" s="452" t="s">
        <v>166</v>
      </c>
      <c r="AB122" s="452" t="s">
        <v>122</v>
      </c>
      <c r="AC122" s="452">
        <v>6.9</v>
      </c>
      <c r="AD122" s="452" t="s">
        <v>124</v>
      </c>
      <c r="AE122" s="452" t="s">
        <v>125</v>
      </c>
      <c r="AF122" s="452" t="s">
        <v>126</v>
      </c>
      <c r="AG122" s="452">
        <v>0</v>
      </c>
      <c r="AH122" s="452">
        <v>0</v>
      </c>
      <c r="AI122" s="452">
        <v>0</v>
      </c>
      <c r="AJ122" s="452">
        <v>0</v>
      </c>
    </row>
    <row r="123" spans="1:36" ht="15.95" customHeight="1">
      <c r="A123" s="450">
        <v>141670001</v>
      </c>
      <c r="B123" s="450" t="s">
        <v>369</v>
      </c>
      <c r="C123" s="451" t="s">
        <v>563</v>
      </c>
      <c r="D123" s="451" t="s">
        <v>316</v>
      </c>
      <c r="E123" s="452">
        <v>192</v>
      </c>
      <c r="F123" s="452" t="s">
        <v>564</v>
      </c>
      <c r="G123" s="452" t="s">
        <v>564</v>
      </c>
      <c r="H123" s="452" t="s">
        <v>565</v>
      </c>
      <c r="I123" s="452" t="s">
        <v>305</v>
      </c>
      <c r="J123" s="452" t="s">
        <v>565</v>
      </c>
      <c r="K123" s="451" t="s">
        <v>27</v>
      </c>
      <c r="L123" s="452" t="s">
        <v>307</v>
      </c>
      <c r="M123" s="452" t="s">
        <v>307</v>
      </c>
      <c r="N123" s="452" t="s">
        <v>307</v>
      </c>
      <c r="O123" s="452" t="s">
        <v>308</v>
      </c>
      <c r="P123" s="450" t="s">
        <v>313</v>
      </c>
      <c r="Q123" s="452" t="s">
        <v>566</v>
      </c>
      <c r="R123" s="451" t="s">
        <v>505</v>
      </c>
      <c r="S123" s="451" t="s">
        <v>567</v>
      </c>
      <c r="T123" s="451" t="s">
        <v>567</v>
      </c>
      <c r="U123" s="451" t="s">
        <v>568</v>
      </c>
      <c r="V123" s="452" t="s">
        <v>180</v>
      </c>
      <c r="W123" s="452" t="s">
        <v>180</v>
      </c>
      <c r="X123" s="452" t="s">
        <v>180</v>
      </c>
      <c r="Y123" s="453" t="s">
        <v>180</v>
      </c>
      <c r="Z123" s="452" t="s">
        <v>180</v>
      </c>
      <c r="AA123" s="452" t="s">
        <v>180</v>
      </c>
      <c r="AB123" s="452" t="s">
        <v>180</v>
      </c>
      <c r="AC123" s="452" t="s">
        <v>180</v>
      </c>
      <c r="AD123" s="452" t="s">
        <v>180</v>
      </c>
      <c r="AE123" s="452" t="s">
        <v>180</v>
      </c>
      <c r="AF123" s="452" t="s">
        <v>180</v>
      </c>
      <c r="AG123" s="452" t="s">
        <v>180</v>
      </c>
      <c r="AH123" s="452" t="s">
        <v>180</v>
      </c>
      <c r="AI123" s="452" t="s">
        <v>180</v>
      </c>
      <c r="AJ123" s="452" t="s">
        <v>180</v>
      </c>
    </row>
    <row r="124" spans="1:36" ht="15.95" customHeight="1">
      <c r="A124" s="450">
        <v>140310075</v>
      </c>
      <c r="B124" s="450" t="s">
        <v>315</v>
      </c>
      <c r="C124" s="451" t="s">
        <v>569</v>
      </c>
      <c r="D124" s="451" t="s">
        <v>316</v>
      </c>
      <c r="E124" s="452">
        <v>219</v>
      </c>
      <c r="F124" s="452" t="s">
        <v>328</v>
      </c>
      <c r="G124" s="452" t="s">
        <v>328</v>
      </c>
      <c r="H124" s="452" t="s">
        <v>488</v>
      </c>
      <c r="I124" s="452" t="s">
        <v>305</v>
      </c>
      <c r="J124" s="452" t="s">
        <v>328</v>
      </c>
      <c r="K124" s="451" t="s">
        <v>27</v>
      </c>
      <c r="L124" s="452" t="s">
        <v>337</v>
      </c>
      <c r="M124" s="452" t="s">
        <v>337</v>
      </c>
      <c r="N124" s="452" t="s">
        <v>307</v>
      </c>
      <c r="O124" s="452" t="s">
        <v>307</v>
      </c>
      <c r="P124" s="450" t="s">
        <v>309</v>
      </c>
      <c r="Q124" s="452" t="s">
        <v>55</v>
      </c>
      <c r="R124" s="451" t="s">
        <v>570</v>
      </c>
      <c r="S124" s="451" t="s">
        <v>339</v>
      </c>
      <c r="T124" s="451" t="s">
        <v>339</v>
      </c>
      <c r="U124" s="451" t="s">
        <v>571</v>
      </c>
      <c r="V124" s="452" t="s">
        <v>105</v>
      </c>
      <c r="W124" s="452" t="s">
        <v>123</v>
      </c>
      <c r="X124" s="452" t="s">
        <v>173</v>
      </c>
      <c r="Y124" s="453">
        <v>1.6063054973560809</v>
      </c>
      <c r="Z124" s="452" t="s">
        <v>111</v>
      </c>
      <c r="AA124" s="452" t="s">
        <v>163</v>
      </c>
      <c r="AB124" s="452" t="s">
        <v>122</v>
      </c>
      <c r="AC124" s="452">
        <v>0</v>
      </c>
      <c r="AD124" s="452" t="s">
        <v>141</v>
      </c>
      <c r="AE124" s="452" t="s">
        <v>139</v>
      </c>
      <c r="AF124" s="452">
        <v>0</v>
      </c>
      <c r="AG124" s="452">
        <v>0</v>
      </c>
      <c r="AH124" s="452" t="s">
        <v>142</v>
      </c>
      <c r="AI124" s="452" t="s">
        <v>126</v>
      </c>
      <c r="AJ124" s="452" t="s">
        <v>143</v>
      </c>
    </row>
    <row r="125" spans="1:36" ht="15.95" customHeight="1">
      <c r="A125" s="450">
        <v>140310031</v>
      </c>
      <c r="B125" s="450" t="s">
        <v>391</v>
      </c>
      <c r="C125" s="451" t="s">
        <v>572</v>
      </c>
      <c r="D125" s="451" t="s">
        <v>417</v>
      </c>
      <c r="E125" s="452">
        <v>203</v>
      </c>
      <c r="F125" s="452" t="s">
        <v>329</v>
      </c>
      <c r="G125" s="452" t="s">
        <v>329</v>
      </c>
      <c r="H125" s="452" t="s">
        <v>410</v>
      </c>
      <c r="I125" s="452" t="s">
        <v>321</v>
      </c>
      <c r="J125" s="452" t="s">
        <v>329</v>
      </c>
      <c r="K125" s="451" t="s">
        <v>40</v>
      </c>
      <c r="L125" s="452" t="s">
        <v>337</v>
      </c>
      <c r="M125" s="452" t="s">
        <v>337</v>
      </c>
      <c r="N125" s="452" t="s">
        <v>432</v>
      </c>
      <c r="O125" s="452" t="s">
        <v>307</v>
      </c>
      <c r="P125" s="450" t="s">
        <v>309</v>
      </c>
      <c r="Q125" s="452" t="s">
        <v>55</v>
      </c>
      <c r="R125" s="451" t="s">
        <v>335</v>
      </c>
      <c r="S125" s="451" t="s">
        <v>573</v>
      </c>
      <c r="T125" s="451" t="s">
        <v>573</v>
      </c>
      <c r="U125" s="451" t="s">
        <v>574</v>
      </c>
      <c r="V125" s="452" t="s">
        <v>105</v>
      </c>
      <c r="W125" s="452" t="s">
        <v>171</v>
      </c>
      <c r="X125" s="452">
        <v>0</v>
      </c>
      <c r="Y125" s="453">
        <v>1.9455252918287937</v>
      </c>
      <c r="Z125" s="452">
        <v>461</v>
      </c>
      <c r="AA125" s="452" t="s">
        <v>163</v>
      </c>
      <c r="AB125" s="452" t="s">
        <v>122</v>
      </c>
      <c r="AC125" s="452">
        <v>0</v>
      </c>
      <c r="AD125" s="452" t="s">
        <v>141</v>
      </c>
      <c r="AE125" s="452" t="s">
        <v>139</v>
      </c>
      <c r="AF125" s="452">
        <v>0</v>
      </c>
      <c r="AG125" s="452">
        <v>0</v>
      </c>
      <c r="AH125" s="452" t="s">
        <v>128</v>
      </c>
      <c r="AI125" s="452">
        <v>0</v>
      </c>
      <c r="AJ125" s="452">
        <v>0</v>
      </c>
    </row>
    <row r="126" spans="1:36" ht="15.95" customHeight="1">
      <c r="A126" s="450">
        <v>140550084</v>
      </c>
      <c r="B126" s="450" t="s">
        <v>477</v>
      </c>
      <c r="C126" s="451" t="s">
        <v>575</v>
      </c>
      <c r="D126" s="451" t="s">
        <v>417</v>
      </c>
      <c r="E126" s="452">
        <v>190</v>
      </c>
      <c r="F126" s="452" t="s">
        <v>222</v>
      </c>
      <c r="G126" s="452" t="s">
        <v>222</v>
      </c>
      <c r="H126" s="452" t="s">
        <v>222</v>
      </c>
      <c r="I126" s="452" t="s">
        <v>321</v>
      </c>
      <c r="J126" s="452" t="s">
        <v>321</v>
      </c>
      <c r="K126" s="451" t="s">
        <v>485</v>
      </c>
      <c r="L126" s="452" t="s">
        <v>306</v>
      </c>
      <c r="M126" s="452" t="s">
        <v>306</v>
      </c>
      <c r="N126" s="452" t="s">
        <v>222</v>
      </c>
      <c r="O126" s="452" t="s">
        <v>308</v>
      </c>
      <c r="P126" s="450" t="s">
        <v>325</v>
      </c>
      <c r="Q126" s="452" t="s">
        <v>73</v>
      </c>
      <c r="R126" s="451" t="s">
        <v>323</v>
      </c>
      <c r="S126" s="451" t="s">
        <v>113</v>
      </c>
      <c r="T126" s="451" t="s">
        <v>113</v>
      </c>
      <c r="U126" s="451" t="s">
        <v>323</v>
      </c>
      <c r="V126" s="452" t="s">
        <v>106</v>
      </c>
      <c r="W126" s="452" t="s">
        <v>172</v>
      </c>
      <c r="X126" s="452">
        <v>0</v>
      </c>
      <c r="Y126" s="453">
        <v>1.5763743390202534</v>
      </c>
      <c r="Z126" s="452" t="s">
        <v>113</v>
      </c>
      <c r="AA126" s="452" t="s">
        <v>122</v>
      </c>
      <c r="AB126" s="452" t="s">
        <v>122</v>
      </c>
      <c r="AC126" s="452">
        <v>0</v>
      </c>
      <c r="AD126" s="452">
        <v>0</v>
      </c>
      <c r="AE126" s="452">
        <v>0</v>
      </c>
      <c r="AF126" s="452">
        <v>0</v>
      </c>
      <c r="AG126" s="452">
        <v>0</v>
      </c>
      <c r="AH126" s="452">
        <v>0</v>
      </c>
      <c r="AI126" s="452">
        <v>0</v>
      </c>
      <c r="AJ126" s="452">
        <v>0</v>
      </c>
    </row>
    <row r="127" spans="1:36" ht="15.95" customHeight="1">
      <c r="A127" s="450">
        <v>140220019</v>
      </c>
      <c r="B127" s="450" t="s">
        <v>494</v>
      </c>
      <c r="C127" s="451" t="s">
        <v>576</v>
      </c>
      <c r="D127" s="451" t="s">
        <v>496</v>
      </c>
      <c r="E127" s="452">
        <v>197</v>
      </c>
      <c r="F127" s="452" t="s">
        <v>335</v>
      </c>
      <c r="G127" s="452" t="s">
        <v>335</v>
      </c>
      <c r="H127" s="452" t="s">
        <v>373</v>
      </c>
      <c r="I127" s="452" t="s">
        <v>305</v>
      </c>
      <c r="J127" s="452" t="s">
        <v>373</v>
      </c>
      <c r="K127" s="451" t="s">
        <v>27</v>
      </c>
      <c r="L127" s="452" t="s">
        <v>370</v>
      </c>
      <c r="M127" s="452" t="s">
        <v>370</v>
      </c>
      <c r="N127" s="452" t="s">
        <v>307</v>
      </c>
      <c r="O127" s="452" t="s">
        <v>307</v>
      </c>
      <c r="P127" s="450" t="s">
        <v>381</v>
      </c>
      <c r="Q127" s="452" t="s">
        <v>577</v>
      </c>
      <c r="R127" s="451" t="s">
        <v>374</v>
      </c>
      <c r="S127" s="451" t="s">
        <v>578</v>
      </c>
      <c r="T127" s="451" t="s">
        <v>578</v>
      </c>
      <c r="U127" s="451" t="s">
        <v>349</v>
      </c>
      <c r="V127" s="452" t="s">
        <v>180</v>
      </c>
      <c r="W127" s="452" t="s">
        <v>180</v>
      </c>
      <c r="X127" s="452" t="s">
        <v>180</v>
      </c>
      <c r="Y127" s="453" t="s">
        <v>180</v>
      </c>
      <c r="Z127" s="452" t="s">
        <v>180</v>
      </c>
      <c r="AA127" s="452" t="s">
        <v>180</v>
      </c>
      <c r="AB127" s="452" t="s">
        <v>180</v>
      </c>
      <c r="AC127" s="452" t="s">
        <v>180</v>
      </c>
      <c r="AD127" s="452" t="s">
        <v>180</v>
      </c>
      <c r="AE127" s="452" t="s">
        <v>180</v>
      </c>
      <c r="AF127" s="452" t="s">
        <v>180</v>
      </c>
      <c r="AG127" s="452" t="s">
        <v>180</v>
      </c>
      <c r="AH127" s="452" t="s">
        <v>180</v>
      </c>
      <c r="AI127" s="452" t="s">
        <v>180</v>
      </c>
      <c r="AJ127" s="452" t="s">
        <v>180</v>
      </c>
    </row>
    <row r="128" spans="1:36" ht="15.95" customHeight="1">
      <c r="A128" s="450">
        <v>140310016</v>
      </c>
      <c r="B128" s="450" t="s">
        <v>391</v>
      </c>
      <c r="C128" s="451" t="s">
        <v>579</v>
      </c>
      <c r="D128" s="451" t="s">
        <v>417</v>
      </c>
      <c r="E128" s="452">
        <v>2185</v>
      </c>
      <c r="F128" s="452" t="s">
        <v>329</v>
      </c>
      <c r="G128" s="452" t="s">
        <v>329</v>
      </c>
      <c r="H128" s="452" t="s">
        <v>564</v>
      </c>
      <c r="I128" s="452" t="s">
        <v>305</v>
      </c>
      <c r="J128" s="452" t="s">
        <v>564</v>
      </c>
      <c r="K128" s="451" t="s">
        <v>27</v>
      </c>
      <c r="L128" s="452" t="s">
        <v>337</v>
      </c>
      <c r="M128" s="452" t="s">
        <v>337</v>
      </c>
      <c r="N128" s="452" t="s">
        <v>307</v>
      </c>
      <c r="O128" s="452" t="s">
        <v>307</v>
      </c>
      <c r="P128" s="450" t="s">
        <v>309</v>
      </c>
      <c r="Q128" s="452" t="s">
        <v>55</v>
      </c>
      <c r="R128" s="451" t="s">
        <v>335</v>
      </c>
      <c r="S128" s="451" t="s">
        <v>573</v>
      </c>
      <c r="T128" s="451" t="s">
        <v>573</v>
      </c>
      <c r="U128" s="451" t="s">
        <v>580</v>
      </c>
      <c r="V128" s="452" t="s">
        <v>105</v>
      </c>
      <c r="W128" s="452" t="s">
        <v>171</v>
      </c>
      <c r="X128" s="452">
        <v>0</v>
      </c>
      <c r="Y128" s="453">
        <v>3</v>
      </c>
      <c r="Z128" s="452">
        <v>0</v>
      </c>
      <c r="AA128" s="452">
        <v>0</v>
      </c>
      <c r="AB128" s="452">
        <v>0</v>
      </c>
      <c r="AC128" s="452">
        <v>0</v>
      </c>
      <c r="AD128" s="452">
        <v>0</v>
      </c>
      <c r="AE128" s="452">
        <v>0</v>
      </c>
      <c r="AF128" s="452">
        <v>0</v>
      </c>
      <c r="AG128" s="452">
        <v>0</v>
      </c>
      <c r="AH128" s="452">
        <v>0</v>
      </c>
      <c r="AI128" s="452">
        <v>0</v>
      </c>
      <c r="AJ128" s="452">
        <v>0</v>
      </c>
    </row>
    <row r="129" spans="1:36" ht="15.95" customHeight="1">
      <c r="A129" s="450">
        <v>140310017</v>
      </c>
      <c r="B129" s="450" t="s">
        <v>391</v>
      </c>
      <c r="C129" s="451" t="s">
        <v>581</v>
      </c>
      <c r="D129" s="451" t="s">
        <v>417</v>
      </c>
      <c r="E129" s="452">
        <v>245</v>
      </c>
      <c r="F129" s="452" t="s">
        <v>582</v>
      </c>
      <c r="G129" s="452" t="s">
        <v>583</v>
      </c>
      <c r="H129" s="452" t="s">
        <v>584</v>
      </c>
      <c r="I129" s="452" t="s">
        <v>305</v>
      </c>
      <c r="J129" s="452" t="s">
        <v>583</v>
      </c>
      <c r="K129" s="451" t="s">
        <v>27</v>
      </c>
      <c r="L129" s="452" t="s">
        <v>306</v>
      </c>
      <c r="M129" s="452" t="s">
        <v>307</v>
      </c>
      <c r="N129" s="452" t="s">
        <v>307</v>
      </c>
      <c r="O129" s="452" t="s">
        <v>307</v>
      </c>
      <c r="P129" s="450" t="s">
        <v>309</v>
      </c>
      <c r="Q129" s="452" t="s">
        <v>55</v>
      </c>
      <c r="R129" s="451" t="s">
        <v>405</v>
      </c>
      <c r="S129" s="451" t="s">
        <v>404</v>
      </c>
      <c r="T129" s="451" t="s">
        <v>377</v>
      </c>
      <c r="U129" s="451" t="s">
        <v>580</v>
      </c>
      <c r="V129" s="452" t="s">
        <v>105</v>
      </c>
      <c r="W129" s="452" t="s">
        <v>171</v>
      </c>
      <c r="X129" s="452">
        <v>0</v>
      </c>
      <c r="Y129" s="453">
        <v>5</v>
      </c>
      <c r="Z129" s="452">
        <v>0</v>
      </c>
      <c r="AA129" s="452">
        <v>0</v>
      </c>
      <c r="AB129" s="452">
        <v>0</v>
      </c>
      <c r="AC129" s="452">
        <v>0</v>
      </c>
      <c r="AD129" s="452">
        <v>0</v>
      </c>
      <c r="AE129" s="452">
        <v>0</v>
      </c>
      <c r="AF129" s="452">
        <v>0</v>
      </c>
      <c r="AG129" s="452">
        <v>0</v>
      </c>
      <c r="AH129" s="452">
        <v>0</v>
      </c>
      <c r="AI129" s="452">
        <v>0</v>
      </c>
      <c r="AJ129" s="452">
        <v>0</v>
      </c>
    </row>
    <row r="130" spans="1:36" ht="15.95" customHeight="1">
      <c r="A130" s="450">
        <v>140450027</v>
      </c>
      <c r="B130" s="450" t="s">
        <v>315</v>
      </c>
      <c r="C130" s="451" t="s">
        <v>585</v>
      </c>
      <c r="D130" s="451" t="s">
        <v>316</v>
      </c>
      <c r="E130" s="452">
        <v>219</v>
      </c>
      <c r="F130" s="452" t="s">
        <v>488</v>
      </c>
      <c r="G130" s="452" t="s">
        <v>488</v>
      </c>
      <c r="H130" s="452" t="s">
        <v>359</v>
      </c>
      <c r="I130" s="452" t="s">
        <v>321</v>
      </c>
      <c r="J130" s="452" t="s">
        <v>359</v>
      </c>
      <c r="K130" s="451" t="s">
        <v>27</v>
      </c>
      <c r="L130" s="452" t="s">
        <v>306</v>
      </c>
      <c r="M130" s="452" t="s">
        <v>306</v>
      </c>
      <c r="N130" s="452" t="s">
        <v>307</v>
      </c>
      <c r="O130" s="452" t="s">
        <v>307</v>
      </c>
      <c r="P130" s="450" t="s">
        <v>309</v>
      </c>
      <c r="Q130" s="452" t="s">
        <v>203</v>
      </c>
      <c r="R130" s="451" t="s">
        <v>570</v>
      </c>
      <c r="S130" s="451" t="s">
        <v>586</v>
      </c>
      <c r="T130" s="451" t="s">
        <v>404</v>
      </c>
      <c r="U130" s="451" t="s">
        <v>587</v>
      </c>
      <c r="V130" s="452" t="s">
        <v>105</v>
      </c>
      <c r="W130" s="452" t="s">
        <v>172</v>
      </c>
      <c r="X130" s="452" t="s">
        <v>1119</v>
      </c>
      <c r="Y130" s="453">
        <v>1.5264890751272073</v>
      </c>
      <c r="Z130" s="452" t="s">
        <v>113</v>
      </c>
      <c r="AA130" s="452" t="s">
        <v>163</v>
      </c>
      <c r="AB130" s="452">
        <v>0</v>
      </c>
      <c r="AC130" s="452">
        <v>0</v>
      </c>
      <c r="AD130" s="452">
        <v>0</v>
      </c>
      <c r="AE130" s="452">
        <v>0</v>
      </c>
      <c r="AF130" s="452">
        <v>0</v>
      </c>
      <c r="AG130" s="452">
        <v>0</v>
      </c>
      <c r="AH130" s="452">
        <v>0</v>
      </c>
      <c r="AI130" s="452">
        <v>0</v>
      </c>
      <c r="AJ130" s="452">
        <v>0</v>
      </c>
    </row>
    <row r="131" spans="1:36" ht="15.95" customHeight="1">
      <c r="A131" s="450">
        <v>140450039</v>
      </c>
      <c r="B131" s="450" t="s">
        <v>369</v>
      </c>
      <c r="C131" s="451" t="s">
        <v>588</v>
      </c>
      <c r="D131" s="451" t="s">
        <v>316</v>
      </c>
      <c r="E131" s="452">
        <v>176</v>
      </c>
      <c r="F131" s="452" t="s">
        <v>308</v>
      </c>
      <c r="G131" s="452" t="s">
        <v>308</v>
      </c>
      <c r="H131" s="452" t="s">
        <v>348</v>
      </c>
      <c r="I131" s="452" t="s">
        <v>321</v>
      </c>
      <c r="J131" s="452" t="s">
        <v>348</v>
      </c>
      <c r="K131" s="451" t="s">
        <v>27</v>
      </c>
      <c r="L131" s="452" t="s">
        <v>307</v>
      </c>
      <c r="M131" s="452" t="s">
        <v>307</v>
      </c>
      <c r="N131" s="452" t="s">
        <v>307</v>
      </c>
      <c r="O131" s="452" t="s">
        <v>307</v>
      </c>
      <c r="P131" s="450" t="s">
        <v>313</v>
      </c>
      <c r="Q131" s="452" t="s">
        <v>203</v>
      </c>
      <c r="R131" s="451" t="s">
        <v>329</v>
      </c>
      <c r="S131" s="451" t="s">
        <v>589</v>
      </c>
      <c r="T131" s="451" t="s">
        <v>589</v>
      </c>
      <c r="U131" s="451" t="s">
        <v>590</v>
      </c>
      <c r="V131" s="452" t="s">
        <v>105</v>
      </c>
      <c r="W131" s="452" t="s">
        <v>172</v>
      </c>
      <c r="X131" s="452">
        <v>0</v>
      </c>
      <c r="Y131" s="453">
        <v>0</v>
      </c>
      <c r="Z131" s="452" t="s">
        <v>160</v>
      </c>
      <c r="AA131" s="452" t="s">
        <v>160</v>
      </c>
      <c r="AB131" s="452" t="s">
        <v>122</v>
      </c>
      <c r="AC131" s="452">
        <v>0</v>
      </c>
      <c r="AD131" s="452">
        <v>0</v>
      </c>
      <c r="AE131" s="452">
        <v>0</v>
      </c>
      <c r="AF131" s="452">
        <v>0</v>
      </c>
      <c r="AG131" s="452">
        <v>0</v>
      </c>
      <c r="AH131" s="452">
        <v>0</v>
      </c>
      <c r="AI131" s="452">
        <v>0</v>
      </c>
      <c r="AJ131" s="452">
        <v>0</v>
      </c>
    </row>
    <row r="132" spans="1:36" ht="15.95" customHeight="1">
      <c r="A132" s="450">
        <v>140310096</v>
      </c>
      <c r="B132" s="450" t="s">
        <v>369</v>
      </c>
      <c r="C132" s="451" t="s">
        <v>591</v>
      </c>
      <c r="D132" s="451" t="s">
        <v>316</v>
      </c>
      <c r="E132" s="452">
        <v>192</v>
      </c>
      <c r="F132" s="452" t="s">
        <v>425</v>
      </c>
      <c r="G132" s="452" t="s">
        <v>425</v>
      </c>
      <c r="H132" s="452" t="s">
        <v>411</v>
      </c>
      <c r="I132" s="452" t="s">
        <v>321</v>
      </c>
      <c r="J132" s="452" t="s">
        <v>411</v>
      </c>
      <c r="K132" s="451" t="s">
        <v>27</v>
      </c>
      <c r="L132" s="452" t="s">
        <v>307</v>
      </c>
      <c r="M132" s="452" t="s">
        <v>307</v>
      </c>
      <c r="N132" s="452" t="s">
        <v>307</v>
      </c>
      <c r="O132" s="452" t="s">
        <v>307</v>
      </c>
      <c r="P132" s="450" t="s">
        <v>313</v>
      </c>
      <c r="Q132" s="452" t="s">
        <v>55</v>
      </c>
      <c r="R132" s="451" t="s">
        <v>592</v>
      </c>
      <c r="S132" s="451" t="s">
        <v>593</v>
      </c>
      <c r="T132" s="451" t="s">
        <v>593</v>
      </c>
      <c r="U132" s="451" t="s">
        <v>590</v>
      </c>
      <c r="V132" s="452">
        <v>0</v>
      </c>
      <c r="W132" s="452" t="s">
        <v>171</v>
      </c>
      <c r="X132" s="452">
        <v>0</v>
      </c>
      <c r="Y132" s="454">
        <v>1.3</v>
      </c>
      <c r="Z132" s="452" t="s">
        <v>160</v>
      </c>
      <c r="AA132" s="452" t="s">
        <v>165</v>
      </c>
      <c r="AB132" s="452">
        <v>0</v>
      </c>
      <c r="AC132" s="452">
        <v>0</v>
      </c>
      <c r="AD132" s="452">
        <v>0</v>
      </c>
      <c r="AE132" s="452">
        <v>0</v>
      </c>
      <c r="AF132" s="452">
        <v>0</v>
      </c>
      <c r="AG132" s="452">
        <v>0</v>
      </c>
      <c r="AH132" s="452">
        <v>0</v>
      </c>
      <c r="AI132" s="452">
        <v>0</v>
      </c>
      <c r="AJ132" s="452">
        <v>0</v>
      </c>
    </row>
    <row r="133" spans="1:36" ht="15.95" customHeight="1">
      <c r="A133" s="450">
        <v>140450035</v>
      </c>
      <c r="B133" s="450" t="s">
        <v>315</v>
      </c>
      <c r="C133" s="451" t="s">
        <v>594</v>
      </c>
      <c r="D133" s="451" t="s">
        <v>316</v>
      </c>
      <c r="E133" s="452">
        <v>225</v>
      </c>
      <c r="F133" s="452" t="s">
        <v>595</v>
      </c>
      <c r="G133" s="452" t="s">
        <v>595</v>
      </c>
      <c r="H133" s="452" t="s">
        <v>538</v>
      </c>
      <c r="I133" s="452" t="s">
        <v>321</v>
      </c>
      <c r="J133" s="452" t="s">
        <v>595</v>
      </c>
      <c r="K133" s="451" t="s">
        <v>27</v>
      </c>
      <c r="L133" s="452" t="s">
        <v>505</v>
      </c>
      <c r="M133" s="452" t="s">
        <v>505</v>
      </c>
      <c r="N133" s="452" t="s">
        <v>307</v>
      </c>
      <c r="O133" s="452" t="s">
        <v>307</v>
      </c>
      <c r="P133" s="450" t="s">
        <v>309</v>
      </c>
      <c r="Q133" s="452" t="s">
        <v>203</v>
      </c>
      <c r="R133" s="451" t="s">
        <v>596</v>
      </c>
      <c r="S133" s="451" t="s">
        <v>597</v>
      </c>
      <c r="T133" s="451" t="s">
        <v>597</v>
      </c>
      <c r="U133" s="451" t="s">
        <v>598</v>
      </c>
      <c r="V133" s="452" t="s">
        <v>105</v>
      </c>
      <c r="W133" s="452" t="s">
        <v>172</v>
      </c>
      <c r="X133" s="452" t="s">
        <v>1123</v>
      </c>
      <c r="Y133" s="453">
        <v>1.6761448668063454</v>
      </c>
      <c r="Z133" s="452" t="s">
        <v>1122</v>
      </c>
      <c r="AA133" s="452" t="s">
        <v>163</v>
      </c>
      <c r="AB133" s="452">
        <v>0</v>
      </c>
      <c r="AC133" s="452">
        <v>0</v>
      </c>
      <c r="AD133" s="452">
        <v>0</v>
      </c>
      <c r="AE133" s="452">
        <v>0</v>
      </c>
      <c r="AF133" s="452">
        <v>0</v>
      </c>
      <c r="AG133" s="452">
        <v>0</v>
      </c>
      <c r="AH133" s="452">
        <v>0</v>
      </c>
      <c r="AI133" s="452">
        <v>0</v>
      </c>
      <c r="AJ133" s="452">
        <v>0</v>
      </c>
    </row>
    <row r="134" spans="1:36" ht="15.95" customHeight="1">
      <c r="A134" s="450">
        <v>140010298</v>
      </c>
      <c r="B134" s="450"/>
      <c r="C134" s="451"/>
      <c r="D134" s="451"/>
      <c r="E134" s="452"/>
      <c r="F134" s="452"/>
      <c r="G134" s="452"/>
      <c r="H134" s="452"/>
      <c r="I134" s="452"/>
      <c r="J134" s="452"/>
      <c r="K134" s="451"/>
      <c r="L134" s="452"/>
      <c r="M134" s="452"/>
      <c r="N134" s="452"/>
      <c r="O134" s="452"/>
      <c r="P134" s="450"/>
      <c r="Q134" s="452"/>
      <c r="R134" s="451"/>
      <c r="S134" s="451"/>
      <c r="T134" s="451"/>
      <c r="U134" s="451"/>
      <c r="V134" s="452" t="s">
        <v>106</v>
      </c>
      <c r="W134" s="452" t="s">
        <v>123</v>
      </c>
      <c r="X134" s="452">
        <v>0</v>
      </c>
      <c r="Y134" s="453">
        <v>1.2471315973261499</v>
      </c>
      <c r="Z134" s="452">
        <v>0</v>
      </c>
      <c r="AA134" s="452">
        <v>0</v>
      </c>
      <c r="AB134" s="452">
        <v>0</v>
      </c>
      <c r="AC134" s="452">
        <v>0</v>
      </c>
      <c r="AD134" s="452">
        <v>0</v>
      </c>
      <c r="AE134" s="452">
        <v>0</v>
      </c>
      <c r="AF134" s="452">
        <v>0</v>
      </c>
      <c r="AG134" s="452">
        <v>0</v>
      </c>
      <c r="AH134" s="452">
        <v>0</v>
      </c>
      <c r="AI134" s="452">
        <v>0</v>
      </c>
      <c r="AJ134" s="452">
        <v>0</v>
      </c>
    </row>
    <row r="135" spans="1:36" ht="15.95" customHeight="1">
      <c r="A135" s="450">
        <v>140450047</v>
      </c>
      <c r="B135" s="450">
        <v>120030011</v>
      </c>
      <c r="C135" s="451" t="s">
        <v>1154</v>
      </c>
      <c r="D135" s="451" t="s">
        <v>417</v>
      </c>
      <c r="E135" s="452">
        <v>140</v>
      </c>
      <c r="F135" s="452">
        <v>5</v>
      </c>
      <c r="G135" s="452">
        <v>5</v>
      </c>
      <c r="H135" s="452">
        <v>6</v>
      </c>
      <c r="I135" s="452">
        <v>2.5</v>
      </c>
      <c r="J135" s="452">
        <v>6</v>
      </c>
      <c r="K135" s="451" t="s">
        <v>27</v>
      </c>
      <c r="L135" s="452">
        <v>12</v>
      </c>
      <c r="M135" s="452">
        <v>12</v>
      </c>
      <c r="N135" s="452">
        <v>12</v>
      </c>
      <c r="O135" s="452">
        <v>6</v>
      </c>
      <c r="P135" s="450" t="s">
        <v>313</v>
      </c>
      <c r="Q135" s="452" t="s">
        <v>203</v>
      </c>
      <c r="R135" s="451">
        <v>0</v>
      </c>
      <c r="S135" s="451">
        <v>0</v>
      </c>
      <c r="T135" s="451">
        <v>0</v>
      </c>
      <c r="U135" s="451">
        <v>0</v>
      </c>
      <c r="V135" s="452" t="s">
        <v>105</v>
      </c>
      <c r="W135" s="452"/>
      <c r="X135" s="452"/>
      <c r="Y135" s="453"/>
      <c r="Z135" s="452"/>
      <c r="AA135" s="452"/>
      <c r="AB135" s="452"/>
      <c r="AC135" s="452"/>
      <c r="AD135" s="452"/>
      <c r="AE135" s="452"/>
      <c r="AF135" s="452"/>
      <c r="AG135" s="452"/>
      <c r="AH135" s="452"/>
      <c r="AI135" s="452"/>
      <c r="AJ135" s="452"/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51"/>
  <sheetViews>
    <sheetView zoomScaleNormal="100" workbookViewId="0">
      <selection activeCell="E2" sqref="E2:E140"/>
    </sheetView>
  </sheetViews>
  <sheetFormatPr defaultRowHeight="16.5"/>
  <cols>
    <col min="1" max="1" width="10.7109375" style="19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57" bestFit="1" customWidth="1"/>
    <col min="7" max="7" width="9.140625" style="1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>
      <c r="A1" s="23" t="s">
        <v>198</v>
      </c>
      <c r="B1" s="14" t="s">
        <v>181</v>
      </c>
      <c r="C1" s="15" t="s">
        <v>190</v>
      </c>
      <c r="D1" s="14" t="s">
        <v>187</v>
      </c>
      <c r="E1" s="14" t="s">
        <v>188</v>
      </c>
      <c r="F1" s="14" t="s">
        <v>199</v>
      </c>
      <c r="G1" s="14" t="s">
        <v>204</v>
      </c>
    </row>
    <row r="2" spans="1:7">
      <c r="A2" s="19" t="s">
        <v>237</v>
      </c>
      <c r="B2" s="2">
        <v>140030040</v>
      </c>
      <c r="C2" s="2">
        <v>8</v>
      </c>
      <c r="D2" s="56">
        <v>8200</v>
      </c>
      <c r="F2" s="10"/>
      <c r="G2" s="10">
        <f ca="1">COUNTIFS(progress!A:A,plans[[#This Row],[productId]],progress!B:B,plans[[#This Row],[planId]])</f>
        <v>0</v>
      </c>
    </row>
    <row r="3" spans="1:7">
      <c r="B3" s="2">
        <v>140030040</v>
      </c>
      <c r="C3" s="2">
        <v>9</v>
      </c>
      <c r="D3" s="56">
        <v>5880</v>
      </c>
      <c r="F3" s="10"/>
      <c r="G3" s="10">
        <f ca="1">COUNTIFS(progress!A:A,plans[[#This Row],[productId]],progress!B:B,plans[[#This Row],[planId]])</f>
        <v>0</v>
      </c>
    </row>
    <row r="4" spans="1:7">
      <c r="B4" s="2">
        <v>140030040</v>
      </c>
      <c r="C4" s="2">
        <v>9</v>
      </c>
      <c r="D4" s="56">
        <v>360</v>
      </c>
      <c r="F4" s="10"/>
      <c r="G4" s="10">
        <f ca="1">COUNTIFS(progress!A:A,plans[[#This Row],[productId]],progress!B:B,plans[[#This Row],[planId]])</f>
        <v>0</v>
      </c>
    </row>
    <row r="5" spans="1:7">
      <c r="B5" s="2">
        <v>140030040</v>
      </c>
      <c r="C5" s="2">
        <v>10</v>
      </c>
      <c r="D5" s="56">
        <v>9000</v>
      </c>
      <c r="F5" s="10"/>
      <c r="G5" s="10">
        <f ca="1">COUNTIFS(progress!A:A,plans[[#This Row],[productId]],progress!B:B,plans[[#This Row],[planId]])</f>
        <v>0</v>
      </c>
    </row>
    <row r="6" spans="1:7">
      <c r="B6" s="2">
        <v>140030040</v>
      </c>
      <c r="C6" s="2">
        <v>10</v>
      </c>
      <c r="D6" s="56">
        <v>1800</v>
      </c>
      <c r="F6" s="10"/>
      <c r="G6" s="10">
        <f ca="1">COUNTIFS(progress!A:A,plans[[#This Row],[productId]],progress!B:B,plans[[#This Row],[planId]])</f>
        <v>0</v>
      </c>
    </row>
    <row r="7" spans="1:7">
      <c r="A7" s="19" t="s">
        <v>123</v>
      </c>
      <c r="B7" s="2">
        <v>140030040</v>
      </c>
      <c r="C7" s="2" t="s">
        <v>257</v>
      </c>
      <c r="D7" s="56">
        <v>600</v>
      </c>
      <c r="F7" s="123"/>
      <c r="G7" s="10">
        <f ca="1">COUNTIFS(progress!A:A,plans[[#This Row],[productId]],progress!B:B,plans[[#This Row],[planId]])</f>
        <v>1</v>
      </c>
    </row>
    <row r="8" spans="1:7">
      <c r="A8" s="19" t="s">
        <v>234</v>
      </c>
      <c r="B8" s="2">
        <v>140030040</v>
      </c>
      <c r="C8" s="2" t="s">
        <v>240</v>
      </c>
      <c r="D8" s="56">
        <v>3000</v>
      </c>
      <c r="E8" s="2" t="s">
        <v>241</v>
      </c>
      <c r="F8" s="123"/>
      <c r="G8" s="10">
        <f ca="1">COUNTIFS(progress!A:A,plans[[#This Row],[productId]],progress!B:B,plans[[#This Row],[planId]])</f>
        <v>1</v>
      </c>
    </row>
    <row r="9" spans="1:7">
      <c r="A9" s="19" t="s">
        <v>234</v>
      </c>
      <c r="B9" s="2">
        <v>140030039</v>
      </c>
      <c r="C9" s="2" t="s">
        <v>240</v>
      </c>
      <c r="D9" s="56">
        <v>3000</v>
      </c>
      <c r="E9" s="2" t="s">
        <v>241</v>
      </c>
      <c r="F9" s="123"/>
      <c r="G9" s="10">
        <f ca="1">COUNTIFS(progress!A:A,plans[[#This Row],[productId]],progress!B:B,plans[[#This Row],[planId]])</f>
        <v>1</v>
      </c>
    </row>
    <row r="10" spans="1:7">
      <c r="A10" s="19" t="s">
        <v>234</v>
      </c>
      <c r="B10" s="2">
        <v>140010117</v>
      </c>
      <c r="C10" s="2" t="s">
        <v>240</v>
      </c>
      <c r="D10" s="56">
        <v>3000</v>
      </c>
      <c r="E10" s="2" t="s">
        <v>241</v>
      </c>
      <c r="F10" s="123"/>
      <c r="G10" s="10">
        <f ca="1">COUNTIFS(progress!A:A,plans[[#This Row],[productId]],progress!B:B,plans[[#This Row],[planId]])</f>
        <v>1</v>
      </c>
    </row>
    <row r="11" spans="1:7">
      <c r="A11" s="19" t="s">
        <v>229</v>
      </c>
      <c r="B11" s="2">
        <v>140030039</v>
      </c>
      <c r="C11" s="2">
        <v>2</v>
      </c>
      <c r="D11" s="56">
        <v>2000</v>
      </c>
      <c r="E11" s="2" t="s">
        <v>251</v>
      </c>
      <c r="F11" s="123"/>
      <c r="G11" s="10">
        <f ca="1">COUNTIFS(progress!A:A,plans[[#This Row],[productId]],progress!B:B,plans[[#This Row],[planId]])</f>
        <v>1</v>
      </c>
    </row>
    <row r="12" spans="1:7">
      <c r="A12" s="19" t="s">
        <v>229</v>
      </c>
      <c r="B12" s="2">
        <v>140030039</v>
      </c>
      <c r="C12" s="2">
        <v>2</v>
      </c>
      <c r="D12" s="56">
        <v>3000</v>
      </c>
      <c r="E12" s="2" t="s">
        <v>241</v>
      </c>
      <c r="F12" s="123"/>
      <c r="G12" s="10">
        <f ca="1">COUNTIFS(progress!A:A,plans[[#This Row],[productId]],progress!B:B,plans[[#This Row],[planId]])</f>
        <v>1</v>
      </c>
    </row>
    <row r="13" spans="1:7">
      <c r="A13" s="19" t="s">
        <v>229</v>
      </c>
      <c r="B13" s="2">
        <v>140030039</v>
      </c>
      <c r="C13" s="2">
        <v>2</v>
      </c>
      <c r="D13" s="56">
        <v>3000</v>
      </c>
      <c r="E13" s="2" t="s">
        <v>252</v>
      </c>
      <c r="F13" s="123"/>
      <c r="G13" s="10">
        <f ca="1">COUNTIFS(progress!A:A,plans[[#This Row],[productId]],progress!B:B,plans[[#This Row],[planId]])</f>
        <v>1</v>
      </c>
    </row>
    <row r="14" spans="1:7">
      <c r="A14" s="19" t="s">
        <v>229</v>
      </c>
      <c r="B14" s="2">
        <v>140030040</v>
      </c>
      <c r="C14" s="2">
        <v>2</v>
      </c>
      <c r="D14" s="56">
        <v>2000</v>
      </c>
      <c r="E14" s="2" t="s">
        <v>251</v>
      </c>
      <c r="F14" s="123"/>
      <c r="G14" s="10">
        <f ca="1">COUNTIFS(progress!A:A,plans[[#This Row],[productId]],progress!B:B,plans[[#This Row],[planId]])</f>
        <v>1</v>
      </c>
    </row>
    <row r="15" spans="1:7">
      <c r="A15" s="19" t="s">
        <v>229</v>
      </c>
      <c r="B15" s="2">
        <v>140030040</v>
      </c>
      <c r="C15" s="2">
        <v>2</v>
      </c>
      <c r="D15" s="56">
        <v>3000</v>
      </c>
      <c r="E15" s="2" t="s">
        <v>241</v>
      </c>
      <c r="F15" s="123"/>
      <c r="G15" s="10">
        <f ca="1">COUNTIFS(progress!A:A,plans[[#This Row],[productId]],progress!B:B,plans[[#This Row],[planId]])</f>
        <v>1</v>
      </c>
    </row>
    <row r="16" spans="1:7">
      <c r="A16" s="19" t="s">
        <v>229</v>
      </c>
      <c r="B16" s="2">
        <v>140030040</v>
      </c>
      <c r="C16" s="2">
        <v>2</v>
      </c>
      <c r="D16" s="56">
        <v>3000</v>
      </c>
      <c r="E16" s="2" t="s">
        <v>252</v>
      </c>
      <c r="F16" s="123"/>
      <c r="G16" s="10">
        <f ca="1">COUNTIFS(progress!A:A,plans[[#This Row],[productId]],progress!B:B,plans[[#This Row],[planId]])</f>
        <v>1</v>
      </c>
    </row>
    <row r="17" spans="1:7">
      <c r="A17" s="19" t="s">
        <v>229</v>
      </c>
      <c r="B17" s="2">
        <v>140020181</v>
      </c>
      <c r="C17" s="2">
        <v>2</v>
      </c>
      <c r="D17" s="56">
        <v>8000</v>
      </c>
      <c r="E17" s="2" t="s">
        <v>253</v>
      </c>
      <c r="F17" s="123"/>
      <c r="G17" s="10">
        <f ca="1">COUNTIFS(progress!A:A,plans[[#This Row],[productId]],progress!B:B,plans[[#This Row],[planId]])</f>
        <v>1</v>
      </c>
    </row>
    <row r="18" spans="1:7">
      <c r="A18" s="19" t="s">
        <v>229</v>
      </c>
      <c r="B18" s="2">
        <v>140020181</v>
      </c>
      <c r="C18" s="2">
        <v>2</v>
      </c>
      <c r="D18" s="56">
        <v>3000</v>
      </c>
      <c r="E18" s="2" t="s">
        <v>256</v>
      </c>
      <c r="F18" s="123"/>
      <c r="G18" s="10">
        <f ca="1">COUNTIFS(progress!A:A,plans[[#This Row],[productId]],progress!B:B,plans[[#This Row],[planId]])</f>
        <v>1</v>
      </c>
    </row>
    <row r="19" spans="1:7">
      <c r="A19" s="19" t="s">
        <v>229</v>
      </c>
      <c r="B19" s="2">
        <v>140020181</v>
      </c>
      <c r="C19" s="2">
        <v>2</v>
      </c>
      <c r="D19" s="56">
        <v>3000</v>
      </c>
      <c r="E19" s="2" t="s">
        <v>254</v>
      </c>
      <c r="F19" s="123"/>
      <c r="G19" s="10">
        <f ca="1">COUNTIFS(progress!A:A,plans[[#This Row],[productId]],progress!B:B,plans[[#This Row],[planId]])</f>
        <v>1</v>
      </c>
    </row>
    <row r="20" spans="1:7">
      <c r="A20" s="19" t="s">
        <v>229</v>
      </c>
      <c r="B20" s="2">
        <v>140020181</v>
      </c>
      <c r="C20" s="2">
        <v>2</v>
      </c>
      <c r="D20" s="56">
        <v>2000</v>
      </c>
      <c r="E20" s="2" t="s">
        <v>255</v>
      </c>
      <c r="F20" s="123"/>
      <c r="G20" s="10">
        <f ca="1">COUNTIFS(progress!A:A,plans[[#This Row],[productId]],progress!B:B,plans[[#This Row],[planId]])</f>
        <v>1</v>
      </c>
    </row>
    <row r="21" spans="1:7">
      <c r="A21" s="19" t="s">
        <v>123</v>
      </c>
      <c r="B21" s="2">
        <v>140020181</v>
      </c>
      <c r="C21" s="2">
        <v>2</v>
      </c>
      <c r="D21" s="56">
        <v>-7900</v>
      </c>
      <c r="F21" s="123" t="s">
        <v>274</v>
      </c>
      <c r="G21" s="10">
        <f ca="1">COUNTIFS(progress!A:A,plans[[#This Row],[productId]],progress!B:B,plans[[#This Row],[planId]])</f>
        <v>1</v>
      </c>
    </row>
    <row r="22" spans="1:7">
      <c r="A22" s="19" t="s">
        <v>229</v>
      </c>
      <c r="B22" s="2">
        <v>140010117</v>
      </c>
      <c r="C22" s="2">
        <v>2</v>
      </c>
      <c r="D22" s="56">
        <v>2500</v>
      </c>
      <c r="E22" s="2" t="s">
        <v>278</v>
      </c>
      <c r="F22" s="123"/>
      <c r="G22" s="10">
        <f ca="1">COUNTIFS(progress!A:A,plans[[#This Row],[productId]],progress!B:B,plans[[#This Row],[planId]])</f>
        <v>1</v>
      </c>
    </row>
    <row r="23" spans="1:7">
      <c r="A23" s="19" t="s">
        <v>229</v>
      </c>
      <c r="B23" s="2">
        <v>140010117</v>
      </c>
      <c r="C23" s="2">
        <v>2</v>
      </c>
      <c r="D23" s="56">
        <v>2500</v>
      </c>
      <c r="E23" s="2" t="s">
        <v>279</v>
      </c>
      <c r="F23" s="123"/>
      <c r="G23" s="10">
        <f ca="1">COUNTIFS(progress!A:A,plans[[#This Row],[productId]],progress!B:B,plans[[#This Row],[planId]])</f>
        <v>1</v>
      </c>
    </row>
    <row r="24" spans="1:7">
      <c r="A24" s="19" t="s">
        <v>229</v>
      </c>
      <c r="B24" s="2">
        <v>140010117</v>
      </c>
      <c r="C24" s="2">
        <v>2</v>
      </c>
      <c r="D24" s="56">
        <v>2000</v>
      </c>
      <c r="E24" s="2" t="s">
        <v>280</v>
      </c>
      <c r="F24" s="123"/>
      <c r="G24" s="10">
        <f ca="1">COUNTIFS(progress!A:A,plans[[#This Row],[productId]],progress!B:B,plans[[#This Row],[planId]])</f>
        <v>1</v>
      </c>
    </row>
    <row r="25" spans="1:7">
      <c r="A25" s="19" t="s">
        <v>229</v>
      </c>
      <c r="B25" s="2">
        <v>140010230</v>
      </c>
      <c r="C25" s="2">
        <v>2</v>
      </c>
      <c r="D25" s="56">
        <v>6000</v>
      </c>
      <c r="E25" s="2" t="s">
        <v>278</v>
      </c>
      <c r="F25" s="123"/>
      <c r="G25" s="10">
        <f ca="1">COUNTIFS(progress!A:A,plans[[#This Row],[productId]],progress!B:B,plans[[#This Row],[planId]])</f>
        <v>1</v>
      </c>
    </row>
    <row r="26" spans="1:7">
      <c r="A26" s="19" t="s">
        <v>229</v>
      </c>
      <c r="B26" s="2">
        <v>140010230</v>
      </c>
      <c r="C26" s="2">
        <v>2</v>
      </c>
      <c r="D26" s="56">
        <v>5000</v>
      </c>
      <c r="E26" s="2" t="s">
        <v>279</v>
      </c>
      <c r="F26" s="123"/>
      <c r="G26" s="10">
        <f ca="1">COUNTIFS(progress!A:A,plans[[#This Row],[productId]],progress!B:B,plans[[#This Row],[planId]])</f>
        <v>1</v>
      </c>
    </row>
    <row r="27" spans="1:7">
      <c r="A27" s="19" t="s">
        <v>229</v>
      </c>
      <c r="B27" s="2">
        <v>140010230</v>
      </c>
      <c r="C27" s="2">
        <v>2</v>
      </c>
      <c r="D27" s="56">
        <v>6000</v>
      </c>
      <c r="E27" s="2" t="s">
        <v>280</v>
      </c>
      <c r="F27" s="123"/>
      <c r="G27" s="10">
        <f ca="1">COUNTIFS(progress!A:A,plans[[#This Row],[productId]],progress!B:B,plans[[#This Row],[planId]])</f>
        <v>1</v>
      </c>
    </row>
    <row r="28" spans="1:7">
      <c r="A28" s="19" t="s">
        <v>229</v>
      </c>
      <c r="B28" s="2">
        <v>140010230</v>
      </c>
      <c r="C28" s="2">
        <v>2</v>
      </c>
      <c r="D28" s="56">
        <v>5000</v>
      </c>
      <c r="E28" s="2" t="s">
        <v>281</v>
      </c>
      <c r="F28" s="123"/>
      <c r="G28" s="10">
        <f ca="1">COUNTIFS(progress!A:A,plans[[#This Row],[productId]],progress!B:B,plans[[#This Row],[planId]])</f>
        <v>1</v>
      </c>
    </row>
    <row r="29" spans="1:7">
      <c r="A29" s="19" t="s">
        <v>229</v>
      </c>
      <c r="B29" s="2">
        <v>140010255</v>
      </c>
      <c r="C29" s="2">
        <v>2</v>
      </c>
      <c r="D29" s="56">
        <v>500</v>
      </c>
      <c r="E29" s="2" t="s">
        <v>278</v>
      </c>
      <c r="F29" s="123"/>
      <c r="G29" s="10">
        <f ca="1">COUNTIFS(progress!A:A,plans[[#This Row],[productId]],progress!B:B,plans[[#This Row],[planId]])</f>
        <v>1</v>
      </c>
    </row>
    <row r="30" spans="1:7">
      <c r="A30" s="19" t="s">
        <v>229</v>
      </c>
      <c r="B30" s="2">
        <v>140010255</v>
      </c>
      <c r="C30" s="2">
        <v>2</v>
      </c>
      <c r="D30" s="56">
        <v>500</v>
      </c>
      <c r="E30" s="2" t="s">
        <v>280</v>
      </c>
      <c r="F30" s="123"/>
      <c r="G30" s="10">
        <f ca="1">COUNTIFS(progress!A:A,plans[[#This Row],[productId]],progress!B:B,plans[[#This Row],[planId]])</f>
        <v>1</v>
      </c>
    </row>
    <row r="31" spans="1:7">
      <c r="A31" s="19" t="s">
        <v>253</v>
      </c>
      <c r="B31" s="2">
        <v>140310096</v>
      </c>
      <c r="C31" s="2">
        <v>2</v>
      </c>
      <c r="D31" s="56">
        <v>3000</v>
      </c>
      <c r="E31" s="2" t="s">
        <v>241</v>
      </c>
      <c r="F31" s="123"/>
      <c r="G31" s="10">
        <f ca="1">COUNTIFS(progress!A:A,plans[[#This Row],[productId]],progress!B:B,plans[[#This Row],[planId]])</f>
        <v>1</v>
      </c>
    </row>
    <row r="32" spans="1:7">
      <c r="A32" s="19" t="s">
        <v>668</v>
      </c>
      <c r="B32" s="2">
        <v>140310058</v>
      </c>
      <c r="C32" s="2">
        <v>2</v>
      </c>
      <c r="D32" s="56">
        <v>2000</v>
      </c>
      <c r="E32" s="2" t="s">
        <v>278</v>
      </c>
      <c r="F32" s="123" t="s">
        <v>1042</v>
      </c>
      <c r="G32" s="10">
        <f ca="1">COUNTIFS(progress!A:A,plans[[#This Row],[productId]],progress!B:B,plans[[#This Row],[planId]])</f>
        <v>1</v>
      </c>
    </row>
    <row r="33" spans="1:7">
      <c r="A33" s="19" t="s">
        <v>668</v>
      </c>
      <c r="B33" s="2">
        <v>140310058</v>
      </c>
      <c r="C33" s="2">
        <v>2</v>
      </c>
      <c r="D33" s="56">
        <v>2000</v>
      </c>
      <c r="E33" s="2" t="s">
        <v>692</v>
      </c>
      <c r="F33" s="123"/>
      <c r="G33" s="10">
        <f ca="1">COUNTIFS(progress!A:A,plans[[#This Row],[productId]],progress!B:B,plans[[#This Row],[planId]])</f>
        <v>1</v>
      </c>
    </row>
    <row r="34" spans="1:7">
      <c r="A34" s="19" t="s">
        <v>668</v>
      </c>
      <c r="B34" s="2">
        <v>140310058</v>
      </c>
      <c r="C34" s="2">
        <v>2</v>
      </c>
      <c r="D34" s="56">
        <v>2000</v>
      </c>
      <c r="E34" s="2" t="s">
        <v>252</v>
      </c>
      <c r="F34" s="123"/>
      <c r="G34" s="10">
        <f ca="1">COUNTIFS(progress!A:A,plans[[#This Row],[productId]],progress!B:B,plans[[#This Row],[planId]])</f>
        <v>1</v>
      </c>
    </row>
    <row r="35" spans="1:7">
      <c r="A35" s="19" t="s">
        <v>689</v>
      </c>
      <c r="B35" s="2">
        <v>141320055</v>
      </c>
      <c r="C35" s="2">
        <v>2</v>
      </c>
      <c r="D35" s="56">
        <v>5000</v>
      </c>
      <c r="E35" s="2" t="s">
        <v>694</v>
      </c>
      <c r="F35" s="123"/>
      <c r="G35" s="10">
        <f ca="1">COUNTIFS(progress!A:A,plans[[#This Row],[productId]],progress!B:B,plans[[#This Row],[planId]])</f>
        <v>1</v>
      </c>
    </row>
    <row r="36" spans="1:7">
      <c r="A36" s="19" t="s">
        <v>689</v>
      </c>
      <c r="B36" s="2">
        <v>141320055</v>
      </c>
      <c r="C36" s="2">
        <v>2</v>
      </c>
      <c r="D36" s="56">
        <v>10000</v>
      </c>
      <c r="E36" s="2" t="s">
        <v>698</v>
      </c>
      <c r="F36" s="123"/>
      <c r="G36" s="10">
        <f ca="1">COUNTIFS(progress!A:A,plans[[#This Row],[productId]],progress!B:B,plans[[#This Row],[planId]])</f>
        <v>1</v>
      </c>
    </row>
    <row r="37" spans="1:7">
      <c r="A37" s="19" t="s">
        <v>689</v>
      </c>
      <c r="B37" s="2">
        <v>141320055</v>
      </c>
      <c r="C37" s="2">
        <v>2</v>
      </c>
      <c r="D37" s="56">
        <v>10000</v>
      </c>
      <c r="E37" s="2" t="s">
        <v>701</v>
      </c>
      <c r="F37" s="123"/>
      <c r="G37" s="10">
        <f ca="1">COUNTIFS(progress!A:A,plans[[#This Row],[productId]],progress!B:B,plans[[#This Row],[planId]])</f>
        <v>1</v>
      </c>
    </row>
    <row r="38" spans="1:7">
      <c r="A38" s="19" t="s">
        <v>689</v>
      </c>
      <c r="B38" s="2">
        <v>141320055</v>
      </c>
      <c r="C38" s="2">
        <v>2</v>
      </c>
      <c r="D38" s="56">
        <v>10000</v>
      </c>
      <c r="E38" s="2" t="s">
        <v>707</v>
      </c>
      <c r="F38" s="123"/>
      <c r="G38" s="10">
        <f ca="1">COUNTIFS(progress!A:A,plans[[#This Row],[productId]],progress!B:B,plans[[#This Row],[planId]])</f>
        <v>1</v>
      </c>
    </row>
    <row r="39" spans="1:7">
      <c r="A39" s="19" t="s">
        <v>689</v>
      </c>
      <c r="B39" s="2">
        <v>141320055</v>
      </c>
      <c r="C39" s="2">
        <v>2</v>
      </c>
      <c r="D39" s="56">
        <v>10000</v>
      </c>
      <c r="E39" s="2" t="s">
        <v>712</v>
      </c>
      <c r="F39" s="123"/>
      <c r="G39" s="10">
        <f ca="1">COUNTIFS(progress!A:A,plans[[#This Row],[productId]],progress!B:B,plans[[#This Row],[planId]])</f>
        <v>1</v>
      </c>
    </row>
    <row r="40" spans="1:7">
      <c r="A40" s="19" t="s">
        <v>278</v>
      </c>
      <c r="B40" s="2">
        <v>140030039</v>
      </c>
      <c r="C40" s="2" t="s">
        <v>1051</v>
      </c>
      <c r="D40" s="56">
        <v>3000</v>
      </c>
      <c r="E40" s="2" t="s">
        <v>707</v>
      </c>
      <c r="F40" s="123" t="s">
        <v>1055</v>
      </c>
      <c r="G40" s="10">
        <f ca="1">COUNTIFS(progress!A:A,plans[[#This Row],[productId]],progress!B:B,plans[[#This Row],[planId]])</f>
        <v>1</v>
      </c>
    </row>
    <row r="41" spans="1:7">
      <c r="A41" s="19" t="s">
        <v>278</v>
      </c>
      <c r="B41" s="2">
        <v>140030040</v>
      </c>
      <c r="C41" s="2" t="s">
        <v>1051</v>
      </c>
      <c r="D41" s="56">
        <v>3000</v>
      </c>
      <c r="E41" s="2" t="s">
        <v>707</v>
      </c>
      <c r="F41" s="123" t="s">
        <v>1055</v>
      </c>
      <c r="G41" s="10">
        <f ca="1">COUNTIFS(progress!A:A,plans[[#This Row],[productId]],progress!B:B,plans[[#This Row],[planId]])</f>
        <v>1</v>
      </c>
    </row>
    <row r="42" spans="1:7">
      <c r="A42" s="19" t="s">
        <v>278</v>
      </c>
      <c r="B42" s="2">
        <v>140010117</v>
      </c>
      <c r="C42" s="2" t="s">
        <v>1051</v>
      </c>
      <c r="D42" s="56">
        <v>3000</v>
      </c>
      <c r="E42" s="2" t="s">
        <v>707</v>
      </c>
      <c r="F42" s="123" t="s">
        <v>1055</v>
      </c>
      <c r="G42" s="10">
        <f ca="1">COUNTIFS(progress!A:A,plans[[#This Row],[productId]],progress!B:B,plans[[#This Row],[planId]])</f>
        <v>1</v>
      </c>
    </row>
    <row r="43" spans="1:7">
      <c r="A43" s="19" t="s">
        <v>689</v>
      </c>
      <c r="B43" s="2">
        <v>140310031</v>
      </c>
      <c r="C43" s="2">
        <v>2</v>
      </c>
      <c r="D43" s="56">
        <v>500</v>
      </c>
      <c r="E43" s="2" t="s">
        <v>695</v>
      </c>
      <c r="F43" s="123" t="s">
        <v>1055</v>
      </c>
      <c r="G43" s="10">
        <f ca="1">COUNTIFS(progress!A:A,plans[[#This Row],[productId]],progress!B:B,plans[[#This Row],[planId]])</f>
        <v>1</v>
      </c>
    </row>
    <row r="44" spans="1:7">
      <c r="A44" s="19" t="s">
        <v>695</v>
      </c>
      <c r="B44" s="2">
        <v>140020181</v>
      </c>
      <c r="C44" s="2">
        <v>3</v>
      </c>
      <c r="D44" s="56">
        <v>2500</v>
      </c>
      <c r="E44" s="2" t="s">
        <v>702</v>
      </c>
      <c r="F44" s="123"/>
      <c r="G44" s="10">
        <f ca="1">COUNTIFS(progress!A:A,plans[[#This Row],[productId]],progress!B:B,plans[[#This Row],[planId]])</f>
        <v>1</v>
      </c>
    </row>
    <row r="45" spans="1:7">
      <c r="A45" s="19" t="s">
        <v>695</v>
      </c>
      <c r="B45" s="2">
        <v>140020181</v>
      </c>
      <c r="C45" s="2">
        <v>3</v>
      </c>
      <c r="D45" s="56">
        <v>2500</v>
      </c>
      <c r="E45" s="2" t="s">
        <v>708</v>
      </c>
      <c r="F45" s="123"/>
      <c r="G45" s="10">
        <f ca="1">COUNTIFS(progress!A:A,plans[[#This Row],[productId]],progress!B:B,plans[[#This Row],[planId]])</f>
        <v>1</v>
      </c>
    </row>
    <row r="46" spans="1:7">
      <c r="A46" s="19" t="s">
        <v>695</v>
      </c>
      <c r="B46" s="2">
        <v>140020181</v>
      </c>
      <c r="C46" s="2">
        <v>3</v>
      </c>
      <c r="D46" s="56">
        <v>2500</v>
      </c>
      <c r="E46" s="2" t="s">
        <v>715</v>
      </c>
      <c r="F46" s="123"/>
      <c r="G46" s="10">
        <f ca="1">COUNTIFS(progress!A:A,plans[[#This Row],[productId]],progress!B:B,plans[[#This Row],[planId]])</f>
        <v>1</v>
      </c>
    </row>
    <row r="47" spans="1:7" ht="17.25" thickBot="1">
      <c r="A47" s="19" t="s">
        <v>695</v>
      </c>
      <c r="B47" s="2">
        <v>140020181</v>
      </c>
      <c r="C47" s="2">
        <v>3</v>
      </c>
      <c r="D47" s="56">
        <v>2500</v>
      </c>
      <c r="E47" s="2" t="s">
        <v>720</v>
      </c>
      <c r="F47" s="123"/>
      <c r="G47" s="10">
        <f ca="1">COUNTIFS(progress!A:A,plans[[#This Row],[productId]],progress!B:B,plans[[#This Row],[planId]])</f>
        <v>1</v>
      </c>
    </row>
    <row r="48" spans="1:7" ht="17.25" thickTop="1">
      <c r="B48" s="231">
        <v>140640007</v>
      </c>
      <c r="C48" s="2">
        <v>2</v>
      </c>
      <c r="D48" s="56">
        <v>15000</v>
      </c>
      <c r="F48" s="123"/>
      <c r="G48" s="10">
        <f ca="1">COUNTIFS(progress!A:A,plans[[#This Row],[productId]],progress!B:B,plans[[#This Row],[planId]])</f>
        <v>1</v>
      </c>
    </row>
    <row r="49" spans="1:7">
      <c r="A49" s="19" t="s">
        <v>281</v>
      </c>
      <c r="B49" s="2">
        <v>140310007</v>
      </c>
      <c r="C49" s="2">
        <v>3</v>
      </c>
      <c r="D49" s="56">
        <v>2000</v>
      </c>
      <c r="E49" s="2" t="s">
        <v>703</v>
      </c>
      <c r="F49" s="123"/>
      <c r="G49" s="10">
        <f ca="1">COUNTIFS(progress!A:A,plans[[#This Row],[productId]],progress!B:B,plans[[#This Row],[planId]])</f>
        <v>1</v>
      </c>
    </row>
    <row r="50" spans="1:7">
      <c r="A50" s="19" t="s">
        <v>281</v>
      </c>
      <c r="B50" s="2">
        <v>140310007</v>
      </c>
      <c r="C50" s="2">
        <v>3</v>
      </c>
      <c r="D50" s="56">
        <v>2000</v>
      </c>
      <c r="E50" s="2" t="s">
        <v>708</v>
      </c>
      <c r="F50" s="123"/>
      <c r="G50" s="10">
        <f ca="1">COUNTIFS(progress!A:A,plans[[#This Row],[productId]],progress!B:B,plans[[#This Row],[planId]])</f>
        <v>1</v>
      </c>
    </row>
    <row r="51" spans="1:7">
      <c r="A51" s="19" t="s">
        <v>281</v>
      </c>
      <c r="B51" s="2">
        <v>140310007</v>
      </c>
      <c r="C51" s="2">
        <v>3</v>
      </c>
      <c r="D51" s="56">
        <v>2000</v>
      </c>
      <c r="E51" s="2" t="s">
        <v>713</v>
      </c>
      <c r="F51" s="123"/>
      <c r="G51" s="10">
        <f ca="1">COUNTIFS(progress!A:A,plans[[#This Row],[productId]],progress!B:B,plans[[#This Row],[planId]])</f>
        <v>1</v>
      </c>
    </row>
    <row r="52" spans="1:7">
      <c r="A52" s="19" t="s">
        <v>281</v>
      </c>
      <c r="B52" s="2">
        <v>140310007</v>
      </c>
      <c r="C52" s="2">
        <v>3</v>
      </c>
      <c r="D52" s="56">
        <v>3000</v>
      </c>
      <c r="E52" s="2" t="s">
        <v>719</v>
      </c>
      <c r="F52" s="123"/>
      <c r="G52" s="10">
        <f ca="1">COUNTIFS(progress!A:A,plans[[#This Row],[productId]],progress!B:B,plans[[#This Row],[planId]])</f>
        <v>1</v>
      </c>
    </row>
    <row r="53" spans="1:7">
      <c r="A53" s="19" t="s">
        <v>281</v>
      </c>
      <c r="B53" s="2">
        <v>140310007</v>
      </c>
      <c r="C53" s="2">
        <v>3</v>
      </c>
      <c r="D53" s="56">
        <v>1000</v>
      </c>
      <c r="E53" s="2" t="s">
        <v>725</v>
      </c>
      <c r="F53" s="123"/>
      <c r="G53" s="10">
        <f ca="1">COUNTIFS(progress!A:A,plans[[#This Row],[productId]],progress!B:B,plans[[#This Row],[planId]])</f>
        <v>1</v>
      </c>
    </row>
    <row r="54" spans="1:7">
      <c r="A54" s="19" t="s">
        <v>281</v>
      </c>
      <c r="B54" s="2">
        <v>140310071</v>
      </c>
      <c r="C54" s="2">
        <v>3</v>
      </c>
      <c r="D54" s="56">
        <v>5000</v>
      </c>
      <c r="E54" s="2" t="s">
        <v>703</v>
      </c>
      <c r="F54" s="123"/>
      <c r="G54" s="10">
        <f ca="1">COUNTIFS(progress!A:A,plans[[#This Row],[productId]],progress!B:B,plans[[#This Row],[planId]])</f>
        <v>1</v>
      </c>
    </row>
    <row r="55" spans="1:7">
      <c r="A55" s="19" t="s">
        <v>281</v>
      </c>
      <c r="B55" s="2">
        <v>140310071</v>
      </c>
      <c r="C55" s="2">
        <v>3</v>
      </c>
      <c r="D55" s="56">
        <v>5000</v>
      </c>
      <c r="E55" s="2" t="s">
        <v>708</v>
      </c>
      <c r="F55" s="123"/>
      <c r="G55" s="10">
        <f ca="1">COUNTIFS(progress!A:A,plans[[#This Row],[productId]],progress!B:B,plans[[#This Row],[planId]])</f>
        <v>1</v>
      </c>
    </row>
    <row r="56" spans="1:7">
      <c r="A56" s="19" t="s">
        <v>281</v>
      </c>
      <c r="B56" s="2">
        <v>140310071</v>
      </c>
      <c r="C56" s="2">
        <v>3</v>
      </c>
      <c r="D56" s="56">
        <v>12000</v>
      </c>
      <c r="E56" s="2" t="s">
        <v>713</v>
      </c>
      <c r="F56" s="123"/>
      <c r="G56" s="10">
        <f ca="1">COUNTIFS(progress!A:A,plans[[#This Row],[productId]],progress!B:B,plans[[#This Row],[planId]])</f>
        <v>1</v>
      </c>
    </row>
    <row r="57" spans="1:7">
      <c r="A57" s="19" t="s">
        <v>281</v>
      </c>
      <c r="B57" s="2">
        <v>140310071</v>
      </c>
      <c r="C57" s="2">
        <v>3</v>
      </c>
      <c r="D57" s="56">
        <v>12000</v>
      </c>
      <c r="E57" s="2" t="s">
        <v>719</v>
      </c>
      <c r="F57" s="123"/>
      <c r="G57" s="10">
        <f ca="1">COUNTIFS(progress!A:A,plans[[#This Row],[productId]],progress!B:B,plans[[#This Row],[planId]])</f>
        <v>1</v>
      </c>
    </row>
    <row r="58" spans="1:7">
      <c r="A58" s="19" t="s">
        <v>281</v>
      </c>
      <c r="B58" s="2">
        <v>140310071</v>
      </c>
      <c r="C58" s="2">
        <v>3</v>
      </c>
      <c r="D58" s="56">
        <v>12000</v>
      </c>
      <c r="E58" s="2" t="s">
        <v>725</v>
      </c>
      <c r="F58" s="123"/>
      <c r="G58" s="10">
        <f ca="1">COUNTIFS(progress!A:A,plans[[#This Row],[productId]],progress!B:B,plans[[#This Row],[planId]])</f>
        <v>1</v>
      </c>
    </row>
    <row r="59" spans="1:7">
      <c r="A59" s="19" t="s">
        <v>281</v>
      </c>
      <c r="B59" s="2">
        <v>140310071</v>
      </c>
      <c r="C59" s="2">
        <v>3</v>
      </c>
      <c r="D59" s="56">
        <v>12000</v>
      </c>
      <c r="E59" s="2" t="s">
        <v>732</v>
      </c>
      <c r="F59" s="123"/>
      <c r="G59" s="10">
        <f ca="1">COUNTIFS(progress!A:A,plans[[#This Row],[productId]],progress!B:B,plans[[#This Row],[planId]])</f>
        <v>1</v>
      </c>
    </row>
    <row r="60" spans="1:7">
      <c r="A60" s="19" t="s">
        <v>281</v>
      </c>
      <c r="B60" s="2">
        <v>140310071</v>
      </c>
      <c r="C60" s="2">
        <v>3</v>
      </c>
      <c r="D60" s="56">
        <v>12000</v>
      </c>
      <c r="E60" s="2" t="s">
        <v>738</v>
      </c>
      <c r="F60" s="123"/>
      <c r="G60" s="10">
        <f ca="1">COUNTIFS(progress!A:A,plans[[#This Row],[productId]],progress!B:B,plans[[#This Row],[planId]])</f>
        <v>1</v>
      </c>
    </row>
    <row r="61" spans="1:7">
      <c r="A61" s="19" t="s">
        <v>281</v>
      </c>
      <c r="B61" s="2">
        <v>140310083</v>
      </c>
      <c r="C61" s="2">
        <v>3</v>
      </c>
      <c r="D61" s="56">
        <v>3000</v>
      </c>
      <c r="E61" s="2" t="s">
        <v>703</v>
      </c>
      <c r="F61" s="123"/>
      <c r="G61" s="10">
        <f ca="1">COUNTIFS(progress!A:A,plans[[#This Row],[productId]],progress!B:B,plans[[#This Row],[planId]])</f>
        <v>1</v>
      </c>
    </row>
    <row r="62" spans="1:7">
      <c r="A62" s="19" t="s">
        <v>281</v>
      </c>
      <c r="B62" s="2">
        <v>140310083</v>
      </c>
      <c r="C62" s="2">
        <v>3</v>
      </c>
      <c r="D62" s="56">
        <v>3000</v>
      </c>
      <c r="E62" s="2" t="s">
        <v>708</v>
      </c>
      <c r="F62" s="123"/>
      <c r="G62" s="10">
        <f ca="1">COUNTIFS(progress!A:A,plans[[#This Row],[productId]],progress!B:B,plans[[#This Row],[planId]])</f>
        <v>1</v>
      </c>
    </row>
    <row r="63" spans="1:7">
      <c r="A63" s="19" t="s">
        <v>281</v>
      </c>
      <c r="B63" s="2">
        <v>140310083</v>
      </c>
      <c r="C63" s="2">
        <v>3</v>
      </c>
      <c r="D63" s="56">
        <v>5000</v>
      </c>
      <c r="E63" s="2" t="s">
        <v>713</v>
      </c>
      <c r="F63" s="123"/>
      <c r="G63" s="10">
        <f ca="1">COUNTIFS(progress!A:A,plans[[#This Row],[productId]],progress!B:B,plans[[#This Row],[planId]])</f>
        <v>1</v>
      </c>
    </row>
    <row r="64" spans="1:7">
      <c r="A64" s="19" t="s">
        <v>281</v>
      </c>
      <c r="B64" s="2">
        <v>140310083</v>
      </c>
      <c r="C64" s="2">
        <v>3</v>
      </c>
      <c r="D64" s="56">
        <v>5000</v>
      </c>
      <c r="E64" s="2" t="s">
        <v>719</v>
      </c>
      <c r="F64" s="123"/>
      <c r="G64" s="10">
        <f ca="1">COUNTIFS(progress!A:A,plans[[#This Row],[productId]],progress!B:B,plans[[#This Row],[planId]])</f>
        <v>1</v>
      </c>
    </row>
    <row r="65" spans="1:7">
      <c r="A65" s="19" t="s">
        <v>281</v>
      </c>
      <c r="B65" s="2">
        <v>140310083</v>
      </c>
      <c r="C65" s="2">
        <v>3</v>
      </c>
      <c r="D65" s="56">
        <v>5000</v>
      </c>
      <c r="E65" s="2" t="s">
        <v>725</v>
      </c>
      <c r="F65" s="123"/>
      <c r="G65" s="10">
        <f ca="1">COUNTIFS(progress!A:A,plans[[#This Row],[productId]],progress!B:B,plans[[#This Row],[planId]])</f>
        <v>1</v>
      </c>
    </row>
    <row r="66" spans="1:7">
      <c r="A66" s="19" t="s">
        <v>281</v>
      </c>
      <c r="B66" s="2">
        <v>140310083</v>
      </c>
      <c r="C66" s="2">
        <v>3</v>
      </c>
      <c r="D66" s="56">
        <v>5000</v>
      </c>
      <c r="E66" s="2" t="s">
        <v>732</v>
      </c>
      <c r="F66" s="123"/>
      <c r="G66" s="10">
        <f ca="1">COUNTIFS(progress!A:A,plans[[#This Row],[productId]],progress!B:B,plans[[#This Row],[planId]])</f>
        <v>1</v>
      </c>
    </row>
    <row r="67" spans="1:7">
      <c r="A67" s="19" t="s">
        <v>281</v>
      </c>
      <c r="B67" s="2">
        <v>140310083</v>
      </c>
      <c r="C67" s="2">
        <v>3</v>
      </c>
      <c r="D67" s="56">
        <v>4000</v>
      </c>
      <c r="E67" s="2" t="s">
        <v>738</v>
      </c>
      <c r="F67" s="123"/>
      <c r="G67" s="10">
        <f ca="1">COUNTIFS(progress!A:A,plans[[#This Row],[productId]],progress!B:B,plans[[#This Row],[planId]])</f>
        <v>1</v>
      </c>
    </row>
    <row r="68" spans="1:7">
      <c r="A68" s="19" t="s">
        <v>281</v>
      </c>
      <c r="B68" s="2">
        <v>140310058</v>
      </c>
      <c r="C68" s="2">
        <v>3</v>
      </c>
      <c r="D68" s="56">
        <v>2000</v>
      </c>
      <c r="E68" s="2" t="s">
        <v>703</v>
      </c>
      <c r="F68" s="123"/>
      <c r="G68" s="10">
        <f ca="1">COUNTIFS(progress!A:A,plans[[#This Row],[productId]],progress!B:B,plans[[#This Row],[planId]])</f>
        <v>1</v>
      </c>
    </row>
    <row r="69" spans="1:7">
      <c r="A69" s="19" t="s">
        <v>281</v>
      </c>
      <c r="B69" s="2">
        <v>140310096</v>
      </c>
      <c r="C69" s="2">
        <v>3</v>
      </c>
      <c r="D69" s="56">
        <v>2000</v>
      </c>
      <c r="E69" s="2" t="s">
        <v>703</v>
      </c>
      <c r="F69" s="123"/>
      <c r="G69" s="10">
        <f ca="1">COUNTIFS(progress!A:A,plans[[#This Row],[productId]],progress!B:B,plans[[#This Row],[planId]])</f>
        <v>1</v>
      </c>
    </row>
    <row r="70" spans="1:7">
      <c r="A70" s="19" t="s">
        <v>281</v>
      </c>
      <c r="B70" s="2">
        <v>140310096</v>
      </c>
      <c r="C70" s="2">
        <v>3</v>
      </c>
      <c r="D70" s="56">
        <v>2000</v>
      </c>
      <c r="E70" s="2" t="s">
        <v>708</v>
      </c>
      <c r="F70" s="123"/>
      <c r="G70" s="10">
        <f ca="1">COUNTIFS(progress!A:A,plans[[#This Row],[productId]],progress!B:B,plans[[#This Row],[planId]])</f>
        <v>1</v>
      </c>
    </row>
    <row r="71" spans="1:7">
      <c r="A71" s="19" t="s">
        <v>699</v>
      </c>
      <c r="B71" s="2">
        <v>140310058</v>
      </c>
      <c r="C71" s="2">
        <v>3</v>
      </c>
      <c r="D71" s="56">
        <v>2000</v>
      </c>
      <c r="E71" s="2" t="s">
        <v>712</v>
      </c>
      <c r="F71" s="123"/>
      <c r="G71" s="10">
        <f ca="1">COUNTIFS(progress!A:A,plans[[#This Row],[productId]],progress!B:B,plans[[#This Row],[planId]])</f>
        <v>1</v>
      </c>
    </row>
    <row r="72" spans="1:7">
      <c r="A72" s="19" t="s">
        <v>700</v>
      </c>
      <c r="B72" s="2">
        <v>140010117</v>
      </c>
      <c r="C72" s="2">
        <v>3</v>
      </c>
      <c r="D72" s="56">
        <v>3000</v>
      </c>
      <c r="E72" s="2" t="s">
        <v>708</v>
      </c>
      <c r="F72" s="123"/>
      <c r="G72" s="10">
        <f ca="1">COUNTIFS(progress!A:A,plans[[#This Row],[productId]],progress!B:B,plans[[#This Row],[planId]])</f>
        <v>1</v>
      </c>
    </row>
    <row r="73" spans="1:7">
      <c r="A73" s="19" t="s">
        <v>700</v>
      </c>
      <c r="B73" s="2">
        <v>140010117</v>
      </c>
      <c r="C73" s="2">
        <v>3</v>
      </c>
      <c r="D73" s="56">
        <v>3000</v>
      </c>
      <c r="E73" s="2" t="s">
        <v>712</v>
      </c>
      <c r="F73" s="123"/>
      <c r="G73" s="10">
        <f ca="1">COUNTIFS(progress!A:A,plans[[#This Row],[productId]],progress!B:B,plans[[#This Row],[planId]])</f>
        <v>1</v>
      </c>
    </row>
    <row r="74" spans="1:7">
      <c r="A74" s="19" t="s">
        <v>700</v>
      </c>
      <c r="B74" s="2">
        <v>140010117</v>
      </c>
      <c r="C74" s="2">
        <v>3</v>
      </c>
      <c r="D74" s="56">
        <v>3000</v>
      </c>
      <c r="E74" s="2" t="s">
        <v>717</v>
      </c>
      <c r="F74" s="123"/>
      <c r="G74" s="10">
        <f ca="1">COUNTIFS(progress!A:A,plans[[#This Row],[productId]],progress!B:B,plans[[#This Row],[planId]])</f>
        <v>1</v>
      </c>
    </row>
    <row r="75" spans="1:7">
      <c r="A75" s="19" t="s">
        <v>700</v>
      </c>
      <c r="B75" s="2">
        <v>140010117</v>
      </c>
      <c r="C75" s="2">
        <v>3</v>
      </c>
      <c r="D75" s="56">
        <v>3000</v>
      </c>
      <c r="E75" s="2" t="s">
        <v>724</v>
      </c>
      <c r="F75" s="123"/>
      <c r="G75" s="10">
        <f ca="1">COUNTIFS(progress!A:A,plans[[#This Row],[productId]],progress!B:B,plans[[#This Row],[planId]])</f>
        <v>1</v>
      </c>
    </row>
    <row r="76" spans="1:7">
      <c r="A76" s="19" t="s">
        <v>700</v>
      </c>
      <c r="B76" s="2">
        <v>140010230</v>
      </c>
      <c r="C76" s="2">
        <v>3</v>
      </c>
      <c r="D76" s="56">
        <v>3000</v>
      </c>
      <c r="E76" s="2" t="s">
        <v>724</v>
      </c>
      <c r="F76" s="123"/>
      <c r="G76" s="10">
        <f ca="1">COUNTIFS(progress!A:A,plans[[#This Row],[productId]],progress!B:B,plans[[#This Row],[planId]])</f>
        <v>1</v>
      </c>
    </row>
    <row r="77" spans="1:7">
      <c r="A77" s="19" t="s">
        <v>700</v>
      </c>
      <c r="B77" s="2">
        <v>140010255</v>
      </c>
      <c r="C77" s="2">
        <v>3</v>
      </c>
      <c r="D77" s="56">
        <v>500</v>
      </c>
      <c r="E77" s="2" t="s">
        <v>724</v>
      </c>
      <c r="F77" s="123"/>
      <c r="G77" s="10">
        <f ca="1">COUNTIFS(progress!A:A,plans[[#This Row],[productId]],progress!B:B,plans[[#This Row],[planId]])</f>
        <v>1</v>
      </c>
    </row>
    <row r="78" spans="1:7">
      <c r="A78" s="19" t="s">
        <v>700</v>
      </c>
      <c r="B78" s="2">
        <v>140030039</v>
      </c>
      <c r="C78" s="2">
        <v>3</v>
      </c>
      <c r="D78" s="56">
        <v>900</v>
      </c>
      <c r="E78" s="2" t="s">
        <v>708</v>
      </c>
      <c r="F78" s="123"/>
      <c r="G78" s="10">
        <f ca="1">COUNTIFS(progress!A:A,plans[[#This Row],[productId]],progress!B:B,plans[[#This Row],[planId]])</f>
        <v>1</v>
      </c>
    </row>
    <row r="79" spans="1:7">
      <c r="A79" s="19" t="s">
        <v>700</v>
      </c>
      <c r="B79" s="2">
        <v>140030039</v>
      </c>
      <c r="C79" s="2">
        <v>3</v>
      </c>
      <c r="D79" s="56">
        <v>2800</v>
      </c>
      <c r="E79" s="2" t="s">
        <v>716</v>
      </c>
      <c r="F79" s="123"/>
      <c r="G79" s="10">
        <f ca="1">COUNTIFS(progress!A:A,plans[[#This Row],[productId]],progress!B:B,plans[[#This Row],[planId]])</f>
        <v>1</v>
      </c>
    </row>
    <row r="80" spans="1:7">
      <c r="A80" s="19" t="s">
        <v>700</v>
      </c>
      <c r="B80" s="2">
        <v>140030039</v>
      </c>
      <c r="C80" s="2">
        <v>3</v>
      </c>
      <c r="D80" s="56">
        <v>2200</v>
      </c>
      <c r="E80" s="2" t="s">
        <v>722</v>
      </c>
      <c r="F80" s="123"/>
      <c r="G80" s="10">
        <f ca="1">COUNTIFS(progress!A:A,plans[[#This Row],[productId]],progress!B:B,plans[[#This Row],[planId]])</f>
        <v>1</v>
      </c>
    </row>
    <row r="81" spans="1:7">
      <c r="A81" s="19" t="s">
        <v>700</v>
      </c>
      <c r="B81" s="2">
        <v>140030039</v>
      </c>
      <c r="C81" s="2">
        <v>3</v>
      </c>
      <c r="D81" s="56">
        <v>2400</v>
      </c>
      <c r="E81" s="2" t="s">
        <v>729</v>
      </c>
      <c r="F81" s="123"/>
      <c r="G81" s="10">
        <f ca="1">COUNTIFS(progress!A:A,plans[[#This Row],[productId]],progress!B:B,plans[[#This Row],[planId]])</f>
        <v>1</v>
      </c>
    </row>
    <row r="82" spans="1:7">
      <c r="A82" s="19" t="s">
        <v>700</v>
      </c>
      <c r="B82" s="2">
        <v>140030040</v>
      </c>
      <c r="C82" s="2">
        <v>3</v>
      </c>
      <c r="D82" s="56">
        <v>1200</v>
      </c>
      <c r="E82" s="2" t="s">
        <v>708</v>
      </c>
      <c r="F82" s="123"/>
      <c r="G82" s="10">
        <f ca="1">COUNTIFS(progress!A:A,plans[[#This Row],[productId]],progress!B:B,plans[[#This Row],[planId]])</f>
        <v>1</v>
      </c>
    </row>
    <row r="83" spans="1:7">
      <c r="A83" s="19" t="s">
        <v>700</v>
      </c>
      <c r="B83" s="2">
        <v>140030040</v>
      </c>
      <c r="C83" s="2">
        <v>3</v>
      </c>
      <c r="D83" s="56">
        <v>1900</v>
      </c>
      <c r="E83" s="2" t="s">
        <v>716</v>
      </c>
      <c r="F83" s="123"/>
      <c r="G83" s="10">
        <f ca="1">COUNTIFS(progress!A:A,plans[[#This Row],[productId]],progress!B:B,plans[[#This Row],[planId]])</f>
        <v>1</v>
      </c>
    </row>
    <row r="84" spans="1:7">
      <c r="A84" s="19" t="s">
        <v>700</v>
      </c>
      <c r="B84" s="2">
        <v>140030040</v>
      </c>
      <c r="C84" s="2">
        <v>3</v>
      </c>
      <c r="D84" s="56">
        <v>1300</v>
      </c>
      <c r="E84" s="2" t="s">
        <v>722</v>
      </c>
      <c r="F84" s="123"/>
      <c r="G84" s="10">
        <f ca="1">COUNTIFS(progress!A:A,plans[[#This Row],[productId]],progress!B:B,plans[[#This Row],[planId]])</f>
        <v>1</v>
      </c>
    </row>
    <row r="85" spans="1:7">
      <c r="A85" s="19" t="s">
        <v>704</v>
      </c>
      <c r="B85" s="2">
        <v>141320055</v>
      </c>
      <c r="C85" s="2">
        <v>3</v>
      </c>
      <c r="D85" s="56">
        <v>3000</v>
      </c>
      <c r="E85" s="2" t="s">
        <v>718</v>
      </c>
      <c r="F85" s="123"/>
      <c r="G85" s="10">
        <f ca="1">COUNTIFS(progress!A:A,plans[[#This Row],[productId]],progress!B:B,plans[[#This Row],[planId]])</f>
        <v>1</v>
      </c>
    </row>
    <row r="86" spans="1:7">
      <c r="A86" s="19" t="s">
        <v>704</v>
      </c>
      <c r="B86" s="2">
        <v>141320055</v>
      </c>
      <c r="C86" s="2">
        <v>3</v>
      </c>
      <c r="D86" s="56">
        <v>4000</v>
      </c>
      <c r="E86" s="2" t="s">
        <v>1111</v>
      </c>
      <c r="F86" s="123"/>
      <c r="G86" s="10">
        <f ca="1">COUNTIFS(progress!A:A,plans[[#This Row],[productId]],progress!B:B,plans[[#This Row],[planId]])</f>
        <v>1</v>
      </c>
    </row>
    <row r="87" spans="1:7">
      <c r="A87" s="19" t="s">
        <v>704</v>
      </c>
      <c r="B87" s="2">
        <v>141320055</v>
      </c>
      <c r="C87" s="2">
        <v>3</v>
      </c>
      <c r="D87" s="56">
        <v>4000</v>
      </c>
      <c r="E87" s="2" t="s">
        <v>731</v>
      </c>
      <c r="F87" s="123"/>
      <c r="G87" s="10">
        <f ca="1">COUNTIFS(progress!A:A,plans[[#This Row],[productId]],progress!B:B,plans[[#This Row],[planId]])</f>
        <v>1</v>
      </c>
    </row>
    <row r="88" spans="1:7">
      <c r="A88" s="19" t="s">
        <v>704</v>
      </c>
      <c r="B88" s="2">
        <v>141320055</v>
      </c>
      <c r="C88" s="2">
        <v>3</v>
      </c>
      <c r="D88" s="56">
        <v>4000</v>
      </c>
      <c r="E88" s="2" t="s">
        <v>737</v>
      </c>
      <c r="F88" s="123"/>
      <c r="G88" s="10">
        <f ca="1">COUNTIFS(progress!A:A,plans[[#This Row],[productId]],progress!B:B,plans[[#This Row],[planId]])</f>
        <v>1</v>
      </c>
    </row>
    <row r="89" spans="1:7">
      <c r="A89" s="19" t="s">
        <v>704</v>
      </c>
      <c r="B89" s="2">
        <v>140530039</v>
      </c>
      <c r="C89" s="2">
        <v>3</v>
      </c>
      <c r="D89" s="56">
        <v>3000</v>
      </c>
      <c r="E89" s="2" t="s">
        <v>718</v>
      </c>
      <c r="F89" s="123"/>
      <c r="G89" s="10">
        <f ca="1">COUNTIFS(progress!A:A,plans[[#This Row],[productId]],progress!B:B,plans[[#This Row],[planId]])</f>
        <v>1</v>
      </c>
    </row>
    <row r="90" spans="1:7">
      <c r="A90" s="19" t="s">
        <v>704</v>
      </c>
      <c r="B90" s="2">
        <v>140530039</v>
      </c>
      <c r="C90" s="2">
        <v>3</v>
      </c>
      <c r="D90" s="56">
        <v>5000</v>
      </c>
      <c r="E90" s="2" t="s">
        <v>1111</v>
      </c>
      <c r="F90" s="123"/>
      <c r="G90" s="10">
        <f ca="1">COUNTIFS(progress!A:A,plans[[#This Row],[productId]],progress!B:B,plans[[#This Row],[planId]])</f>
        <v>1</v>
      </c>
    </row>
    <row r="91" spans="1:7">
      <c r="A91" s="19" t="s">
        <v>704</v>
      </c>
      <c r="B91" s="2">
        <v>140530039</v>
      </c>
      <c r="C91" s="2">
        <v>3</v>
      </c>
      <c r="D91" s="56">
        <v>5000</v>
      </c>
      <c r="E91" s="2" t="s">
        <v>731</v>
      </c>
      <c r="F91" s="123"/>
      <c r="G91" s="10">
        <f ca="1">COUNTIFS(progress!A:A,plans[[#This Row],[productId]],progress!B:B,plans[[#This Row],[planId]])</f>
        <v>1</v>
      </c>
    </row>
    <row r="92" spans="1:7">
      <c r="A92" s="19" t="s">
        <v>704</v>
      </c>
      <c r="B92" s="2">
        <v>140530039</v>
      </c>
      <c r="C92" s="2">
        <v>3</v>
      </c>
      <c r="D92" s="56">
        <v>7000</v>
      </c>
      <c r="E92" s="2" t="s">
        <v>737</v>
      </c>
      <c r="F92" s="123"/>
      <c r="G92" s="10">
        <f ca="1">COUNTIFS(progress!A:A,plans[[#This Row],[productId]],progress!B:B,plans[[#This Row],[planId]])</f>
        <v>1</v>
      </c>
    </row>
    <row r="93" spans="1:7">
      <c r="A93" s="19" t="s">
        <v>1167</v>
      </c>
      <c r="B93" s="2">
        <v>140550019</v>
      </c>
      <c r="C93" s="2">
        <v>10</v>
      </c>
      <c r="D93" s="56">
        <v>8864</v>
      </c>
      <c r="F93" s="123"/>
      <c r="G93" s="10">
        <f ca="1">COUNTIFS(progress!A:A,plans[[#This Row],[productId]],progress!B:B,plans[[#This Row],[planId]])</f>
        <v>1</v>
      </c>
    </row>
    <row r="94" spans="1:7">
      <c r="A94" s="19" t="s">
        <v>178</v>
      </c>
      <c r="B94" s="2">
        <v>140450027</v>
      </c>
      <c r="C94" s="2">
        <v>11</v>
      </c>
      <c r="D94" s="56">
        <v>6400</v>
      </c>
      <c r="E94" s="2" t="s">
        <v>202</v>
      </c>
      <c r="F94" s="123" t="s">
        <v>203</v>
      </c>
      <c r="G94" s="10">
        <f ca="1">COUNTIFS(progress!A:A,plans[[#This Row],[productId]],progress!B:B,plans[[#This Row],[planId]])</f>
        <v>1</v>
      </c>
    </row>
    <row r="95" spans="1:7">
      <c r="A95" s="19" t="s">
        <v>178</v>
      </c>
      <c r="B95" s="2">
        <v>140450035</v>
      </c>
      <c r="C95" s="2">
        <v>11</v>
      </c>
      <c r="D95" s="56">
        <v>2800</v>
      </c>
      <c r="F95" s="123" t="s">
        <v>203</v>
      </c>
      <c r="G95" s="10">
        <f ca="1">COUNTIFS(progress!A:A,plans[[#This Row],[productId]],progress!B:B,plans[[#This Row],[planId]])</f>
        <v>1</v>
      </c>
    </row>
    <row r="96" spans="1:7">
      <c r="A96" s="19" t="s">
        <v>728</v>
      </c>
      <c r="B96" s="2">
        <v>140010117</v>
      </c>
      <c r="C96" s="2">
        <v>4</v>
      </c>
      <c r="D96" s="56">
        <v>2000</v>
      </c>
      <c r="E96" s="2" t="s">
        <v>758</v>
      </c>
      <c r="F96" s="123"/>
      <c r="G96" s="10">
        <f ca="1">COUNTIFS(progress!A:A,plans[[#This Row],[productId]],progress!B:B,plans[[#This Row],[planId]])</f>
        <v>1</v>
      </c>
    </row>
    <row r="97" spans="1:7">
      <c r="A97" s="19" t="s">
        <v>728</v>
      </c>
      <c r="B97" s="2">
        <v>140010230</v>
      </c>
      <c r="C97" s="2">
        <v>4</v>
      </c>
      <c r="D97" s="56">
        <v>3000</v>
      </c>
      <c r="E97" s="2" t="s">
        <v>752</v>
      </c>
      <c r="F97" s="123"/>
      <c r="G97" s="10">
        <f ca="1">COUNTIFS(progress!A:A,plans[[#This Row],[productId]],progress!B:B,plans[[#This Row],[planId]])</f>
        <v>1</v>
      </c>
    </row>
    <row r="98" spans="1:7">
      <c r="A98" s="19" t="s">
        <v>728</v>
      </c>
      <c r="B98" s="2">
        <v>140010230</v>
      </c>
      <c r="C98" s="2">
        <v>4</v>
      </c>
      <c r="D98" s="56">
        <v>6000</v>
      </c>
      <c r="E98" s="2" t="s">
        <v>758</v>
      </c>
      <c r="F98" s="123"/>
      <c r="G98" s="10">
        <f ca="1">COUNTIFS(progress!A:A,plans[[#This Row],[productId]],progress!B:B,plans[[#This Row],[planId]])</f>
        <v>1</v>
      </c>
    </row>
    <row r="99" spans="1:7">
      <c r="A99" s="19" t="s">
        <v>728</v>
      </c>
      <c r="B99" s="2">
        <v>140010255</v>
      </c>
      <c r="C99" s="2">
        <v>4</v>
      </c>
      <c r="D99" s="56">
        <v>500</v>
      </c>
      <c r="E99" s="2" t="s">
        <v>752</v>
      </c>
      <c r="F99" s="123"/>
      <c r="G99" s="10">
        <f ca="1">COUNTIFS(progress!A:A,plans[[#This Row],[productId]],progress!B:B,plans[[#This Row],[planId]])</f>
        <v>1</v>
      </c>
    </row>
    <row r="100" spans="1:7">
      <c r="A100" s="19" t="s">
        <v>728</v>
      </c>
      <c r="B100" s="2">
        <v>140030039</v>
      </c>
      <c r="C100" s="2">
        <v>4</v>
      </c>
      <c r="D100" s="56">
        <v>1000</v>
      </c>
      <c r="E100" s="2" t="s">
        <v>739</v>
      </c>
      <c r="F100" s="123"/>
      <c r="G100" s="10">
        <f ca="1">COUNTIFS(progress!A:A,plans[[#This Row],[productId]],progress!B:B,plans[[#This Row],[planId]])</f>
        <v>1</v>
      </c>
    </row>
    <row r="101" spans="1:7">
      <c r="A101" s="19" t="s">
        <v>728</v>
      </c>
      <c r="B101" s="2">
        <v>140030039</v>
      </c>
      <c r="C101" s="2">
        <v>4</v>
      </c>
      <c r="D101" s="56">
        <v>700</v>
      </c>
      <c r="E101" s="2" t="s">
        <v>744</v>
      </c>
      <c r="F101" s="123"/>
      <c r="G101" s="10">
        <f ca="1">COUNTIFS(progress!A:A,plans[[#This Row],[productId]],progress!B:B,plans[[#This Row],[planId]])</f>
        <v>1</v>
      </c>
    </row>
    <row r="102" spans="1:7">
      <c r="A102" s="19" t="s">
        <v>728</v>
      </c>
      <c r="B102" s="2">
        <v>140030039</v>
      </c>
      <c r="C102" s="2">
        <v>4</v>
      </c>
      <c r="D102" s="56">
        <v>1700</v>
      </c>
      <c r="E102" s="2" t="s">
        <v>758</v>
      </c>
      <c r="F102" s="123"/>
      <c r="G102" s="10">
        <f ca="1">COUNTIFS(progress!A:A,plans[[#This Row],[productId]],progress!B:B,plans[[#This Row],[planId]])</f>
        <v>1</v>
      </c>
    </row>
    <row r="103" spans="1:7">
      <c r="A103" s="19" t="s">
        <v>728</v>
      </c>
      <c r="B103" s="2">
        <v>140030039</v>
      </c>
      <c r="C103" s="2">
        <v>4</v>
      </c>
      <c r="D103" s="56">
        <v>1800</v>
      </c>
      <c r="E103" s="2" t="s">
        <v>765</v>
      </c>
      <c r="F103" s="123"/>
      <c r="G103" s="10">
        <f ca="1">COUNTIFS(progress!A:A,plans[[#This Row],[productId]],progress!B:B,plans[[#This Row],[planId]])</f>
        <v>1</v>
      </c>
    </row>
    <row r="104" spans="1:7">
      <c r="A104" s="19" t="s">
        <v>728</v>
      </c>
      <c r="B104" s="2">
        <v>140030040</v>
      </c>
      <c r="C104" s="2">
        <v>4</v>
      </c>
      <c r="D104" s="56">
        <v>2000</v>
      </c>
      <c r="E104" s="2" t="s">
        <v>739</v>
      </c>
      <c r="F104" s="123"/>
      <c r="G104" s="10">
        <f ca="1">COUNTIFS(progress!A:A,plans[[#This Row],[productId]],progress!B:B,plans[[#This Row],[planId]])</f>
        <v>1</v>
      </c>
    </row>
    <row r="105" spans="1:7">
      <c r="A105" s="19" t="s">
        <v>728</v>
      </c>
      <c r="B105" s="2">
        <v>140030040</v>
      </c>
      <c r="C105" s="2">
        <v>4</v>
      </c>
      <c r="D105" s="56">
        <v>3600</v>
      </c>
      <c r="E105" s="2" t="s">
        <v>744</v>
      </c>
      <c r="F105" s="123"/>
      <c r="G105" s="10">
        <f ca="1">COUNTIFS(progress!A:A,plans[[#This Row],[productId]],progress!B:B,plans[[#This Row],[planId]])</f>
        <v>1</v>
      </c>
    </row>
    <row r="106" spans="1:7">
      <c r="A106" s="19" t="s">
        <v>728</v>
      </c>
      <c r="B106" s="2">
        <v>140030040</v>
      </c>
      <c r="C106" s="2">
        <v>4</v>
      </c>
      <c r="D106" s="56">
        <v>400</v>
      </c>
      <c r="E106" s="2" t="s">
        <v>758</v>
      </c>
      <c r="F106" s="123"/>
      <c r="G106" s="10">
        <f ca="1">COUNTIFS(progress!A:A,plans[[#This Row],[productId]],progress!B:B,plans[[#This Row],[planId]])</f>
        <v>1</v>
      </c>
    </row>
    <row r="107" spans="1:7">
      <c r="A107" s="19" t="s">
        <v>728</v>
      </c>
      <c r="B107" s="2">
        <v>140030040</v>
      </c>
      <c r="C107" s="2">
        <v>4</v>
      </c>
      <c r="D107" s="56">
        <v>300</v>
      </c>
      <c r="E107" s="2" t="s">
        <v>765</v>
      </c>
      <c r="F107" s="123"/>
      <c r="G107" s="10">
        <f ca="1">COUNTIFS(progress!A:A,plans[[#This Row],[productId]],progress!B:B,plans[[#This Row],[planId]])</f>
        <v>1</v>
      </c>
    </row>
    <row r="108" spans="1:7">
      <c r="A108" s="19" t="s">
        <v>728</v>
      </c>
      <c r="B108" s="2">
        <v>140450047</v>
      </c>
      <c r="C108" s="2">
        <v>4</v>
      </c>
      <c r="D108" s="249">
        <v>5000</v>
      </c>
      <c r="E108" s="2" t="s">
        <v>735</v>
      </c>
      <c r="F108" s="123"/>
      <c r="G108" s="10">
        <f ca="1">COUNTIFS(progress!A:A,plans[[#This Row],[productId]],progress!B:B,plans[[#This Row],[planId]])</f>
        <v>1</v>
      </c>
    </row>
    <row r="109" spans="1:7">
      <c r="A109" s="19" t="s">
        <v>728</v>
      </c>
      <c r="B109" s="2">
        <v>140450047</v>
      </c>
      <c r="C109" s="2">
        <v>4</v>
      </c>
      <c r="D109" s="249">
        <v>3000</v>
      </c>
      <c r="E109" s="2" t="s">
        <v>738</v>
      </c>
      <c r="F109" s="123"/>
      <c r="G109" s="10">
        <f ca="1">COUNTIFS(progress!A:A,plans[[#This Row],[productId]],progress!B:B,plans[[#This Row],[planId]])</f>
        <v>1</v>
      </c>
    </row>
    <row r="110" spans="1:7">
      <c r="A110" s="19" t="s">
        <v>728</v>
      </c>
      <c r="B110" s="2">
        <v>140450047</v>
      </c>
      <c r="C110" s="2">
        <v>4</v>
      </c>
      <c r="D110" s="249">
        <v>3000</v>
      </c>
      <c r="E110" s="2" t="s">
        <v>741</v>
      </c>
      <c r="F110" s="123"/>
      <c r="G110" s="10">
        <f ca="1">COUNTIFS(progress!A:A,plans[[#This Row],[productId]],progress!B:B,plans[[#This Row],[planId]])</f>
        <v>1</v>
      </c>
    </row>
    <row r="111" spans="1:7">
      <c r="A111" s="19" t="s">
        <v>748</v>
      </c>
      <c r="B111" s="2">
        <v>140310007</v>
      </c>
      <c r="C111" s="2">
        <v>4</v>
      </c>
      <c r="D111" s="56">
        <v>10000</v>
      </c>
      <c r="E111" s="2" t="s">
        <v>759</v>
      </c>
      <c r="F111" s="123"/>
      <c r="G111" s="10">
        <f ca="1">COUNTIFS(progress!A:A,plans[[#This Row],[productId]],progress!B:B,plans[[#This Row],[planId]])</f>
        <v>1</v>
      </c>
    </row>
    <row r="112" spans="1:7">
      <c r="A112" s="19" t="s">
        <v>748</v>
      </c>
      <c r="B112" s="2">
        <v>140310007</v>
      </c>
      <c r="C112" s="2">
        <v>4</v>
      </c>
      <c r="D112" s="56">
        <v>10000</v>
      </c>
      <c r="E112" s="2" t="s">
        <v>763</v>
      </c>
      <c r="F112" s="123"/>
      <c r="G112" s="10">
        <f ca="1">COUNTIFS(progress!A:A,plans[[#This Row],[productId]],progress!B:B,plans[[#This Row],[planId]])</f>
        <v>1</v>
      </c>
    </row>
    <row r="113" spans="1:7">
      <c r="A113" s="19" t="s">
        <v>748</v>
      </c>
      <c r="B113" s="2">
        <v>140310007</v>
      </c>
      <c r="C113" s="2">
        <v>4</v>
      </c>
      <c r="D113" s="56">
        <v>10000</v>
      </c>
      <c r="E113" s="2" t="s">
        <v>769</v>
      </c>
      <c r="F113" s="123"/>
      <c r="G113" s="10">
        <f ca="1">COUNTIFS(progress!A:A,plans[[#This Row],[productId]],progress!B:B,plans[[#This Row],[planId]])</f>
        <v>1</v>
      </c>
    </row>
    <row r="114" spans="1:7">
      <c r="A114" s="19" t="s">
        <v>748</v>
      </c>
      <c r="B114" s="2">
        <v>140310007</v>
      </c>
      <c r="C114" s="2">
        <v>4</v>
      </c>
      <c r="D114" s="56">
        <v>10000</v>
      </c>
      <c r="E114" s="2" t="s">
        <v>778</v>
      </c>
      <c r="F114" s="123"/>
      <c r="G114" s="10">
        <f ca="1">COUNTIFS(progress!A:A,plans[[#This Row],[productId]],progress!B:B,plans[[#This Row],[planId]])</f>
        <v>1</v>
      </c>
    </row>
    <row r="115" spans="1:7">
      <c r="A115" s="19" t="s">
        <v>748</v>
      </c>
      <c r="B115" s="2">
        <v>140310007</v>
      </c>
      <c r="C115" s="2">
        <v>4</v>
      </c>
      <c r="D115" s="56">
        <v>10000</v>
      </c>
      <c r="E115" s="2" t="s">
        <v>787</v>
      </c>
      <c r="F115" s="123"/>
      <c r="G115" s="10">
        <f ca="1">COUNTIFS(progress!A:A,plans[[#This Row],[productId]],progress!B:B,plans[[#This Row],[planId]])</f>
        <v>1</v>
      </c>
    </row>
    <row r="116" spans="1:7">
      <c r="A116" s="19" t="s">
        <v>748</v>
      </c>
      <c r="B116" s="2">
        <v>140310007</v>
      </c>
      <c r="C116" s="2">
        <v>4</v>
      </c>
      <c r="D116" s="56">
        <v>10000</v>
      </c>
      <c r="E116" s="2" t="s">
        <v>796</v>
      </c>
      <c r="F116" s="123"/>
      <c r="G116" s="10">
        <f ca="1">COUNTIFS(progress!A:A,plans[[#This Row],[productId]],progress!B:B,plans[[#This Row],[planId]])</f>
        <v>1</v>
      </c>
    </row>
    <row r="117" spans="1:7">
      <c r="A117" s="19" t="s">
        <v>759</v>
      </c>
      <c r="B117" s="2">
        <v>140310031</v>
      </c>
      <c r="C117" s="2">
        <v>4</v>
      </c>
      <c r="D117" s="56">
        <v>8500</v>
      </c>
      <c r="E117" s="2" t="s">
        <v>777</v>
      </c>
      <c r="F117" s="123"/>
      <c r="G117" s="10">
        <f ca="1">COUNTIFS(progress!A:A,plans[[#This Row],[productId]],progress!B:B,plans[[#This Row],[planId]])</f>
        <v>1</v>
      </c>
    </row>
    <row r="118" spans="1:7">
      <c r="A118" s="19" t="s">
        <v>795</v>
      </c>
      <c r="B118" s="2">
        <v>140010117</v>
      </c>
      <c r="C118" s="2">
        <v>6</v>
      </c>
      <c r="D118" s="56">
        <v>3400</v>
      </c>
      <c r="E118" s="2" t="s">
        <v>801</v>
      </c>
      <c r="F118" s="123"/>
      <c r="G118" s="10">
        <f ca="1">COUNTIFS(progress!A:A,plans[[#This Row],[productId]],progress!B:B,plans[[#This Row],[planId]])</f>
        <v>1</v>
      </c>
    </row>
    <row r="119" spans="1:7">
      <c r="A119" s="19" t="s">
        <v>795</v>
      </c>
      <c r="B119" s="2">
        <v>140010117</v>
      </c>
      <c r="C119" s="2">
        <v>6</v>
      </c>
      <c r="D119" s="56">
        <v>3400</v>
      </c>
      <c r="E119" s="2" t="s">
        <v>805</v>
      </c>
      <c r="F119" s="123"/>
      <c r="G119" s="10">
        <f ca="1">COUNTIFS(progress!A:A,plans[[#This Row],[productId]],progress!B:B,plans[[#This Row],[planId]])</f>
        <v>1</v>
      </c>
    </row>
    <row r="120" spans="1:7">
      <c r="A120" s="19" t="s">
        <v>795</v>
      </c>
      <c r="B120" s="2">
        <v>140010117</v>
      </c>
      <c r="C120" s="2">
        <v>6</v>
      </c>
      <c r="D120" s="56">
        <v>3400</v>
      </c>
      <c r="E120" s="2" t="s">
        <v>811</v>
      </c>
      <c r="F120" s="123"/>
      <c r="G120" s="10">
        <f ca="1">COUNTIFS(progress!A:A,plans[[#This Row],[productId]],progress!B:B,plans[[#This Row],[planId]])</f>
        <v>1</v>
      </c>
    </row>
    <row r="121" spans="1:7">
      <c r="A121" s="19" t="s">
        <v>795</v>
      </c>
      <c r="B121" s="2">
        <v>140010117</v>
      </c>
      <c r="C121" s="2">
        <v>6</v>
      </c>
      <c r="D121" s="56">
        <v>3400</v>
      </c>
      <c r="E121" s="2" t="s">
        <v>822</v>
      </c>
      <c r="F121" s="123"/>
      <c r="G121" s="10">
        <f ca="1">COUNTIFS(progress!A:A,plans[[#This Row],[productId]],progress!B:B,plans[[#This Row],[planId]])</f>
        <v>1</v>
      </c>
    </row>
    <row r="122" spans="1:7">
      <c r="A122" s="19" t="s">
        <v>795</v>
      </c>
      <c r="B122" s="2">
        <v>140010117</v>
      </c>
      <c r="C122" s="2">
        <v>6</v>
      </c>
      <c r="D122" s="56">
        <v>3400</v>
      </c>
      <c r="E122" s="2" t="s">
        <v>826</v>
      </c>
      <c r="F122" s="123"/>
      <c r="G122" s="10">
        <f ca="1">COUNTIFS(progress!A:A,plans[[#This Row],[productId]],progress!B:B,plans[[#This Row],[planId]])</f>
        <v>1</v>
      </c>
    </row>
    <row r="123" spans="1:7">
      <c r="A123" s="19" t="s">
        <v>795</v>
      </c>
      <c r="B123" s="2">
        <v>140010230</v>
      </c>
      <c r="C123" s="2">
        <v>6</v>
      </c>
      <c r="D123" s="56">
        <v>3600</v>
      </c>
      <c r="E123" s="2" t="s">
        <v>801</v>
      </c>
      <c r="F123" s="123"/>
      <c r="G123" s="10">
        <f ca="1">COUNTIFS(progress!A:A,plans[[#This Row],[productId]],progress!B:B,plans[[#This Row],[planId]])</f>
        <v>1</v>
      </c>
    </row>
    <row r="124" spans="1:7">
      <c r="A124" s="19" t="s">
        <v>795</v>
      </c>
      <c r="B124" s="2">
        <v>140010230</v>
      </c>
      <c r="C124" s="2">
        <v>6</v>
      </c>
      <c r="D124" s="56">
        <v>3600</v>
      </c>
      <c r="E124" s="2" t="s">
        <v>805</v>
      </c>
      <c r="F124" s="123"/>
      <c r="G124" s="10">
        <f ca="1">COUNTIFS(progress!A:A,plans[[#This Row],[productId]],progress!B:B,plans[[#This Row],[planId]])</f>
        <v>1</v>
      </c>
    </row>
    <row r="125" spans="1:7">
      <c r="A125" s="19" t="s">
        <v>795</v>
      </c>
      <c r="B125" s="2">
        <v>140010230</v>
      </c>
      <c r="C125" s="2">
        <v>6</v>
      </c>
      <c r="D125" s="56">
        <v>3600</v>
      </c>
      <c r="E125" s="2" t="s">
        <v>811</v>
      </c>
      <c r="F125" s="123"/>
      <c r="G125" s="10">
        <f ca="1">COUNTIFS(progress!A:A,plans[[#This Row],[productId]],progress!B:B,plans[[#This Row],[planId]])</f>
        <v>1</v>
      </c>
    </row>
    <row r="126" spans="1:7">
      <c r="A126" s="19" t="s">
        <v>795</v>
      </c>
      <c r="B126" s="2">
        <v>140010230</v>
      </c>
      <c r="C126" s="2">
        <v>6</v>
      </c>
      <c r="D126" s="56">
        <v>3600</v>
      </c>
      <c r="E126" s="2" t="s">
        <v>822</v>
      </c>
      <c r="F126" s="123"/>
      <c r="G126" s="10">
        <f ca="1">COUNTIFS(progress!A:A,plans[[#This Row],[productId]],progress!B:B,plans[[#This Row],[planId]])</f>
        <v>1</v>
      </c>
    </row>
    <row r="127" spans="1:7">
      <c r="A127" s="19" t="s">
        <v>795</v>
      </c>
      <c r="B127" s="2">
        <v>140010230</v>
      </c>
      <c r="C127" s="2">
        <v>6</v>
      </c>
      <c r="D127" s="56">
        <v>3600</v>
      </c>
      <c r="E127" s="2" t="s">
        <v>826</v>
      </c>
      <c r="F127" s="123"/>
      <c r="G127" s="10">
        <f ca="1">COUNTIFS(progress!A:A,plans[[#This Row],[productId]],progress!B:B,plans[[#This Row],[planId]])</f>
        <v>1</v>
      </c>
    </row>
    <row r="128" spans="1:7">
      <c r="A128" s="19" t="s">
        <v>795</v>
      </c>
      <c r="B128" s="2">
        <v>140010255</v>
      </c>
      <c r="C128" s="2">
        <v>6</v>
      </c>
      <c r="D128" s="56">
        <v>360</v>
      </c>
      <c r="E128" s="2" t="s">
        <v>801</v>
      </c>
      <c r="F128" s="123"/>
      <c r="G128" s="10">
        <f ca="1">COUNTIFS(progress!A:A,plans[[#This Row],[productId]],progress!B:B,plans[[#This Row],[planId]])</f>
        <v>1</v>
      </c>
    </row>
    <row r="129" spans="1:7">
      <c r="A129" s="19" t="s">
        <v>795</v>
      </c>
      <c r="B129" s="2">
        <v>140010255</v>
      </c>
      <c r="C129" s="2">
        <v>6</v>
      </c>
      <c r="D129" s="56">
        <v>360</v>
      </c>
      <c r="E129" s="2" t="s">
        <v>805</v>
      </c>
      <c r="F129" s="123"/>
      <c r="G129" s="10">
        <f ca="1">COUNTIFS(progress!A:A,plans[[#This Row],[productId]],progress!B:B,plans[[#This Row],[planId]])</f>
        <v>1</v>
      </c>
    </row>
    <row r="130" spans="1:7">
      <c r="A130" s="19" t="s">
        <v>795</v>
      </c>
      <c r="B130" s="2">
        <v>140010255</v>
      </c>
      <c r="C130" s="2">
        <v>6</v>
      </c>
      <c r="D130" s="56">
        <v>360</v>
      </c>
      <c r="E130" s="2" t="s">
        <v>811</v>
      </c>
      <c r="F130" s="123"/>
      <c r="G130" s="10">
        <f ca="1">COUNTIFS(progress!A:A,plans[[#This Row],[productId]],progress!B:B,plans[[#This Row],[planId]])</f>
        <v>1</v>
      </c>
    </row>
    <row r="131" spans="1:7">
      <c r="A131" s="19" t="s">
        <v>795</v>
      </c>
      <c r="B131" s="2">
        <v>140010255</v>
      </c>
      <c r="C131" s="2">
        <v>6</v>
      </c>
      <c r="D131" s="56">
        <v>360</v>
      </c>
      <c r="E131" s="2" t="s">
        <v>822</v>
      </c>
      <c r="F131" s="123"/>
      <c r="G131" s="10">
        <f ca="1">COUNTIFS(progress!A:A,plans[[#This Row],[productId]],progress!B:B,plans[[#This Row],[planId]])</f>
        <v>1</v>
      </c>
    </row>
    <row r="132" spans="1:7">
      <c r="A132" s="19" t="s">
        <v>795</v>
      </c>
      <c r="B132" s="2">
        <v>140010255</v>
      </c>
      <c r="C132" s="2">
        <v>6</v>
      </c>
      <c r="D132" s="56">
        <v>360</v>
      </c>
      <c r="E132" s="2" t="s">
        <v>826</v>
      </c>
      <c r="F132" s="123"/>
      <c r="G132" s="10">
        <f ca="1">COUNTIFS(progress!A:A,plans[[#This Row],[productId]],progress!B:B,plans[[#This Row],[planId]])</f>
        <v>1</v>
      </c>
    </row>
    <row r="133" spans="1:7">
      <c r="A133" s="19" t="s">
        <v>789</v>
      </c>
      <c r="B133" s="2">
        <v>140010230</v>
      </c>
      <c r="C133" s="2">
        <v>5</v>
      </c>
      <c r="D133" s="56">
        <v>400</v>
      </c>
      <c r="E133" s="2" t="s">
        <v>826</v>
      </c>
      <c r="F133" s="123"/>
      <c r="G133" s="10">
        <f ca="1">COUNTIFS(progress!A:A,plans[[#This Row],[productId]],progress!B:B,plans[[#This Row],[planId]])</f>
        <v>1</v>
      </c>
    </row>
    <row r="134" spans="1:7">
      <c r="A134" s="19" t="s">
        <v>789</v>
      </c>
      <c r="B134" s="2">
        <v>140010255</v>
      </c>
      <c r="C134" s="2">
        <v>5</v>
      </c>
      <c r="D134" s="56">
        <v>700</v>
      </c>
      <c r="E134" s="2" t="s">
        <v>826</v>
      </c>
      <c r="F134" s="123"/>
      <c r="G134" s="10">
        <f ca="1">COUNTIFS(progress!A:A,plans[[#This Row],[productId]],progress!B:B,plans[[#This Row],[planId]])</f>
        <v>1</v>
      </c>
    </row>
    <row r="135" spans="1:7">
      <c r="A135" s="19" t="s">
        <v>797</v>
      </c>
      <c r="B135" s="2">
        <v>140030039</v>
      </c>
      <c r="C135" s="2">
        <v>6</v>
      </c>
      <c r="D135" s="56">
        <v>1000</v>
      </c>
      <c r="E135" s="2" t="s">
        <v>815</v>
      </c>
      <c r="F135" s="123"/>
      <c r="G135" s="10">
        <f ca="1">COUNTIFS(progress!A:A,plans[[#This Row],[productId]],progress!B:B,plans[[#This Row],[planId]])</f>
        <v>1</v>
      </c>
    </row>
    <row r="136" spans="1:7">
      <c r="A136" s="19" t="s">
        <v>797</v>
      </c>
      <c r="B136" s="2">
        <v>140030039</v>
      </c>
      <c r="C136" s="2">
        <v>6</v>
      </c>
      <c r="D136" s="56">
        <v>800</v>
      </c>
      <c r="E136" s="2" t="s">
        <v>820</v>
      </c>
      <c r="F136" s="123"/>
      <c r="G136" s="10">
        <f ca="1">COUNTIFS(progress!A:A,plans[[#This Row],[productId]],progress!B:B,plans[[#This Row],[planId]])</f>
        <v>1</v>
      </c>
    </row>
    <row r="137" spans="1:7">
      <c r="A137" s="19" t="s">
        <v>803</v>
      </c>
      <c r="B137" s="2">
        <v>140010255</v>
      </c>
      <c r="C137" s="2">
        <v>6</v>
      </c>
      <c r="D137" s="56">
        <v>500</v>
      </c>
      <c r="E137" s="2" t="s">
        <v>808</v>
      </c>
      <c r="F137" s="123"/>
      <c r="G137" s="10">
        <f ca="1">COUNTIFS(progress!A:A,plans[[#This Row],[productId]],progress!B:B,plans[[#This Row],[planId]])</f>
        <v>1</v>
      </c>
    </row>
    <row r="138" spans="1:7">
      <c r="A138" s="19" t="s">
        <v>803</v>
      </c>
      <c r="B138" s="2">
        <v>140010255</v>
      </c>
      <c r="C138" s="2">
        <v>6</v>
      </c>
      <c r="D138" s="56">
        <v>500</v>
      </c>
      <c r="E138" s="2" t="s">
        <v>812</v>
      </c>
      <c r="F138" s="123"/>
      <c r="G138" s="10">
        <f ca="1">COUNTIFS(progress!A:A,plans[[#This Row],[productId]],progress!B:B,plans[[#This Row],[planId]])</f>
        <v>1</v>
      </c>
    </row>
    <row r="139" spans="1:7">
      <c r="A139" s="19" t="s">
        <v>801</v>
      </c>
      <c r="B139" s="2">
        <v>140310096</v>
      </c>
      <c r="C139" s="2">
        <v>6</v>
      </c>
      <c r="D139" s="56">
        <v>1500</v>
      </c>
      <c r="E139" s="2" t="s">
        <v>805</v>
      </c>
      <c r="F139" s="123"/>
      <c r="G139" s="10">
        <f ca="1">COUNTIFS(progress!A:A,plans[[#This Row],[productId]],progress!B:B,plans[[#This Row],[planId]])</f>
        <v>1</v>
      </c>
    </row>
    <row r="140" spans="1:7">
      <c r="A140" s="19" t="s">
        <v>801</v>
      </c>
      <c r="B140" s="2">
        <v>140310096</v>
      </c>
      <c r="C140" s="2">
        <v>6</v>
      </c>
      <c r="D140" s="56">
        <v>1000</v>
      </c>
      <c r="E140" s="2" t="s">
        <v>809</v>
      </c>
      <c r="F140" s="123"/>
      <c r="G140" s="10">
        <f ca="1">COUNTIFS(progress!A:A,plans[[#This Row],[productId]],progress!B:B,plans[[#This Row],[planId]])</f>
        <v>1</v>
      </c>
    </row>
    <row r="141" spans="1:7">
      <c r="F141" s="123"/>
      <c r="G141" s="10"/>
    </row>
    <row r="142" spans="1:7">
      <c r="F142" s="123"/>
      <c r="G142" s="10"/>
    </row>
    <row r="143" spans="1:7">
      <c r="F143" s="123"/>
      <c r="G143" s="10"/>
    </row>
    <row r="144" spans="1:7">
      <c r="F144" s="123"/>
      <c r="G144" s="10"/>
    </row>
    <row r="145" spans="6:7">
      <c r="F145" s="123"/>
      <c r="G145" s="10"/>
    </row>
    <row r="146" spans="6:7">
      <c r="F146" s="123"/>
      <c r="G146" s="10"/>
    </row>
    <row r="147" spans="6:7">
      <c r="F147" s="123"/>
      <c r="G147" s="10"/>
    </row>
    <row r="148" spans="6:7">
      <c r="F148" s="123"/>
      <c r="G148" s="10"/>
    </row>
    <row r="149" spans="6:7">
      <c r="F149" s="123"/>
      <c r="G149" s="10"/>
    </row>
    <row r="150" spans="6:7">
      <c r="F150" s="123"/>
      <c r="G150" s="10"/>
    </row>
    <row r="151" spans="6:7">
      <c r="F151" s="123"/>
      <c r="G151" s="10"/>
    </row>
    <row r="152" spans="6:7">
      <c r="F152" s="123"/>
      <c r="G152" s="10"/>
    </row>
    <row r="153" spans="6:7">
      <c r="F153" s="123"/>
      <c r="G153" s="10"/>
    </row>
    <row r="154" spans="6:7">
      <c r="F154" s="123"/>
      <c r="G154" s="10"/>
    </row>
    <row r="155" spans="6:7">
      <c r="F155" s="123"/>
      <c r="G155" s="10"/>
    </row>
    <row r="156" spans="6:7">
      <c r="F156" s="123"/>
      <c r="G156" s="10"/>
    </row>
    <row r="157" spans="6:7">
      <c r="F157" s="123"/>
      <c r="G157" s="10"/>
    </row>
    <row r="158" spans="6:7">
      <c r="F158" s="123"/>
      <c r="G158" s="10"/>
    </row>
    <row r="159" spans="6:7">
      <c r="F159" s="123"/>
      <c r="G159" s="10"/>
    </row>
    <row r="160" spans="6:7">
      <c r="F160" s="123"/>
      <c r="G160" s="10"/>
    </row>
    <row r="161" spans="6:7">
      <c r="F161" s="123"/>
      <c r="G161" s="10"/>
    </row>
    <row r="162" spans="6:7">
      <c r="F162" s="123"/>
      <c r="G162" s="10"/>
    </row>
    <row r="163" spans="6:7">
      <c r="F163" s="123"/>
      <c r="G163" s="10"/>
    </row>
    <row r="164" spans="6:7">
      <c r="F164" s="123"/>
      <c r="G164" s="10"/>
    </row>
    <row r="165" spans="6:7">
      <c r="F165" s="123"/>
      <c r="G165" s="10"/>
    </row>
    <row r="166" spans="6:7">
      <c r="F166" s="123"/>
      <c r="G166" s="10"/>
    </row>
    <row r="167" spans="6:7">
      <c r="F167" s="123"/>
      <c r="G167" s="10"/>
    </row>
    <row r="168" spans="6:7">
      <c r="F168" s="123"/>
      <c r="G168" s="10"/>
    </row>
    <row r="169" spans="6:7">
      <c r="F169" s="123"/>
      <c r="G169" s="10"/>
    </row>
    <row r="170" spans="6:7">
      <c r="F170" s="123"/>
      <c r="G170" s="10"/>
    </row>
    <row r="171" spans="6:7">
      <c r="F171" s="123"/>
      <c r="G171" s="10"/>
    </row>
    <row r="172" spans="6:7">
      <c r="F172" s="123"/>
      <c r="G172" s="10"/>
    </row>
    <row r="173" spans="6:7">
      <c r="F173" s="123"/>
      <c r="G173" s="10"/>
    </row>
    <row r="174" spans="6:7">
      <c r="F174" s="123"/>
      <c r="G174" s="10"/>
    </row>
    <row r="175" spans="6:7">
      <c r="F175" s="123"/>
      <c r="G175" s="10"/>
    </row>
    <row r="176" spans="6:7">
      <c r="F176" s="123"/>
      <c r="G176" s="10"/>
    </row>
    <row r="177" spans="6:7">
      <c r="F177" s="123"/>
      <c r="G177" s="10"/>
    </row>
    <row r="178" spans="6:7">
      <c r="F178" s="123"/>
      <c r="G178" s="10"/>
    </row>
    <row r="179" spans="6:7">
      <c r="F179" s="123"/>
      <c r="G179" s="10"/>
    </row>
    <row r="180" spans="6:7">
      <c r="F180" s="123"/>
      <c r="G180" s="10"/>
    </row>
    <row r="181" spans="6:7">
      <c r="F181" s="123"/>
      <c r="G181" s="10"/>
    </row>
    <row r="182" spans="6:7">
      <c r="F182" s="123"/>
      <c r="G182" s="10"/>
    </row>
    <row r="183" spans="6:7">
      <c r="F183" s="123"/>
      <c r="G183" s="10"/>
    </row>
    <row r="184" spans="6:7">
      <c r="F184" s="123"/>
      <c r="G184" s="10"/>
    </row>
    <row r="185" spans="6:7">
      <c r="F185" s="123"/>
      <c r="G185" s="10"/>
    </row>
    <row r="186" spans="6:7">
      <c r="F186" s="123"/>
      <c r="G186" s="10"/>
    </row>
    <row r="187" spans="6:7">
      <c r="F187" s="123"/>
      <c r="G187" s="10"/>
    </row>
    <row r="188" spans="6:7">
      <c r="F188" s="123"/>
      <c r="G188" s="10"/>
    </row>
    <row r="189" spans="6:7">
      <c r="F189" s="123"/>
      <c r="G189" s="10"/>
    </row>
    <row r="190" spans="6:7">
      <c r="F190" s="123"/>
      <c r="G190" s="10"/>
    </row>
    <row r="191" spans="6:7">
      <c r="F191" s="123"/>
      <c r="G191" s="10"/>
    </row>
    <row r="192" spans="6:7">
      <c r="F192" s="123"/>
      <c r="G192" s="10"/>
    </row>
    <row r="193" spans="6:7">
      <c r="F193" s="123"/>
      <c r="G193" s="10"/>
    </row>
    <row r="194" spans="6:7">
      <c r="F194" s="123"/>
      <c r="G194" s="10"/>
    </row>
    <row r="195" spans="6:7">
      <c r="F195" s="123"/>
      <c r="G195" s="10"/>
    </row>
    <row r="196" spans="6:7">
      <c r="F196" s="123"/>
      <c r="G196" s="10"/>
    </row>
    <row r="197" spans="6:7">
      <c r="F197" s="123"/>
      <c r="G197" s="10"/>
    </row>
    <row r="198" spans="6:7">
      <c r="F198" s="123"/>
      <c r="G198" s="10"/>
    </row>
    <row r="199" spans="6:7">
      <c r="F199" s="123"/>
      <c r="G199" s="10"/>
    </row>
    <row r="200" spans="6:7">
      <c r="F200" s="123"/>
      <c r="G200" s="10"/>
    </row>
    <row r="201" spans="6:7">
      <c r="F201" s="123"/>
      <c r="G201" s="10"/>
    </row>
    <row r="202" spans="6:7">
      <c r="F202" s="123"/>
      <c r="G202" s="10"/>
    </row>
    <row r="203" spans="6:7">
      <c r="F203" s="123"/>
      <c r="G203" s="10"/>
    </row>
    <row r="204" spans="6:7">
      <c r="F204" s="123"/>
      <c r="G204" s="10"/>
    </row>
    <row r="205" spans="6:7">
      <c r="F205" s="123"/>
      <c r="G205" s="10"/>
    </row>
    <row r="206" spans="6:7">
      <c r="F206" s="123"/>
      <c r="G206" s="10"/>
    </row>
    <row r="207" spans="6:7">
      <c r="F207" s="123"/>
      <c r="G207" s="10"/>
    </row>
    <row r="208" spans="6:7">
      <c r="F208" s="123"/>
      <c r="G208" s="10"/>
    </row>
    <row r="209" spans="6:7">
      <c r="F209" s="123"/>
      <c r="G209" s="10"/>
    </row>
    <row r="210" spans="6:7">
      <c r="F210" s="123"/>
      <c r="G210" s="10"/>
    </row>
    <row r="211" spans="6:7">
      <c r="F211" s="123"/>
      <c r="G211" s="10"/>
    </row>
    <row r="212" spans="6:7">
      <c r="F212" s="123"/>
      <c r="G212" s="10"/>
    </row>
    <row r="213" spans="6:7">
      <c r="F213" s="123"/>
      <c r="G213" s="10"/>
    </row>
    <row r="214" spans="6:7">
      <c r="F214" s="123"/>
      <c r="G214" s="10"/>
    </row>
    <row r="215" spans="6:7">
      <c r="F215" s="123"/>
      <c r="G215" s="10"/>
    </row>
    <row r="216" spans="6:7">
      <c r="F216" s="123"/>
      <c r="G216" s="10"/>
    </row>
    <row r="217" spans="6:7">
      <c r="F217" s="123"/>
      <c r="G217" s="10"/>
    </row>
    <row r="218" spans="6:7">
      <c r="F218" s="123"/>
      <c r="G218" s="10"/>
    </row>
    <row r="219" spans="6:7">
      <c r="F219" s="123"/>
      <c r="G219" s="10"/>
    </row>
    <row r="220" spans="6:7">
      <c r="F220" s="123"/>
      <c r="G220" s="10"/>
    </row>
    <row r="221" spans="6:7">
      <c r="F221" s="123"/>
      <c r="G221" s="10"/>
    </row>
    <row r="222" spans="6:7">
      <c r="F222" s="123"/>
      <c r="G222" s="10"/>
    </row>
    <row r="223" spans="6:7">
      <c r="F223" s="123"/>
      <c r="G223" s="10"/>
    </row>
    <row r="224" spans="6:7">
      <c r="F224" s="123"/>
      <c r="G224" s="10"/>
    </row>
    <row r="225" spans="6:7">
      <c r="F225" s="123"/>
      <c r="G225" s="10"/>
    </row>
    <row r="226" spans="6:7">
      <c r="F226" s="123"/>
      <c r="G226" s="10"/>
    </row>
    <row r="227" spans="6:7">
      <c r="F227" s="123"/>
      <c r="G227" s="10"/>
    </row>
    <row r="228" spans="6:7">
      <c r="F228" s="123"/>
      <c r="G228" s="10"/>
    </row>
    <row r="229" spans="6:7">
      <c r="F229" s="123"/>
      <c r="G229" s="10"/>
    </row>
    <row r="230" spans="6:7">
      <c r="F230" s="123"/>
      <c r="G230" s="10"/>
    </row>
    <row r="231" spans="6:7">
      <c r="F231" s="123"/>
      <c r="G231" s="10"/>
    </row>
    <row r="232" spans="6:7">
      <c r="F232" s="123"/>
      <c r="G232" s="10"/>
    </row>
    <row r="233" spans="6:7">
      <c r="F233" s="123"/>
      <c r="G233" s="10"/>
    </row>
    <row r="234" spans="6:7">
      <c r="F234" s="123"/>
      <c r="G234" s="10"/>
    </row>
    <row r="235" spans="6:7">
      <c r="F235" s="123"/>
      <c r="G235" s="10"/>
    </row>
    <row r="236" spans="6:7">
      <c r="F236" s="123"/>
      <c r="G236" s="10"/>
    </row>
    <row r="237" spans="6:7">
      <c r="F237" s="123"/>
      <c r="G237" s="10"/>
    </row>
    <row r="238" spans="6:7">
      <c r="F238" s="123"/>
      <c r="G238" s="10"/>
    </row>
    <row r="239" spans="6:7">
      <c r="F239" s="123"/>
      <c r="G239" s="10"/>
    </row>
    <row r="240" spans="6:7">
      <c r="F240" s="123"/>
      <c r="G240" s="10"/>
    </row>
    <row r="241" spans="6:7">
      <c r="F241" s="123"/>
      <c r="G241" s="10"/>
    </row>
    <row r="242" spans="6:7">
      <c r="F242" s="123"/>
      <c r="G242" s="10"/>
    </row>
    <row r="243" spans="6:7">
      <c r="F243" s="123"/>
      <c r="G243" s="10"/>
    </row>
    <row r="244" spans="6:7">
      <c r="F244" s="123"/>
      <c r="G244" s="10"/>
    </row>
    <row r="245" spans="6:7">
      <c r="F245" s="123"/>
      <c r="G245" s="10"/>
    </row>
    <row r="246" spans="6:7">
      <c r="F246" s="123"/>
      <c r="G246" s="10"/>
    </row>
    <row r="247" spans="6:7">
      <c r="F247" s="123"/>
      <c r="G247" s="10"/>
    </row>
    <row r="248" spans="6:7">
      <c r="F248" s="123"/>
      <c r="G248" s="10"/>
    </row>
    <row r="249" spans="6:7">
      <c r="F249" s="123"/>
      <c r="G249" s="10"/>
    </row>
    <row r="250" spans="6:7">
      <c r="F250" s="123"/>
      <c r="G250" s="10"/>
    </row>
    <row r="251" spans="6:7">
      <c r="F251" s="123"/>
      <c r="G251" s="10"/>
    </row>
    <row r="252" spans="6:7">
      <c r="F252" s="123"/>
      <c r="G252" s="10"/>
    </row>
    <row r="253" spans="6:7">
      <c r="F253" s="123"/>
      <c r="G253" s="10"/>
    </row>
    <row r="254" spans="6:7">
      <c r="F254" s="123"/>
      <c r="G254" s="10"/>
    </row>
    <row r="255" spans="6:7">
      <c r="F255" s="123"/>
      <c r="G255" s="10"/>
    </row>
    <row r="256" spans="6:7">
      <c r="F256" s="123"/>
      <c r="G256" s="10"/>
    </row>
    <row r="257" spans="6:7">
      <c r="F257" s="123"/>
      <c r="G257" s="10"/>
    </row>
    <row r="258" spans="6:7">
      <c r="F258" s="123"/>
      <c r="G258" s="10"/>
    </row>
    <row r="259" spans="6:7">
      <c r="F259" s="123"/>
      <c r="G259" s="10"/>
    </row>
    <row r="260" spans="6:7">
      <c r="F260" s="123"/>
      <c r="G260" s="10"/>
    </row>
    <row r="261" spans="6:7">
      <c r="F261" s="123"/>
      <c r="G261" s="10"/>
    </row>
    <row r="262" spans="6:7">
      <c r="F262" s="123"/>
      <c r="G262" s="10"/>
    </row>
    <row r="263" spans="6:7">
      <c r="F263" s="123"/>
      <c r="G263" s="10"/>
    </row>
    <row r="264" spans="6:7">
      <c r="F264" s="123"/>
      <c r="G264" s="10"/>
    </row>
    <row r="265" spans="6:7">
      <c r="F265" s="123"/>
      <c r="G265" s="10"/>
    </row>
    <row r="266" spans="6:7">
      <c r="F266" s="123"/>
      <c r="G266" s="10"/>
    </row>
    <row r="267" spans="6:7">
      <c r="F267" s="123"/>
      <c r="G267" s="10"/>
    </row>
    <row r="268" spans="6:7">
      <c r="F268" s="123"/>
      <c r="G268" s="10"/>
    </row>
    <row r="269" spans="6:7">
      <c r="F269" s="123"/>
      <c r="G269" s="10"/>
    </row>
    <row r="270" spans="6:7">
      <c r="F270" s="123"/>
      <c r="G270" s="10"/>
    </row>
    <row r="271" spans="6:7">
      <c r="F271" s="123"/>
      <c r="G271" s="10"/>
    </row>
    <row r="272" spans="6:7">
      <c r="F272" s="123"/>
      <c r="G272" s="10"/>
    </row>
    <row r="273" spans="6:7">
      <c r="F273" s="123"/>
      <c r="G273" s="10"/>
    </row>
    <row r="274" spans="6:7">
      <c r="F274" s="123"/>
      <c r="G274" s="10"/>
    </row>
    <row r="275" spans="6:7">
      <c r="F275" s="123"/>
      <c r="G275" s="10"/>
    </row>
    <row r="276" spans="6:7">
      <c r="F276" s="123"/>
      <c r="G276" s="10"/>
    </row>
    <row r="277" spans="6:7">
      <c r="F277" s="123"/>
      <c r="G277" s="10"/>
    </row>
    <row r="278" spans="6:7">
      <c r="F278" s="123"/>
      <c r="G278" s="10"/>
    </row>
    <row r="279" spans="6:7">
      <c r="F279" s="123"/>
      <c r="G279" s="10"/>
    </row>
    <row r="280" spans="6:7">
      <c r="F280" s="123"/>
      <c r="G280" s="10"/>
    </row>
    <row r="281" spans="6:7">
      <c r="F281" s="123"/>
      <c r="G281" s="10"/>
    </row>
    <row r="282" spans="6:7">
      <c r="F282" s="123"/>
      <c r="G282" s="10"/>
    </row>
    <row r="283" spans="6:7">
      <c r="F283" s="123"/>
      <c r="G283" s="10"/>
    </row>
    <row r="284" spans="6:7">
      <c r="F284" s="123"/>
      <c r="G284" s="10"/>
    </row>
    <row r="285" spans="6:7">
      <c r="F285" s="123"/>
      <c r="G285" s="10"/>
    </row>
    <row r="286" spans="6:7">
      <c r="F286" s="123"/>
      <c r="G286" s="10"/>
    </row>
    <row r="287" spans="6:7">
      <c r="F287" s="123"/>
      <c r="G287" s="10"/>
    </row>
    <row r="288" spans="6:7">
      <c r="F288" s="123"/>
      <c r="G288" s="10"/>
    </row>
    <row r="289" spans="6:7">
      <c r="F289" s="123"/>
      <c r="G289" s="10"/>
    </row>
    <row r="290" spans="6:7">
      <c r="F290" s="123"/>
      <c r="G290" s="10"/>
    </row>
    <row r="291" spans="6:7">
      <c r="F291" s="123"/>
      <c r="G291" s="10"/>
    </row>
    <row r="292" spans="6:7">
      <c r="F292" s="123"/>
      <c r="G292" s="10"/>
    </row>
    <row r="293" spans="6:7">
      <c r="F293" s="123"/>
      <c r="G293" s="10"/>
    </row>
    <row r="294" spans="6:7">
      <c r="F294" s="123"/>
      <c r="G294" s="10"/>
    </row>
    <row r="295" spans="6:7">
      <c r="F295" s="123"/>
      <c r="G295" s="10"/>
    </row>
    <row r="296" spans="6:7">
      <c r="F296" s="123"/>
      <c r="G296" s="10"/>
    </row>
    <row r="297" spans="6:7">
      <c r="F297" s="123"/>
      <c r="G297" s="10"/>
    </row>
    <row r="298" spans="6:7">
      <c r="F298" s="123"/>
      <c r="G298" s="10"/>
    </row>
    <row r="299" spans="6:7">
      <c r="F299" s="123"/>
      <c r="G299" s="10"/>
    </row>
    <row r="300" spans="6:7">
      <c r="F300" s="123"/>
      <c r="G300" s="10"/>
    </row>
    <row r="301" spans="6:7">
      <c r="F301" s="123"/>
      <c r="G301" s="10"/>
    </row>
    <row r="302" spans="6:7">
      <c r="F302" s="123"/>
      <c r="G302" s="10"/>
    </row>
    <row r="303" spans="6:7">
      <c r="F303" s="123"/>
      <c r="G303" s="10"/>
    </row>
    <row r="304" spans="6:7">
      <c r="F304" s="123"/>
      <c r="G304" s="10"/>
    </row>
    <row r="305" spans="6:7">
      <c r="F305" s="123"/>
      <c r="G305" s="10"/>
    </row>
    <row r="306" spans="6:7">
      <c r="F306" s="123"/>
      <c r="G306" s="10"/>
    </row>
    <row r="307" spans="6:7">
      <c r="F307" s="123"/>
      <c r="G307" s="10"/>
    </row>
    <row r="308" spans="6:7">
      <c r="F308" s="123"/>
      <c r="G308" s="10"/>
    </row>
    <row r="309" spans="6:7">
      <c r="F309" s="123"/>
      <c r="G309" s="10"/>
    </row>
    <row r="310" spans="6:7">
      <c r="F310" s="123"/>
      <c r="G310" s="10"/>
    </row>
    <row r="311" spans="6:7">
      <c r="F311" s="123"/>
      <c r="G311" s="10"/>
    </row>
    <row r="312" spans="6:7">
      <c r="F312" s="123"/>
      <c r="G312" s="10"/>
    </row>
    <row r="313" spans="6:7">
      <c r="F313" s="123"/>
      <c r="G313" s="10"/>
    </row>
    <row r="314" spans="6:7">
      <c r="F314" s="123"/>
      <c r="G314" s="10"/>
    </row>
    <row r="315" spans="6:7">
      <c r="F315" s="123"/>
      <c r="G315" s="10"/>
    </row>
    <row r="316" spans="6:7">
      <c r="F316" s="123"/>
      <c r="G316" s="10"/>
    </row>
    <row r="317" spans="6:7">
      <c r="F317" s="123"/>
      <c r="G317" s="10"/>
    </row>
    <row r="318" spans="6:7">
      <c r="F318" s="123"/>
      <c r="G318" s="10"/>
    </row>
    <row r="319" spans="6:7">
      <c r="F319" s="123"/>
      <c r="G319" s="10"/>
    </row>
    <row r="320" spans="6:7">
      <c r="F320" s="123"/>
      <c r="G320" s="10"/>
    </row>
    <row r="321" spans="6:7">
      <c r="F321" s="123"/>
      <c r="G321" s="10"/>
    </row>
    <row r="322" spans="6:7">
      <c r="F322" s="123"/>
      <c r="G322" s="10"/>
    </row>
    <row r="323" spans="6:7">
      <c r="F323" s="123"/>
      <c r="G323" s="10"/>
    </row>
    <row r="324" spans="6:7">
      <c r="F324" s="123"/>
      <c r="G324" s="10"/>
    </row>
    <row r="325" spans="6:7">
      <c r="F325" s="123"/>
      <c r="G325" s="10"/>
    </row>
    <row r="326" spans="6:7">
      <c r="F326" s="123"/>
      <c r="G326" s="10"/>
    </row>
    <row r="327" spans="6:7">
      <c r="F327" s="123"/>
      <c r="G327" s="10"/>
    </row>
    <row r="328" spans="6:7">
      <c r="F328" s="123"/>
      <c r="G328" s="10"/>
    </row>
    <row r="329" spans="6:7">
      <c r="F329" s="123"/>
      <c r="G329" s="10"/>
    </row>
    <row r="330" spans="6:7">
      <c r="F330" s="123"/>
      <c r="G330" s="10"/>
    </row>
    <row r="331" spans="6:7">
      <c r="F331" s="123"/>
      <c r="G331" s="10"/>
    </row>
    <row r="332" spans="6:7">
      <c r="F332" s="123"/>
      <c r="G332" s="10"/>
    </row>
    <row r="333" spans="6:7">
      <c r="F333" s="123"/>
      <c r="G333" s="10"/>
    </row>
    <row r="334" spans="6:7">
      <c r="F334" s="123"/>
      <c r="G334" s="10"/>
    </row>
    <row r="335" spans="6:7">
      <c r="F335" s="123"/>
      <c r="G335" s="10"/>
    </row>
    <row r="336" spans="6:7">
      <c r="F336" s="123"/>
      <c r="G336" s="10"/>
    </row>
    <row r="337" spans="6:7">
      <c r="F337" s="123"/>
      <c r="G337" s="10"/>
    </row>
    <row r="338" spans="6:7">
      <c r="F338" s="123"/>
      <c r="G338" s="10"/>
    </row>
    <row r="339" spans="6:7">
      <c r="F339" s="123"/>
      <c r="G339" s="10"/>
    </row>
    <row r="340" spans="6:7">
      <c r="F340" s="123"/>
      <c r="G340" s="10"/>
    </row>
    <row r="341" spans="6:7">
      <c r="F341" s="123"/>
      <c r="G341" s="10"/>
    </row>
    <row r="342" spans="6:7">
      <c r="F342" s="123"/>
      <c r="G342" s="10"/>
    </row>
    <row r="343" spans="6:7">
      <c r="F343" s="123"/>
      <c r="G343" s="10"/>
    </row>
    <row r="344" spans="6:7">
      <c r="F344" s="123"/>
      <c r="G344" s="10"/>
    </row>
    <row r="345" spans="6:7">
      <c r="F345" s="123"/>
      <c r="G345" s="10"/>
    </row>
    <row r="346" spans="6:7">
      <c r="F346" s="123"/>
      <c r="G346" s="10"/>
    </row>
    <row r="347" spans="6:7">
      <c r="F347" s="123"/>
      <c r="G347" s="10"/>
    </row>
    <row r="348" spans="6:7">
      <c r="F348" s="123"/>
      <c r="G348" s="10"/>
    </row>
    <row r="349" spans="6:7">
      <c r="F349" s="123"/>
      <c r="G349" s="10"/>
    </row>
    <row r="350" spans="6:7">
      <c r="F350" s="123"/>
      <c r="G350" s="10"/>
    </row>
    <row r="351" spans="6:7">
      <c r="F351" s="123"/>
      <c r="G351" s="10"/>
    </row>
    <row r="352" spans="6:7">
      <c r="F352" s="123"/>
      <c r="G352" s="10"/>
    </row>
    <row r="353" spans="6:7">
      <c r="F353" s="123"/>
      <c r="G353" s="10"/>
    </row>
    <row r="354" spans="6:7">
      <c r="F354" s="123"/>
      <c r="G354" s="10"/>
    </row>
    <row r="355" spans="6:7">
      <c r="F355" s="123"/>
      <c r="G355" s="10"/>
    </row>
    <row r="356" spans="6:7">
      <c r="F356" s="123"/>
      <c r="G356" s="10"/>
    </row>
    <row r="357" spans="6:7">
      <c r="F357" s="123"/>
      <c r="G357" s="10"/>
    </row>
    <row r="358" spans="6:7">
      <c r="F358" s="123"/>
      <c r="G358" s="10"/>
    </row>
    <row r="359" spans="6:7">
      <c r="F359" s="123"/>
      <c r="G359" s="10"/>
    </row>
    <row r="360" spans="6:7">
      <c r="F360" s="123"/>
      <c r="G360" s="10"/>
    </row>
    <row r="361" spans="6:7">
      <c r="F361" s="123"/>
      <c r="G361" s="10"/>
    </row>
    <row r="362" spans="6:7">
      <c r="F362" s="123"/>
      <c r="G362" s="10"/>
    </row>
    <row r="363" spans="6:7">
      <c r="F363" s="123"/>
      <c r="G363" s="10"/>
    </row>
    <row r="364" spans="6:7">
      <c r="F364" s="123"/>
      <c r="G364" s="10"/>
    </row>
    <row r="365" spans="6:7">
      <c r="F365" s="123"/>
      <c r="G365" s="10"/>
    </row>
    <row r="366" spans="6:7">
      <c r="F366" s="123"/>
      <c r="G366" s="10"/>
    </row>
    <row r="367" spans="6:7">
      <c r="F367" s="123"/>
      <c r="G367" s="10"/>
    </row>
    <row r="368" spans="6:7">
      <c r="F368" s="123"/>
      <c r="G368" s="10"/>
    </row>
    <row r="369" spans="6:7">
      <c r="F369" s="123"/>
      <c r="G369" s="10"/>
    </row>
    <row r="370" spans="6:7">
      <c r="F370" s="123"/>
      <c r="G370" s="10"/>
    </row>
    <row r="371" spans="6:7">
      <c r="F371" s="123"/>
      <c r="G371" s="10"/>
    </row>
    <row r="372" spans="6:7">
      <c r="F372" s="123"/>
      <c r="G372" s="10"/>
    </row>
    <row r="373" spans="6:7">
      <c r="F373" s="123"/>
      <c r="G373" s="10"/>
    </row>
    <row r="374" spans="6:7">
      <c r="F374" s="123"/>
      <c r="G374" s="10"/>
    </row>
    <row r="375" spans="6:7">
      <c r="F375" s="123"/>
      <c r="G375" s="10"/>
    </row>
    <row r="376" spans="6:7">
      <c r="F376" s="123"/>
      <c r="G376" s="10"/>
    </row>
    <row r="377" spans="6:7">
      <c r="F377" s="123"/>
      <c r="G377" s="10"/>
    </row>
    <row r="378" spans="6:7">
      <c r="F378" s="123"/>
      <c r="G378" s="10"/>
    </row>
    <row r="379" spans="6:7">
      <c r="F379" s="123"/>
      <c r="G379" s="10"/>
    </row>
    <row r="380" spans="6:7">
      <c r="F380" s="123"/>
      <c r="G380" s="10"/>
    </row>
    <row r="381" spans="6:7">
      <c r="F381" s="123"/>
      <c r="G381" s="10"/>
    </row>
    <row r="382" spans="6:7">
      <c r="F382" s="123"/>
      <c r="G382" s="10"/>
    </row>
    <row r="383" spans="6:7">
      <c r="F383" s="123"/>
      <c r="G383" s="10"/>
    </row>
    <row r="384" spans="6:7">
      <c r="F384" s="123"/>
      <c r="G384" s="10"/>
    </row>
    <row r="385" spans="6:7">
      <c r="F385" s="123"/>
      <c r="G385" s="10"/>
    </row>
    <row r="386" spans="6:7">
      <c r="F386" s="123"/>
      <c r="G386" s="10"/>
    </row>
    <row r="387" spans="6:7">
      <c r="F387" s="123"/>
      <c r="G387" s="10"/>
    </row>
    <row r="388" spans="6:7">
      <c r="F388" s="123"/>
      <c r="G388" s="10"/>
    </row>
    <row r="389" spans="6:7">
      <c r="F389" s="123"/>
      <c r="G389" s="10"/>
    </row>
    <row r="390" spans="6:7">
      <c r="F390" s="123"/>
      <c r="G390" s="10"/>
    </row>
    <row r="391" spans="6:7">
      <c r="F391" s="123"/>
      <c r="G391" s="10"/>
    </row>
    <row r="392" spans="6:7">
      <c r="F392" s="123"/>
      <c r="G392" s="10"/>
    </row>
    <row r="393" spans="6:7">
      <c r="F393" s="123"/>
      <c r="G393" s="10"/>
    </row>
    <row r="394" spans="6:7">
      <c r="F394" s="123"/>
      <c r="G394" s="10"/>
    </row>
    <row r="395" spans="6:7">
      <c r="F395" s="123"/>
      <c r="G395" s="10"/>
    </row>
    <row r="396" spans="6:7">
      <c r="F396" s="123"/>
      <c r="G396" s="10"/>
    </row>
    <row r="397" spans="6:7">
      <c r="F397" s="123"/>
      <c r="G397" s="10"/>
    </row>
    <row r="398" spans="6:7">
      <c r="F398" s="123"/>
      <c r="G398" s="10"/>
    </row>
    <row r="399" spans="6:7">
      <c r="F399" s="123"/>
      <c r="G399" s="10"/>
    </row>
    <row r="400" spans="6:7">
      <c r="F400" s="123"/>
      <c r="G400" s="10"/>
    </row>
    <row r="401" spans="6:7">
      <c r="F401" s="123"/>
      <c r="G401" s="10"/>
    </row>
    <row r="402" spans="6:7">
      <c r="F402" s="123"/>
      <c r="G402" s="10"/>
    </row>
    <row r="403" spans="6:7">
      <c r="F403" s="123"/>
      <c r="G403" s="10"/>
    </row>
    <row r="404" spans="6:7">
      <c r="F404" s="123"/>
      <c r="G404" s="10"/>
    </row>
    <row r="405" spans="6:7">
      <c r="F405" s="123"/>
      <c r="G405" s="10"/>
    </row>
    <row r="406" spans="6:7">
      <c r="F406" s="123"/>
      <c r="G406" s="10"/>
    </row>
    <row r="407" spans="6:7">
      <c r="F407" s="123"/>
      <c r="G407" s="10"/>
    </row>
    <row r="408" spans="6:7">
      <c r="F408" s="123"/>
      <c r="G408" s="10"/>
    </row>
    <row r="409" spans="6:7">
      <c r="F409" s="123"/>
      <c r="G409" s="10"/>
    </row>
    <row r="410" spans="6:7">
      <c r="F410" s="123"/>
      <c r="G410" s="10"/>
    </row>
    <row r="411" spans="6:7">
      <c r="F411" s="123"/>
      <c r="G411" s="10"/>
    </row>
    <row r="412" spans="6:7">
      <c r="F412" s="123"/>
      <c r="G412" s="10"/>
    </row>
    <row r="413" spans="6:7">
      <c r="F413" s="123"/>
      <c r="G413" s="10"/>
    </row>
    <row r="414" spans="6:7">
      <c r="F414" s="123"/>
      <c r="G414" s="10"/>
    </row>
    <row r="415" spans="6:7">
      <c r="F415" s="123"/>
      <c r="G415" s="10"/>
    </row>
    <row r="416" spans="6:7">
      <c r="F416" s="123"/>
      <c r="G416" s="10"/>
    </row>
    <row r="417" spans="6:7">
      <c r="F417" s="123"/>
      <c r="G417" s="10"/>
    </row>
    <row r="418" spans="6:7">
      <c r="F418" s="123"/>
      <c r="G418" s="10"/>
    </row>
    <row r="419" spans="6:7">
      <c r="F419" s="123"/>
      <c r="G419" s="10"/>
    </row>
    <row r="420" spans="6:7">
      <c r="F420" s="123"/>
      <c r="G420" s="10"/>
    </row>
    <row r="421" spans="6:7">
      <c r="F421" s="123"/>
      <c r="G421" s="10"/>
    </row>
    <row r="422" spans="6:7">
      <c r="F422" s="123"/>
      <c r="G422" s="10"/>
    </row>
    <row r="423" spans="6:7">
      <c r="F423" s="123"/>
      <c r="G423" s="10"/>
    </row>
    <row r="424" spans="6:7">
      <c r="F424" s="123"/>
      <c r="G424" s="10"/>
    </row>
    <row r="425" spans="6:7">
      <c r="F425" s="123"/>
      <c r="G425" s="10"/>
    </row>
    <row r="426" spans="6:7">
      <c r="F426" s="123"/>
      <c r="G426" s="10"/>
    </row>
    <row r="427" spans="6:7">
      <c r="F427" s="123"/>
      <c r="G427" s="10"/>
    </row>
    <row r="428" spans="6:7">
      <c r="F428" s="123"/>
      <c r="G428" s="10"/>
    </row>
    <row r="429" spans="6:7">
      <c r="F429" s="123"/>
      <c r="G429" s="10"/>
    </row>
    <row r="430" spans="6:7">
      <c r="F430" s="123"/>
      <c r="G430" s="10"/>
    </row>
    <row r="431" spans="6:7">
      <c r="F431" s="123"/>
      <c r="G431" s="10"/>
    </row>
    <row r="432" spans="6:7">
      <c r="F432" s="123"/>
      <c r="G432" s="10"/>
    </row>
    <row r="433" spans="6:7">
      <c r="F433" s="123"/>
      <c r="G433" s="10"/>
    </row>
    <row r="434" spans="6:7">
      <c r="F434" s="123"/>
      <c r="G434" s="10"/>
    </row>
    <row r="435" spans="6:7">
      <c r="F435" s="123"/>
      <c r="G435" s="10"/>
    </row>
    <row r="436" spans="6:7">
      <c r="F436" s="123"/>
      <c r="G436" s="10"/>
    </row>
    <row r="437" spans="6:7">
      <c r="F437" s="123"/>
      <c r="G437" s="10"/>
    </row>
    <row r="438" spans="6:7">
      <c r="F438" s="123"/>
      <c r="G438" s="10"/>
    </row>
    <row r="439" spans="6:7">
      <c r="F439" s="123"/>
      <c r="G439" s="10"/>
    </row>
    <row r="440" spans="6:7">
      <c r="F440" s="123"/>
      <c r="G440" s="10"/>
    </row>
    <row r="441" spans="6:7">
      <c r="F441" s="123"/>
      <c r="G441" s="10"/>
    </row>
    <row r="442" spans="6:7">
      <c r="F442" s="123"/>
      <c r="G442" s="10"/>
    </row>
    <row r="443" spans="6:7">
      <c r="F443" s="123"/>
      <c r="G443" s="10"/>
    </row>
    <row r="444" spans="6:7">
      <c r="F444" s="123"/>
      <c r="G444" s="10"/>
    </row>
    <row r="445" spans="6:7">
      <c r="F445" s="123"/>
      <c r="G445" s="10"/>
    </row>
    <row r="446" spans="6:7">
      <c r="F446" s="123"/>
      <c r="G446" s="10"/>
    </row>
    <row r="447" spans="6:7">
      <c r="F447" s="123"/>
      <c r="G447" s="10"/>
    </row>
    <row r="448" spans="6:7">
      <c r="F448" s="123"/>
      <c r="G448" s="10"/>
    </row>
    <row r="449" spans="6:7">
      <c r="F449" s="123"/>
      <c r="G449" s="10"/>
    </row>
    <row r="450" spans="6:7">
      <c r="F450" s="123"/>
      <c r="G450" s="10"/>
    </row>
    <row r="451" spans="6:7">
      <c r="F451" s="123"/>
      <c r="G451" s="10"/>
    </row>
    <row r="452" spans="6:7">
      <c r="F452" s="123"/>
      <c r="G452" s="10"/>
    </row>
    <row r="453" spans="6:7">
      <c r="F453" s="123"/>
      <c r="G453" s="10"/>
    </row>
    <row r="454" spans="6:7">
      <c r="F454" s="123"/>
      <c r="G454" s="10"/>
    </row>
    <row r="455" spans="6:7">
      <c r="F455" s="123"/>
      <c r="G455" s="10"/>
    </row>
    <row r="456" spans="6:7">
      <c r="F456" s="123"/>
      <c r="G456" s="10"/>
    </row>
    <row r="457" spans="6:7">
      <c r="F457" s="123"/>
      <c r="G457" s="10"/>
    </row>
    <row r="458" spans="6:7">
      <c r="F458" s="123"/>
      <c r="G458" s="10"/>
    </row>
    <row r="459" spans="6:7">
      <c r="F459" s="123"/>
      <c r="G459" s="10"/>
    </row>
    <row r="460" spans="6:7">
      <c r="F460" s="123"/>
      <c r="G460" s="10"/>
    </row>
    <row r="461" spans="6:7">
      <c r="F461" s="123"/>
      <c r="G461" s="10"/>
    </row>
    <row r="462" spans="6:7">
      <c r="F462" s="123"/>
      <c r="G462" s="10"/>
    </row>
    <row r="463" spans="6:7">
      <c r="F463" s="123"/>
      <c r="G463" s="10"/>
    </row>
    <row r="464" spans="6:7">
      <c r="F464" s="123"/>
      <c r="G464" s="10"/>
    </row>
    <row r="465" spans="6:7">
      <c r="F465" s="123"/>
      <c r="G465" s="10"/>
    </row>
    <row r="466" spans="6:7">
      <c r="F466" s="123"/>
      <c r="G466" s="10"/>
    </row>
    <row r="467" spans="6:7">
      <c r="F467" s="123"/>
      <c r="G467" s="10"/>
    </row>
    <row r="468" spans="6:7">
      <c r="F468" s="123"/>
      <c r="G468" s="10"/>
    </row>
    <row r="469" spans="6:7">
      <c r="F469" s="123"/>
      <c r="G469" s="10"/>
    </row>
    <row r="470" spans="6:7">
      <c r="F470" s="123"/>
      <c r="G470" s="10"/>
    </row>
    <row r="471" spans="6:7">
      <c r="F471" s="123"/>
      <c r="G471" s="10"/>
    </row>
    <row r="472" spans="6:7">
      <c r="F472" s="123"/>
      <c r="G472" s="10"/>
    </row>
    <row r="473" spans="6:7">
      <c r="F473" s="123"/>
      <c r="G473" s="10"/>
    </row>
    <row r="474" spans="6:7">
      <c r="F474" s="123"/>
      <c r="G474" s="10"/>
    </row>
    <row r="475" spans="6:7">
      <c r="F475" s="123"/>
      <c r="G475" s="10"/>
    </row>
    <row r="476" spans="6:7">
      <c r="F476" s="123"/>
      <c r="G476" s="10"/>
    </row>
    <row r="477" spans="6:7">
      <c r="F477" s="123"/>
      <c r="G477" s="10"/>
    </row>
    <row r="478" spans="6:7">
      <c r="F478" s="123"/>
      <c r="G478" s="10"/>
    </row>
    <row r="479" spans="6:7">
      <c r="F479" s="123"/>
      <c r="G479" s="10"/>
    </row>
    <row r="480" spans="6:7">
      <c r="F480" s="123"/>
      <c r="G480" s="10"/>
    </row>
    <row r="481" spans="6:7">
      <c r="F481" s="123"/>
      <c r="G481" s="10"/>
    </row>
    <row r="482" spans="6:7">
      <c r="F482" s="123"/>
      <c r="G482" s="10"/>
    </row>
    <row r="483" spans="6:7">
      <c r="F483" s="123"/>
      <c r="G483" s="10"/>
    </row>
    <row r="484" spans="6:7">
      <c r="F484" s="123"/>
      <c r="G484" s="10"/>
    </row>
    <row r="485" spans="6:7">
      <c r="F485" s="123"/>
      <c r="G485" s="10"/>
    </row>
    <row r="486" spans="6:7">
      <c r="F486" s="123"/>
      <c r="G486" s="10"/>
    </row>
    <row r="487" spans="6:7">
      <c r="F487" s="123"/>
      <c r="G487" s="10"/>
    </row>
    <row r="488" spans="6:7">
      <c r="F488" s="123"/>
      <c r="G488" s="10"/>
    </row>
    <row r="489" spans="6:7">
      <c r="F489" s="123"/>
      <c r="G489" s="10"/>
    </row>
    <row r="490" spans="6:7">
      <c r="F490" s="123"/>
      <c r="G490" s="10"/>
    </row>
    <row r="491" spans="6:7">
      <c r="F491" s="123"/>
      <c r="G491" s="10"/>
    </row>
    <row r="492" spans="6:7">
      <c r="F492" s="123"/>
      <c r="G492" s="10"/>
    </row>
    <row r="493" spans="6:7">
      <c r="F493" s="123"/>
      <c r="G493" s="10"/>
    </row>
    <row r="494" spans="6:7">
      <c r="F494" s="123"/>
      <c r="G494" s="10"/>
    </row>
    <row r="495" spans="6:7">
      <c r="F495" s="123"/>
      <c r="G495" s="10"/>
    </row>
    <row r="496" spans="6:7">
      <c r="F496" s="123"/>
      <c r="G496" s="10"/>
    </row>
    <row r="497" spans="6:7">
      <c r="F497" s="123"/>
      <c r="G497" s="10"/>
    </row>
    <row r="498" spans="6:7">
      <c r="F498" s="123"/>
      <c r="G498" s="10"/>
    </row>
    <row r="499" spans="6:7">
      <c r="F499" s="123"/>
      <c r="G499" s="10"/>
    </row>
    <row r="500" spans="6:7">
      <c r="F500" s="123"/>
      <c r="G500" s="10"/>
    </row>
    <row r="501" spans="6:7">
      <c r="F501" s="123"/>
      <c r="G501" s="10"/>
    </row>
    <row r="502" spans="6:7">
      <c r="F502" s="123"/>
      <c r="G502" s="10"/>
    </row>
    <row r="503" spans="6:7">
      <c r="F503" s="123"/>
      <c r="G503" s="10"/>
    </row>
    <row r="504" spans="6:7">
      <c r="F504" s="123"/>
      <c r="G504" s="10"/>
    </row>
    <row r="505" spans="6:7">
      <c r="F505" s="123"/>
      <c r="G505" s="10"/>
    </row>
    <row r="506" spans="6:7">
      <c r="F506" s="123"/>
      <c r="G506" s="10"/>
    </row>
    <row r="507" spans="6:7">
      <c r="F507" s="123"/>
      <c r="G507" s="10"/>
    </row>
    <row r="508" spans="6:7">
      <c r="F508" s="123"/>
      <c r="G508" s="10"/>
    </row>
    <row r="509" spans="6:7">
      <c r="F509" s="123"/>
      <c r="G509" s="10"/>
    </row>
    <row r="510" spans="6:7">
      <c r="F510" s="123"/>
      <c r="G510" s="10"/>
    </row>
    <row r="511" spans="6:7">
      <c r="F511" s="123"/>
      <c r="G511" s="10"/>
    </row>
    <row r="512" spans="6:7">
      <c r="F512" s="123"/>
      <c r="G512" s="10"/>
    </row>
    <row r="513" spans="6:7">
      <c r="F513" s="123"/>
      <c r="G513" s="10"/>
    </row>
    <row r="514" spans="6:7">
      <c r="F514" s="123"/>
      <c r="G514" s="10"/>
    </row>
    <row r="515" spans="6:7">
      <c r="F515" s="123"/>
      <c r="G515" s="10"/>
    </row>
    <row r="516" spans="6:7">
      <c r="F516" s="123"/>
      <c r="G516" s="10"/>
    </row>
    <row r="517" spans="6:7">
      <c r="F517" s="123"/>
      <c r="G517" s="10"/>
    </row>
    <row r="518" spans="6:7">
      <c r="F518" s="123"/>
      <c r="G518" s="10"/>
    </row>
    <row r="519" spans="6:7">
      <c r="F519" s="123"/>
      <c r="G519" s="10"/>
    </row>
    <row r="520" spans="6:7">
      <c r="F520" s="123"/>
      <c r="G520" s="10"/>
    </row>
    <row r="521" spans="6:7">
      <c r="F521" s="123"/>
      <c r="G521" s="10"/>
    </row>
    <row r="522" spans="6:7">
      <c r="F522" s="123"/>
      <c r="G522" s="10"/>
    </row>
    <row r="523" spans="6:7">
      <c r="F523" s="123"/>
      <c r="G523" s="10"/>
    </row>
    <row r="524" spans="6:7">
      <c r="F524" s="123"/>
      <c r="G524" s="10"/>
    </row>
    <row r="525" spans="6:7">
      <c r="F525" s="123"/>
      <c r="G525" s="10"/>
    </row>
    <row r="526" spans="6:7">
      <c r="F526" s="123"/>
      <c r="G526" s="10"/>
    </row>
    <row r="527" spans="6:7">
      <c r="F527" s="123"/>
      <c r="G527" s="10"/>
    </row>
    <row r="528" spans="6:7">
      <c r="F528" s="123"/>
      <c r="G528" s="10"/>
    </row>
    <row r="529" spans="6:7">
      <c r="F529" s="123"/>
      <c r="G529" s="10"/>
    </row>
    <row r="530" spans="6:7">
      <c r="F530" s="123"/>
      <c r="G530" s="10"/>
    </row>
    <row r="531" spans="6:7">
      <c r="F531" s="123"/>
      <c r="G531" s="10"/>
    </row>
    <row r="532" spans="6:7">
      <c r="F532" s="123"/>
      <c r="G532" s="10"/>
    </row>
    <row r="533" spans="6:7">
      <c r="F533" s="123"/>
      <c r="G533" s="10"/>
    </row>
    <row r="534" spans="6:7">
      <c r="F534" s="123"/>
      <c r="G534" s="10"/>
    </row>
    <row r="535" spans="6:7">
      <c r="F535" s="123"/>
      <c r="G535" s="10"/>
    </row>
    <row r="536" spans="6:7">
      <c r="F536" s="123"/>
      <c r="G536" s="10"/>
    </row>
    <row r="537" spans="6:7">
      <c r="F537" s="123"/>
      <c r="G537" s="10"/>
    </row>
    <row r="538" spans="6:7">
      <c r="F538" s="123"/>
      <c r="G538" s="10"/>
    </row>
    <row r="539" spans="6:7">
      <c r="F539" s="123"/>
      <c r="G539" s="10"/>
    </row>
    <row r="540" spans="6:7">
      <c r="F540" s="123"/>
      <c r="G540" s="10"/>
    </row>
    <row r="541" spans="6:7">
      <c r="F541" s="123"/>
      <c r="G541" s="10"/>
    </row>
    <row r="542" spans="6:7">
      <c r="F542" s="123"/>
      <c r="G542" s="10"/>
    </row>
    <row r="543" spans="6:7">
      <c r="F543" s="123"/>
      <c r="G543" s="10"/>
    </row>
    <row r="544" spans="6:7">
      <c r="F544" s="123"/>
      <c r="G544" s="10"/>
    </row>
    <row r="545" spans="6:7">
      <c r="F545" s="123"/>
      <c r="G545" s="10"/>
    </row>
    <row r="546" spans="6:7">
      <c r="F546" s="123"/>
      <c r="G546" s="10"/>
    </row>
    <row r="547" spans="6:7">
      <c r="F547" s="123"/>
      <c r="G547" s="10"/>
    </row>
    <row r="548" spans="6:7">
      <c r="F548" s="123"/>
      <c r="G548" s="10"/>
    </row>
    <row r="549" spans="6:7">
      <c r="F549" s="123"/>
      <c r="G549" s="10"/>
    </row>
    <row r="550" spans="6:7">
      <c r="F550" s="123"/>
      <c r="G550" s="10"/>
    </row>
    <row r="551" spans="6:7">
      <c r="F551" s="123"/>
      <c r="G551" s="10"/>
    </row>
    <row r="552" spans="6:7">
      <c r="F552" s="123"/>
      <c r="G552" s="10"/>
    </row>
    <row r="553" spans="6:7">
      <c r="F553" s="123"/>
      <c r="G553" s="10"/>
    </row>
    <row r="554" spans="6:7">
      <c r="F554" s="123"/>
      <c r="G554" s="10"/>
    </row>
    <row r="555" spans="6:7">
      <c r="F555" s="123"/>
      <c r="G555" s="10"/>
    </row>
    <row r="556" spans="6:7">
      <c r="F556" s="123"/>
      <c r="G556" s="10"/>
    </row>
    <row r="557" spans="6:7">
      <c r="F557" s="123"/>
      <c r="G557" s="10"/>
    </row>
    <row r="558" spans="6:7">
      <c r="F558" s="123"/>
      <c r="G558" s="10"/>
    </row>
    <row r="559" spans="6:7">
      <c r="F559" s="123"/>
      <c r="G559" s="10"/>
    </row>
    <row r="560" spans="6:7">
      <c r="F560" s="123"/>
      <c r="G560" s="10"/>
    </row>
    <row r="561" spans="6:7">
      <c r="F561" s="123"/>
      <c r="G561" s="10"/>
    </row>
    <row r="562" spans="6:7">
      <c r="F562" s="123"/>
      <c r="G562" s="10"/>
    </row>
    <row r="563" spans="6:7">
      <c r="F563" s="123"/>
      <c r="G563" s="10"/>
    </row>
    <row r="564" spans="6:7">
      <c r="F564" s="123"/>
      <c r="G564" s="10"/>
    </row>
    <row r="565" spans="6:7">
      <c r="F565" s="123"/>
      <c r="G565" s="10"/>
    </row>
    <row r="566" spans="6:7">
      <c r="F566" s="123"/>
      <c r="G566" s="10"/>
    </row>
    <row r="567" spans="6:7">
      <c r="F567" s="123"/>
      <c r="G567" s="10"/>
    </row>
    <row r="568" spans="6:7">
      <c r="F568" s="123"/>
      <c r="G568" s="10"/>
    </row>
    <row r="569" spans="6:7">
      <c r="F569" s="123"/>
      <c r="G569" s="10"/>
    </row>
    <row r="570" spans="6:7">
      <c r="F570" s="123"/>
      <c r="G570" s="10"/>
    </row>
    <row r="571" spans="6:7">
      <c r="F571" s="123"/>
      <c r="G571" s="10"/>
    </row>
    <row r="572" spans="6:7">
      <c r="F572" s="123"/>
      <c r="G572" s="10"/>
    </row>
    <row r="573" spans="6:7">
      <c r="F573" s="123"/>
      <c r="G573" s="10"/>
    </row>
    <row r="574" spans="6:7">
      <c r="F574" s="123"/>
      <c r="G574" s="10"/>
    </row>
    <row r="575" spans="6:7">
      <c r="F575" s="123"/>
      <c r="G575" s="10"/>
    </row>
    <row r="576" spans="6:7">
      <c r="F576" s="123"/>
      <c r="G576" s="10"/>
    </row>
    <row r="577" spans="6:7">
      <c r="F577" s="123"/>
      <c r="G577" s="10"/>
    </row>
    <row r="578" spans="6:7">
      <c r="F578" s="123"/>
      <c r="G578" s="10"/>
    </row>
    <row r="579" spans="6:7">
      <c r="F579" s="123"/>
      <c r="G579" s="10"/>
    </row>
    <row r="580" spans="6:7">
      <c r="F580" s="123"/>
      <c r="G580" s="10"/>
    </row>
    <row r="581" spans="6:7">
      <c r="F581" s="123"/>
      <c r="G581" s="10"/>
    </row>
    <row r="582" spans="6:7">
      <c r="F582" s="123"/>
      <c r="G582" s="10"/>
    </row>
    <row r="583" spans="6:7">
      <c r="F583" s="123"/>
      <c r="G583" s="10"/>
    </row>
    <row r="584" spans="6:7">
      <c r="F584" s="123"/>
      <c r="G584" s="10"/>
    </row>
    <row r="585" spans="6:7">
      <c r="F585" s="123"/>
      <c r="G585" s="10"/>
    </row>
    <row r="586" spans="6:7">
      <c r="F586" s="123"/>
      <c r="G586" s="10"/>
    </row>
    <row r="587" spans="6:7">
      <c r="F587" s="123"/>
      <c r="G587" s="10"/>
    </row>
    <row r="588" spans="6:7">
      <c r="F588" s="123"/>
      <c r="G588" s="10"/>
    </row>
    <row r="589" spans="6:7">
      <c r="F589" s="123"/>
      <c r="G589" s="10"/>
    </row>
    <row r="590" spans="6:7">
      <c r="F590" s="123"/>
      <c r="G590" s="10"/>
    </row>
    <row r="591" spans="6:7">
      <c r="F591" s="123"/>
      <c r="G591" s="10"/>
    </row>
    <row r="592" spans="6:7">
      <c r="F592" s="123"/>
      <c r="G592" s="10"/>
    </row>
    <row r="593" spans="6:7">
      <c r="F593" s="123"/>
      <c r="G593" s="10"/>
    </row>
    <row r="594" spans="6:7">
      <c r="F594" s="123"/>
      <c r="G594" s="10"/>
    </row>
    <row r="595" spans="6:7">
      <c r="F595" s="123"/>
      <c r="G595" s="10"/>
    </row>
    <row r="596" spans="6:7">
      <c r="F596" s="123"/>
      <c r="G596" s="10"/>
    </row>
    <row r="597" spans="6:7">
      <c r="F597" s="123"/>
      <c r="G597" s="10"/>
    </row>
    <row r="598" spans="6:7">
      <c r="F598" s="123"/>
      <c r="G598" s="10"/>
    </row>
    <row r="599" spans="6:7">
      <c r="F599" s="123"/>
      <c r="G599" s="10"/>
    </row>
    <row r="600" spans="6:7">
      <c r="F600" s="123"/>
      <c r="G600" s="10"/>
    </row>
    <row r="601" spans="6:7">
      <c r="F601" s="123"/>
      <c r="G601" s="10"/>
    </row>
    <row r="602" spans="6:7">
      <c r="F602" s="123"/>
      <c r="G602" s="10"/>
    </row>
    <row r="603" spans="6:7">
      <c r="F603" s="123"/>
      <c r="G603" s="10"/>
    </row>
    <row r="604" spans="6:7">
      <c r="F604" s="123"/>
      <c r="G604" s="10"/>
    </row>
    <row r="605" spans="6:7">
      <c r="F605" s="123"/>
      <c r="G605" s="10"/>
    </row>
    <row r="606" spans="6:7">
      <c r="F606" s="123"/>
      <c r="G606" s="10"/>
    </row>
    <row r="607" spans="6:7">
      <c r="F607" s="123"/>
      <c r="G607" s="10"/>
    </row>
    <row r="608" spans="6:7">
      <c r="F608" s="123"/>
      <c r="G608" s="10"/>
    </row>
    <row r="609" spans="6:7">
      <c r="F609" s="123"/>
      <c r="G609" s="10"/>
    </row>
    <row r="610" spans="6:7">
      <c r="F610" s="123"/>
      <c r="G610" s="10"/>
    </row>
    <row r="611" spans="6:7">
      <c r="F611" s="123"/>
      <c r="G611" s="10"/>
    </row>
    <row r="612" spans="6:7">
      <c r="F612" s="123"/>
      <c r="G612" s="10"/>
    </row>
    <row r="613" spans="6:7">
      <c r="F613" s="123"/>
      <c r="G613" s="10"/>
    </row>
    <row r="614" spans="6:7">
      <c r="F614" s="123"/>
      <c r="G614" s="10"/>
    </row>
    <row r="615" spans="6:7">
      <c r="F615" s="123"/>
      <c r="G615" s="10"/>
    </row>
    <row r="616" spans="6:7">
      <c r="F616" s="123"/>
      <c r="G616" s="10"/>
    </row>
    <row r="617" spans="6:7">
      <c r="F617" s="123"/>
      <c r="G617" s="10"/>
    </row>
    <row r="618" spans="6:7">
      <c r="F618" s="123"/>
      <c r="G618" s="10"/>
    </row>
    <row r="619" spans="6:7">
      <c r="F619" s="123"/>
      <c r="G619" s="10"/>
    </row>
    <row r="620" spans="6:7">
      <c r="F620" s="123"/>
      <c r="G620" s="10"/>
    </row>
    <row r="621" spans="6:7">
      <c r="F621" s="123"/>
      <c r="G621" s="10"/>
    </row>
    <row r="622" spans="6:7">
      <c r="F622" s="123"/>
      <c r="G622" s="10"/>
    </row>
    <row r="623" spans="6:7">
      <c r="F623" s="123"/>
      <c r="G623" s="10"/>
    </row>
    <row r="624" spans="6:7">
      <c r="F624" s="123"/>
      <c r="G624" s="10"/>
    </row>
    <row r="625" spans="6:7">
      <c r="F625" s="123"/>
      <c r="G625" s="10"/>
    </row>
    <row r="626" spans="6:7">
      <c r="F626" s="123"/>
      <c r="G626" s="10"/>
    </row>
    <row r="627" spans="6:7">
      <c r="F627" s="123"/>
      <c r="G627" s="10"/>
    </row>
    <row r="628" spans="6:7">
      <c r="F628" s="123"/>
      <c r="G628" s="10"/>
    </row>
    <row r="629" spans="6:7">
      <c r="F629" s="123"/>
      <c r="G629" s="10"/>
    </row>
    <row r="630" spans="6:7">
      <c r="F630" s="123"/>
      <c r="G630" s="10"/>
    </row>
    <row r="631" spans="6:7">
      <c r="F631" s="123"/>
      <c r="G631" s="10"/>
    </row>
    <row r="632" spans="6:7">
      <c r="F632" s="123"/>
      <c r="G632" s="10"/>
    </row>
    <row r="633" spans="6:7">
      <c r="F633" s="123"/>
      <c r="G633" s="10"/>
    </row>
    <row r="634" spans="6:7">
      <c r="F634" s="123"/>
      <c r="G634" s="10"/>
    </row>
    <row r="635" spans="6:7">
      <c r="F635" s="123"/>
      <c r="G635" s="10"/>
    </row>
    <row r="636" spans="6:7">
      <c r="F636" s="123"/>
      <c r="G636" s="10"/>
    </row>
    <row r="637" spans="6:7">
      <c r="F637" s="123"/>
      <c r="G637" s="10"/>
    </row>
    <row r="638" spans="6:7">
      <c r="F638" s="123"/>
      <c r="G638" s="10"/>
    </row>
    <row r="639" spans="6:7">
      <c r="F639" s="123"/>
      <c r="G639" s="10"/>
    </row>
    <row r="640" spans="6:7">
      <c r="F640" s="123"/>
      <c r="G640" s="10"/>
    </row>
    <row r="641" spans="6:7">
      <c r="F641" s="123"/>
      <c r="G641" s="10"/>
    </row>
    <row r="642" spans="6:7">
      <c r="F642" s="123"/>
      <c r="G642" s="10"/>
    </row>
    <row r="643" spans="6:7">
      <c r="F643" s="123"/>
      <c r="G643" s="10"/>
    </row>
    <row r="644" spans="6:7">
      <c r="F644" s="123"/>
      <c r="G644" s="10"/>
    </row>
    <row r="645" spans="6:7">
      <c r="F645" s="123"/>
      <c r="G645" s="10"/>
    </row>
    <row r="646" spans="6:7">
      <c r="F646" s="123"/>
      <c r="G646" s="10"/>
    </row>
    <row r="647" spans="6:7">
      <c r="F647" s="123"/>
      <c r="G647" s="10"/>
    </row>
    <row r="648" spans="6:7">
      <c r="F648" s="123"/>
      <c r="G648" s="10"/>
    </row>
    <row r="649" spans="6:7">
      <c r="F649" s="123"/>
      <c r="G649" s="10"/>
    </row>
    <row r="650" spans="6:7">
      <c r="F650" s="123"/>
      <c r="G650" s="10"/>
    </row>
    <row r="651" spans="6:7">
      <c r="F651" s="123"/>
      <c r="G651" s="10"/>
    </row>
    <row r="652" spans="6:7">
      <c r="F652" s="123"/>
      <c r="G652" s="10"/>
    </row>
    <row r="653" spans="6:7">
      <c r="F653" s="123"/>
      <c r="G653" s="10"/>
    </row>
    <row r="654" spans="6:7">
      <c r="F654" s="123"/>
      <c r="G654" s="10"/>
    </row>
    <row r="655" spans="6:7">
      <c r="F655" s="123"/>
      <c r="G655" s="10"/>
    </row>
    <row r="656" spans="6:7">
      <c r="F656" s="123"/>
      <c r="G656" s="10"/>
    </row>
    <row r="657" spans="6:7">
      <c r="F657" s="123"/>
      <c r="G657" s="10"/>
    </row>
    <row r="658" spans="6:7">
      <c r="F658" s="123"/>
      <c r="G658" s="10"/>
    </row>
    <row r="659" spans="6:7">
      <c r="F659" s="123"/>
      <c r="G659" s="10"/>
    </row>
    <row r="660" spans="6:7">
      <c r="F660" s="123"/>
      <c r="G660" s="10"/>
    </row>
    <row r="661" spans="6:7">
      <c r="F661" s="123"/>
      <c r="G661" s="10"/>
    </row>
    <row r="662" spans="6:7">
      <c r="F662" s="123"/>
      <c r="G662" s="10"/>
    </row>
    <row r="663" spans="6:7">
      <c r="F663" s="123"/>
      <c r="G663" s="10"/>
    </row>
    <row r="664" spans="6:7">
      <c r="F664" s="123"/>
      <c r="G664" s="10"/>
    </row>
    <row r="665" spans="6:7">
      <c r="F665" s="123"/>
      <c r="G665" s="10"/>
    </row>
    <row r="666" spans="6:7">
      <c r="F666" s="123"/>
      <c r="G666" s="10"/>
    </row>
    <row r="667" spans="6:7">
      <c r="F667" s="123"/>
      <c r="G667" s="10"/>
    </row>
    <row r="668" spans="6:7">
      <c r="F668" s="123"/>
      <c r="G668" s="10"/>
    </row>
    <row r="669" spans="6:7">
      <c r="F669" s="123"/>
      <c r="G669" s="10"/>
    </row>
    <row r="670" spans="6:7">
      <c r="F670" s="123"/>
      <c r="G670" s="10"/>
    </row>
    <row r="671" spans="6:7">
      <c r="F671" s="123"/>
      <c r="G671" s="10"/>
    </row>
    <row r="672" spans="6:7">
      <c r="F672" s="123"/>
      <c r="G672" s="10"/>
    </row>
    <row r="673" spans="6:7">
      <c r="F673" s="123"/>
      <c r="G673" s="10"/>
    </row>
    <row r="674" spans="6:7">
      <c r="F674" s="123"/>
      <c r="G674" s="10"/>
    </row>
    <row r="675" spans="6:7">
      <c r="F675" s="123"/>
      <c r="G675" s="10"/>
    </row>
    <row r="676" spans="6:7">
      <c r="F676" s="123"/>
      <c r="G676" s="10"/>
    </row>
    <row r="677" spans="6:7">
      <c r="F677" s="123"/>
      <c r="G677" s="10"/>
    </row>
    <row r="678" spans="6:7">
      <c r="F678" s="123"/>
      <c r="G678" s="10"/>
    </row>
    <row r="679" spans="6:7">
      <c r="F679" s="123"/>
      <c r="G679" s="10"/>
    </row>
    <row r="680" spans="6:7">
      <c r="F680" s="123"/>
      <c r="G680" s="10"/>
    </row>
    <row r="681" spans="6:7">
      <c r="F681" s="123"/>
      <c r="G681" s="10"/>
    </row>
    <row r="682" spans="6:7">
      <c r="F682" s="123"/>
      <c r="G682" s="10"/>
    </row>
    <row r="683" spans="6:7">
      <c r="F683" s="123"/>
      <c r="G683" s="10"/>
    </row>
    <row r="684" spans="6:7">
      <c r="F684" s="123"/>
      <c r="G684" s="10"/>
    </row>
    <row r="685" spans="6:7">
      <c r="F685" s="123"/>
      <c r="G685" s="10"/>
    </row>
    <row r="686" spans="6:7">
      <c r="F686" s="123"/>
      <c r="G686" s="10"/>
    </row>
    <row r="687" spans="6:7">
      <c r="F687" s="123"/>
      <c r="G687" s="10"/>
    </row>
    <row r="688" spans="6:7">
      <c r="F688" s="123"/>
      <c r="G688" s="10"/>
    </row>
    <row r="689" spans="6:7">
      <c r="F689" s="123"/>
      <c r="G689" s="10"/>
    </row>
    <row r="690" spans="6:7">
      <c r="F690" s="123"/>
      <c r="G690" s="10"/>
    </row>
    <row r="691" spans="6:7">
      <c r="F691" s="123"/>
      <c r="G691" s="10"/>
    </row>
    <row r="692" spans="6:7">
      <c r="F692" s="123"/>
      <c r="G692" s="10"/>
    </row>
    <row r="693" spans="6:7">
      <c r="F693" s="123"/>
      <c r="G693" s="10"/>
    </row>
    <row r="694" spans="6:7">
      <c r="F694" s="123"/>
      <c r="G694" s="10"/>
    </row>
    <row r="695" spans="6:7">
      <c r="F695" s="123"/>
      <c r="G695" s="10"/>
    </row>
    <row r="696" spans="6:7">
      <c r="F696" s="123"/>
      <c r="G696" s="10"/>
    </row>
    <row r="697" spans="6:7">
      <c r="F697" s="123"/>
      <c r="G697" s="10"/>
    </row>
    <row r="698" spans="6:7">
      <c r="F698" s="123"/>
      <c r="G698" s="10"/>
    </row>
    <row r="699" spans="6:7">
      <c r="F699" s="123"/>
      <c r="G699" s="10"/>
    </row>
    <row r="700" spans="6:7">
      <c r="F700" s="123"/>
      <c r="G700" s="10"/>
    </row>
    <row r="701" spans="6:7">
      <c r="F701" s="123"/>
      <c r="G701" s="10"/>
    </row>
    <row r="702" spans="6:7">
      <c r="F702" s="123"/>
      <c r="G702" s="10"/>
    </row>
    <row r="703" spans="6:7">
      <c r="F703" s="123"/>
      <c r="G703" s="10"/>
    </row>
    <row r="704" spans="6:7">
      <c r="F704" s="123"/>
      <c r="G704" s="10"/>
    </row>
    <row r="705" spans="6:7">
      <c r="F705" s="123"/>
      <c r="G705" s="10"/>
    </row>
    <row r="706" spans="6:7">
      <c r="F706" s="123"/>
      <c r="G706" s="10"/>
    </row>
    <row r="707" spans="6:7">
      <c r="F707" s="123"/>
      <c r="G707" s="10"/>
    </row>
    <row r="708" spans="6:7">
      <c r="F708" s="123"/>
      <c r="G708" s="10"/>
    </row>
    <row r="709" spans="6:7">
      <c r="F709" s="123"/>
      <c r="G709" s="10"/>
    </row>
    <row r="710" spans="6:7">
      <c r="F710" s="123"/>
      <c r="G710" s="10"/>
    </row>
    <row r="711" spans="6:7">
      <c r="F711" s="123"/>
      <c r="G711" s="10"/>
    </row>
    <row r="712" spans="6:7">
      <c r="F712" s="123"/>
      <c r="G712" s="10"/>
    </row>
    <row r="713" spans="6:7">
      <c r="F713" s="123"/>
      <c r="G713" s="10"/>
    </row>
    <row r="714" spans="6:7">
      <c r="F714" s="123"/>
      <c r="G714" s="10"/>
    </row>
    <row r="715" spans="6:7">
      <c r="F715" s="123"/>
      <c r="G715" s="10"/>
    </row>
    <row r="716" spans="6:7">
      <c r="F716" s="123"/>
      <c r="G716" s="10"/>
    </row>
    <row r="717" spans="6:7">
      <c r="F717" s="123"/>
      <c r="G717" s="10"/>
    </row>
    <row r="718" spans="6:7">
      <c r="F718" s="123"/>
      <c r="G718" s="10"/>
    </row>
    <row r="719" spans="6:7">
      <c r="F719" s="123"/>
      <c r="G719" s="10"/>
    </row>
    <row r="720" spans="6:7">
      <c r="F720" s="123"/>
      <c r="G720" s="10"/>
    </row>
    <row r="721" spans="6:7">
      <c r="F721" s="123"/>
      <c r="G721" s="10"/>
    </row>
    <row r="722" spans="6:7">
      <c r="F722" s="123"/>
      <c r="G722" s="10"/>
    </row>
    <row r="723" spans="6:7">
      <c r="F723" s="123"/>
      <c r="G723" s="10"/>
    </row>
    <row r="724" spans="6:7">
      <c r="F724" s="123"/>
      <c r="G724" s="10"/>
    </row>
    <row r="725" spans="6:7">
      <c r="F725" s="123"/>
      <c r="G725" s="10"/>
    </row>
    <row r="726" spans="6:7">
      <c r="F726" s="123"/>
      <c r="G726" s="10"/>
    </row>
    <row r="727" spans="6:7">
      <c r="F727" s="123"/>
      <c r="G727" s="10"/>
    </row>
    <row r="728" spans="6:7">
      <c r="F728" s="123"/>
      <c r="G728" s="10"/>
    </row>
    <row r="729" spans="6:7">
      <c r="F729" s="123"/>
      <c r="G729" s="10"/>
    </row>
    <row r="730" spans="6:7">
      <c r="F730" s="123"/>
      <c r="G730" s="10"/>
    </row>
    <row r="731" spans="6:7">
      <c r="F731" s="123"/>
      <c r="G731" s="10"/>
    </row>
    <row r="732" spans="6:7">
      <c r="F732" s="123"/>
      <c r="G732" s="10"/>
    </row>
    <row r="733" spans="6:7">
      <c r="F733" s="123"/>
      <c r="G733" s="10"/>
    </row>
    <row r="734" spans="6:7">
      <c r="F734" s="123"/>
      <c r="G734" s="10"/>
    </row>
    <row r="735" spans="6:7">
      <c r="F735" s="123"/>
      <c r="G735" s="10"/>
    </row>
    <row r="736" spans="6:7">
      <c r="F736" s="123"/>
      <c r="G736" s="10"/>
    </row>
    <row r="737" spans="6:7">
      <c r="F737" s="123"/>
      <c r="G737" s="10"/>
    </row>
    <row r="738" spans="6:7">
      <c r="F738" s="123"/>
      <c r="G738" s="10"/>
    </row>
    <row r="739" spans="6:7">
      <c r="F739" s="123"/>
      <c r="G739" s="10"/>
    </row>
    <row r="740" spans="6:7">
      <c r="F740" s="123"/>
      <c r="G740" s="10"/>
    </row>
    <row r="741" spans="6:7">
      <c r="F741" s="123"/>
      <c r="G741" s="10"/>
    </row>
    <row r="742" spans="6:7">
      <c r="F742" s="123"/>
      <c r="G742" s="10"/>
    </row>
    <row r="743" spans="6:7">
      <c r="F743" s="123"/>
      <c r="G743" s="10"/>
    </row>
    <row r="744" spans="6:7">
      <c r="F744" s="123"/>
      <c r="G744" s="10"/>
    </row>
    <row r="745" spans="6:7">
      <c r="F745" s="123"/>
      <c r="G745" s="10"/>
    </row>
    <row r="746" spans="6:7">
      <c r="F746" s="123"/>
      <c r="G746" s="10"/>
    </row>
    <row r="747" spans="6:7">
      <c r="F747" s="123"/>
      <c r="G747" s="10"/>
    </row>
    <row r="748" spans="6:7">
      <c r="F748" s="123"/>
      <c r="G748" s="10"/>
    </row>
    <row r="749" spans="6:7">
      <c r="F749" s="123"/>
      <c r="G749" s="10"/>
    </row>
    <row r="750" spans="6:7">
      <c r="F750" s="123"/>
      <c r="G750" s="10"/>
    </row>
    <row r="751" spans="6:7">
      <c r="F751" s="123"/>
      <c r="G751" s="10"/>
    </row>
    <row r="752" spans="6:7">
      <c r="F752" s="123"/>
      <c r="G752" s="10"/>
    </row>
    <row r="753" spans="6:7">
      <c r="F753" s="123"/>
      <c r="G753" s="10"/>
    </row>
    <row r="754" spans="6:7">
      <c r="F754" s="123"/>
      <c r="G754" s="10"/>
    </row>
    <row r="755" spans="6:7">
      <c r="F755" s="123"/>
      <c r="G755" s="10"/>
    </row>
    <row r="756" spans="6:7">
      <c r="F756" s="123"/>
      <c r="G756" s="10"/>
    </row>
    <row r="757" spans="6:7">
      <c r="F757" s="123"/>
      <c r="G757" s="10"/>
    </row>
    <row r="758" spans="6:7">
      <c r="F758" s="123"/>
      <c r="G758" s="10"/>
    </row>
    <row r="759" spans="6:7">
      <c r="F759" s="123"/>
      <c r="G759" s="10"/>
    </row>
    <row r="760" spans="6:7">
      <c r="F760" s="123"/>
      <c r="G760" s="10"/>
    </row>
    <row r="761" spans="6:7">
      <c r="F761" s="123"/>
      <c r="G761" s="10"/>
    </row>
    <row r="762" spans="6:7">
      <c r="F762" s="123"/>
      <c r="G762" s="10"/>
    </row>
    <row r="763" spans="6:7">
      <c r="F763" s="123"/>
      <c r="G763" s="10"/>
    </row>
    <row r="764" spans="6:7">
      <c r="F764" s="123"/>
      <c r="G764" s="10"/>
    </row>
    <row r="765" spans="6:7">
      <c r="F765" s="123"/>
      <c r="G765" s="10"/>
    </row>
    <row r="766" spans="6:7">
      <c r="F766" s="123"/>
      <c r="G766" s="10"/>
    </row>
    <row r="767" spans="6:7">
      <c r="F767" s="123"/>
      <c r="G767" s="10"/>
    </row>
    <row r="768" spans="6:7">
      <c r="F768" s="123"/>
      <c r="G768" s="10"/>
    </row>
    <row r="769" spans="6:7">
      <c r="F769" s="123"/>
      <c r="G769" s="10"/>
    </row>
    <row r="770" spans="6:7">
      <c r="F770" s="123"/>
      <c r="G770" s="10"/>
    </row>
    <row r="771" spans="6:7">
      <c r="F771" s="123"/>
      <c r="G771" s="10"/>
    </row>
    <row r="772" spans="6:7">
      <c r="F772" s="123"/>
      <c r="G772" s="10"/>
    </row>
    <row r="773" spans="6:7">
      <c r="F773" s="123"/>
      <c r="G773" s="10"/>
    </row>
    <row r="774" spans="6:7">
      <c r="F774" s="123"/>
      <c r="G774" s="10"/>
    </row>
    <row r="775" spans="6:7">
      <c r="F775" s="123"/>
      <c r="G775" s="10"/>
    </row>
    <row r="776" spans="6:7">
      <c r="F776" s="123"/>
      <c r="G776" s="10"/>
    </row>
    <row r="777" spans="6:7">
      <c r="F777" s="123"/>
      <c r="G777" s="10"/>
    </row>
    <row r="778" spans="6:7">
      <c r="F778" s="123"/>
      <c r="G778" s="10"/>
    </row>
    <row r="779" spans="6:7">
      <c r="F779" s="123"/>
      <c r="G779" s="10"/>
    </row>
    <row r="780" spans="6:7">
      <c r="F780" s="123"/>
      <c r="G780" s="10"/>
    </row>
    <row r="781" spans="6:7">
      <c r="F781" s="123"/>
      <c r="G781" s="10"/>
    </row>
    <row r="782" spans="6:7">
      <c r="F782" s="123"/>
      <c r="G782" s="10"/>
    </row>
    <row r="783" spans="6:7">
      <c r="F783" s="123"/>
      <c r="G783" s="10"/>
    </row>
    <row r="784" spans="6:7">
      <c r="F784" s="123"/>
      <c r="G784" s="10"/>
    </row>
    <row r="785" spans="6:7">
      <c r="F785" s="123"/>
      <c r="G785" s="10"/>
    </row>
    <row r="786" spans="6:7">
      <c r="F786" s="123"/>
      <c r="G786" s="10"/>
    </row>
    <row r="787" spans="6:7">
      <c r="F787" s="123"/>
      <c r="G787" s="10"/>
    </row>
    <row r="788" spans="6:7">
      <c r="F788" s="123"/>
      <c r="G788" s="10"/>
    </row>
    <row r="789" spans="6:7">
      <c r="F789" s="123"/>
      <c r="G789" s="10"/>
    </row>
    <row r="790" spans="6:7">
      <c r="F790" s="123"/>
      <c r="G790" s="10"/>
    </row>
    <row r="791" spans="6:7">
      <c r="F791" s="123"/>
      <c r="G791" s="10"/>
    </row>
    <row r="792" spans="6:7">
      <c r="F792" s="123"/>
      <c r="G792" s="10"/>
    </row>
    <row r="793" spans="6:7">
      <c r="F793" s="123"/>
      <c r="G793" s="10"/>
    </row>
    <row r="794" spans="6:7">
      <c r="F794" s="123"/>
      <c r="G794" s="10"/>
    </row>
    <row r="795" spans="6:7">
      <c r="F795" s="123"/>
      <c r="G795" s="10"/>
    </row>
    <row r="796" spans="6:7">
      <c r="F796" s="123"/>
      <c r="G796" s="10"/>
    </row>
    <row r="797" spans="6:7">
      <c r="F797" s="123"/>
      <c r="G797" s="10"/>
    </row>
    <row r="798" spans="6:7">
      <c r="F798" s="123"/>
      <c r="G798" s="10"/>
    </row>
    <row r="799" spans="6:7">
      <c r="F799" s="123"/>
      <c r="G799" s="10"/>
    </row>
    <row r="800" spans="6:7">
      <c r="F800" s="123"/>
      <c r="G800" s="10"/>
    </row>
    <row r="801" spans="6:7">
      <c r="F801" s="123"/>
      <c r="G801" s="10"/>
    </row>
    <row r="802" spans="6:7">
      <c r="F802" s="123"/>
      <c r="G802" s="10"/>
    </row>
    <row r="803" spans="6:7">
      <c r="F803" s="123"/>
      <c r="G803" s="10"/>
    </row>
    <row r="804" spans="6:7">
      <c r="F804" s="123"/>
      <c r="G804" s="10"/>
    </row>
    <row r="805" spans="6:7">
      <c r="F805" s="123"/>
      <c r="G805" s="10"/>
    </row>
    <row r="806" spans="6:7">
      <c r="F806" s="123"/>
      <c r="G806" s="10"/>
    </row>
    <row r="807" spans="6:7">
      <c r="F807" s="123"/>
      <c r="G807" s="10"/>
    </row>
    <row r="808" spans="6:7">
      <c r="F808" s="123"/>
      <c r="G808" s="10"/>
    </row>
    <row r="809" spans="6:7">
      <c r="F809" s="123"/>
      <c r="G809" s="10"/>
    </row>
    <row r="810" spans="6:7">
      <c r="F810" s="123"/>
      <c r="G810" s="10"/>
    </row>
    <row r="811" spans="6:7">
      <c r="F811" s="123"/>
      <c r="G811" s="10"/>
    </row>
    <row r="812" spans="6:7">
      <c r="F812" s="123"/>
      <c r="G812" s="10"/>
    </row>
    <row r="813" spans="6:7">
      <c r="F813" s="123"/>
      <c r="G813" s="10"/>
    </row>
    <row r="814" spans="6:7">
      <c r="F814" s="123"/>
      <c r="G814" s="10"/>
    </row>
    <row r="815" spans="6:7">
      <c r="F815" s="123"/>
      <c r="G815" s="10"/>
    </row>
    <row r="816" spans="6:7">
      <c r="F816" s="123"/>
      <c r="G816" s="10"/>
    </row>
    <row r="817" spans="6:7">
      <c r="F817" s="123"/>
      <c r="G817" s="10"/>
    </row>
    <row r="818" spans="6:7">
      <c r="F818" s="123"/>
      <c r="G818" s="10"/>
    </row>
    <row r="819" spans="6:7">
      <c r="F819" s="123"/>
      <c r="G819" s="10"/>
    </row>
    <row r="820" spans="6:7">
      <c r="F820" s="123"/>
      <c r="G820" s="10"/>
    </row>
    <row r="821" spans="6:7">
      <c r="F821" s="123"/>
      <c r="G821" s="10"/>
    </row>
    <row r="822" spans="6:7">
      <c r="F822" s="123"/>
      <c r="G822" s="10"/>
    </row>
    <row r="823" spans="6:7">
      <c r="F823" s="123"/>
      <c r="G823" s="10"/>
    </row>
    <row r="824" spans="6:7">
      <c r="F824" s="123"/>
      <c r="G824" s="10"/>
    </row>
    <row r="825" spans="6:7">
      <c r="F825" s="123"/>
      <c r="G825" s="10"/>
    </row>
    <row r="826" spans="6:7">
      <c r="F826" s="123"/>
      <c r="G826" s="10"/>
    </row>
    <row r="827" spans="6:7">
      <c r="F827" s="123"/>
      <c r="G827" s="10"/>
    </row>
    <row r="828" spans="6:7">
      <c r="F828" s="123"/>
      <c r="G828" s="10"/>
    </row>
    <row r="829" spans="6:7">
      <c r="F829" s="123"/>
      <c r="G829" s="10"/>
    </row>
    <row r="830" spans="6:7">
      <c r="F830" s="123"/>
      <c r="G830" s="10"/>
    </row>
    <row r="831" spans="6:7">
      <c r="F831" s="123"/>
      <c r="G831" s="10"/>
    </row>
    <row r="832" spans="6:7">
      <c r="F832" s="123"/>
      <c r="G832" s="10"/>
    </row>
    <row r="833" spans="6:7">
      <c r="F833" s="123"/>
      <c r="G833" s="10"/>
    </row>
    <row r="834" spans="6:7">
      <c r="F834" s="123"/>
      <c r="G834" s="10"/>
    </row>
    <row r="835" spans="6:7">
      <c r="F835" s="123"/>
      <c r="G835" s="10"/>
    </row>
    <row r="836" spans="6:7">
      <c r="F836" s="123"/>
      <c r="G836" s="10"/>
    </row>
    <row r="837" spans="6:7">
      <c r="F837" s="123"/>
      <c r="G837" s="10"/>
    </row>
    <row r="838" spans="6:7">
      <c r="F838" s="123"/>
      <c r="G838" s="10"/>
    </row>
    <row r="839" spans="6:7">
      <c r="F839" s="123"/>
      <c r="G839" s="10"/>
    </row>
    <row r="840" spans="6:7">
      <c r="F840" s="123"/>
      <c r="G840" s="10"/>
    </row>
    <row r="841" spans="6:7">
      <c r="F841" s="123"/>
      <c r="G841" s="10"/>
    </row>
    <row r="842" spans="6:7">
      <c r="F842" s="123"/>
      <c r="G842" s="10"/>
    </row>
    <row r="843" spans="6:7">
      <c r="F843" s="123"/>
      <c r="G843" s="10"/>
    </row>
    <row r="844" spans="6:7">
      <c r="F844" s="123"/>
      <c r="G844" s="10"/>
    </row>
    <row r="845" spans="6:7">
      <c r="F845" s="123"/>
      <c r="G845" s="10"/>
    </row>
    <row r="846" spans="6:7">
      <c r="F846" s="123"/>
      <c r="G846" s="10"/>
    </row>
    <row r="847" spans="6:7">
      <c r="F847" s="123"/>
      <c r="G847" s="10"/>
    </row>
    <row r="848" spans="6:7">
      <c r="F848" s="123"/>
      <c r="G848" s="10"/>
    </row>
    <row r="849" spans="6:7">
      <c r="F849" s="123"/>
      <c r="G849" s="10"/>
    </row>
    <row r="850" spans="6:7">
      <c r="F850" s="123"/>
      <c r="G850" s="10"/>
    </row>
    <row r="851" spans="6:7">
      <c r="F851" s="123"/>
      <c r="G851" s="10"/>
    </row>
    <row r="852" spans="6:7">
      <c r="F852" s="123"/>
      <c r="G852" s="10"/>
    </row>
    <row r="853" spans="6:7">
      <c r="F853" s="123"/>
      <c r="G853" s="10"/>
    </row>
    <row r="854" spans="6:7">
      <c r="F854" s="123"/>
      <c r="G854" s="10"/>
    </row>
    <row r="855" spans="6:7">
      <c r="F855" s="123"/>
      <c r="G855" s="10"/>
    </row>
    <row r="856" spans="6:7">
      <c r="F856" s="123"/>
      <c r="G856" s="10"/>
    </row>
    <row r="857" spans="6:7">
      <c r="F857" s="123"/>
      <c r="G857" s="10"/>
    </row>
    <row r="858" spans="6:7">
      <c r="F858" s="123"/>
      <c r="G858" s="10"/>
    </row>
    <row r="859" spans="6:7">
      <c r="F859" s="123"/>
      <c r="G859" s="10"/>
    </row>
    <row r="860" spans="6:7">
      <c r="F860" s="123"/>
      <c r="G860" s="10"/>
    </row>
    <row r="861" spans="6:7">
      <c r="F861" s="123"/>
      <c r="G861" s="10"/>
    </row>
    <row r="862" spans="6:7">
      <c r="F862" s="123"/>
      <c r="G862" s="10"/>
    </row>
    <row r="863" spans="6:7">
      <c r="F863" s="123"/>
      <c r="G863" s="10"/>
    </row>
    <row r="864" spans="6:7">
      <c r="F864" s="123"/>
      <c r="G864" s="10"/>
    </row>
    <row r="865" spans="6:7">
      <c r="F865" s="123"/>
      <c r="G865" s="10"/>
    </row>
    <row r="866" spans="6:7">
      <c r="F866" s="123"/>
      <c r="G866" s="10"/>
    </row>
    <row r="867" spans="6:7">
      <c r="F867" s="123"/>
      <c r="G867" s="10"/>
    </row>
    <row r="868" spans="6:7">
      <c r="F868" s="123"/>
      <c r="G868" s="10"/>
    </row>
    <row r="869" spans="6:7">
      <c r="F869" s="123"/>
      <c r="G869" s="10"/>
    </row>
    <row r="870" spans="6:7">
      <c r="F870" s="123"/>
      <c r="G870" s="10"/>
    </row>
    <row r="871" spans="6:7">
      <c r="F871" s="123"/>
      <c r="G871" s="10"/>
    </row>
    <row r="872" spans="6:7">
      <c r="F872" s="123"/>
      <c r="G872" s="10"/>
    </row>
    <row r="873" spans="6:7">
      <c r="F873" s="123"/>
      <c r="G873" s="10"/>
    </row>
    <row r="874" spans="6:7">
      <c r="F874" s="123"/>
      <c r="G874" s="10"/>
    </row>
    <row r="875" spans="6:7">
      <c r="F875" s="123"/>
      <c r="G875" s="10"/>
    </row>
    <row r="876" spans="6:7">
      <c r="F876" s="123"/>
      <c r="G876" s="10"/>
    </row>
    <row r="877" spans="6:7">
      <c r="F877" s="123"/>
      <c r="G877" s="10"/>
    </row>
    <row r="878" spans="6:7">
      <c r="F878" s="123"/>
      <c r="G878" s="10"/>
    </row>
    <row r="879" spans="6:7">
      <c r="F879" s="123"/>
      <c r="G879" s="10"/>
    </row>
    <row r="880" spans="6:7">
      <c r="F880" s="123"/>
      <c r="G880" s="10"/>
    </row>
    <row r="881" spans="6:7">
      <c r="F881" s="123"/>
      <c r="G881" s="10"/>
    </row>
    <row r="882" spans="6:7">
      <c r="F882" s="123"/>
      <c r="G882" s="10"/>
    </row>
    <row r="883" spans="6:7">
      <c r="F883" s="123"/>
      <c r="G883" s="10"/>
    </row>
    <row r="884" spans="6:7">
      <c r="F884" s="123"/>
      <c r="G884" s="10"/>
    </row>
    <row r="885" spans="6:7">
      <c r="F885" s="123"/>
      <c r="G885" s="10"/>
    </row>
    <row r="886" spans="6:7">
      <c r="F886" s="123"/>
      <c r="G886" s="10"/>
    </row>
    <row r="887" spans="6:7">
      <c r="F887" s="123"/>
      <c r="G887" s="10"/>
    </row>
    <row r="888" spans="6:7">
      <c r="F888" s="123"/>
      <c r="G888" s="10"/>
    </row>
    <row r="889" spans="6:7">
      <c r="F889" s="123"/>
      <c r="G889" s="10"/>
    </row>
    <row r="890" spans="6:7">
      <c r="F890" s="123"/>
      <c r="G890" s="10"/>
    </row>
    <row r="891" spans="6:7">
      <c r="F891" s="123"/>
      <c r="G891" s="10"/>
    </row>
    <row r="892" spans="6:7">
      <c r="F892" s="123"/>
      <c r="G892" s="10"/>
    </row>
    <row r="893" spans="6:7">
      <c r="F893" s="123"/>
      <c r="G893" s="10"/>
    </row>
    <row r="894" spans="6:7">
      <c r="F894" s="123"/>
      <c r="G894" s="10"/>
    </row>
    <row r="895" spans="6:7">
      <c r="F895" s="123"/>
      <c r="G895" s="10"/>
    </row>
    <row r="896" spans="6:7">
      <c r="F896" s="123"/>
      <c r="G896" s="10"/>
    </row>
    <row r="897" spans="6:7">
      <c r="F897" s="123"/>
      <c r="G897" s="10"/>
    </row>
    <row r="898" spans="6:7">
      <c r="F898" s="123"/>
      <c r="G898" s="10"/>
    </row>
    <row r="899" spans="6:7">
      <c r="F899" s="123"/>
      <c r="G899" s="10"/>
    </row>
    <row r="900" spans="6:7">
      <c r="F900" s="123"/>
      <c r="G900" s="10"/>
    </row>
    <row r="901" spans="6:7">
      <c r="F901" s="123"/>
      <c r="G901" s="10"/>
    </row>
    <row r="902" spans="6:7">
      <c r="F902" s="123"/>
      <c r="G902" s="10"/>
    </row>
    <row r="903" spans="6:7">
      <c r="F903" s="123"/>
      <c r="G903" s="10"/>
    </row>
    <row r="904" spans="6:7">
      <c r="F904" s="123"/>
      <c r="G904" s="10"/>
    </row>
    <row r="905" spans="6:7">
      <c r="F905" s="123"/>
      <c r="G905" s="10"/>
    </row>
    <row r="906" spans="6:7">
      <c r="F906" s="123"/>
      <c r="G906" s="10"/>
    </row>
    <row r="907" spans="6:7">
      <c r="F907" s="123"/>
      <c r="G907" s="10"/>
    </row>
    <row r="908" spans="6:7">
      <c r="F908" s="123"/>
      <c r="G908" s="10"/>
    </row>
    <row r="909" spans="6:7">
      <c r="F909" s="123"/>
      <c r="G909" s="10"/>
    </row>
    <row r="910" spans="6:7">
      <c r="F910" s="123"/>
      <c r="G910" s="10"/>
    </row>
    <row r="911" spans="6:7">
      <c r="F911" s="123"/>
      <c r="G911" s="10"/>
    </row>
    <row r="912" spans="6:7">
      <c r="F912" s="123"/>
      <c r="G912" s="10"/>
    </row>
    <row r="913" spans="6:7">
      <c r="F913" s="123"/>
      <c r="G913" s="10"/>
    </row>
    <row r="914" spans="6:7">
      <c r="F914" s="123"/>
      <c r="G914" s="10"/>
    </row>
    <row r="915" spans="6:7">
      <c r="F915" s="123"/>
      <c r="G915" s="10"/>
    </row>
    <row r="916" spans="6:7">
      <c r="F916" s="123"/>
      <c r="G916" s="10"/>
    </row>
    <row r="917" spans="6:7">
      <c r="F917" s="123"/>
      <c r="G917" s="10"/>
    </row>
    <row r="918" spans="6:7">
      <c r="F918" s="123"/>
      <c r="G918" s="10"/>
    </row>
    <row r="919" spans="6:7">
      <c r="F919" s="123"/>
      <c r="G919" s="10"/>
    </row>
    <row r="920" spans="6:7">
      <c r="F920" s="123"/>
      <c r="G920" s="10"/>
    </row>
    <row r="921" spans="6:7">
      <c r="F921" s="123"/>
      <c r="G921" s="10"/>
    </row>
    <row r="922" spans="6:7">
      <c r="F922" s="123"/>
      <c r="G922" s="10"/>
    </row>
    <row r="923" spans="6:7">
      <c r="F923" s="123"/>
      <c r="G923" s="10"/>
    </row>
    <row r="924" spans="6:7">
      <c r="F924" s="123"/>
      <c r="G924" s="10"/>
    </row>
    <row r="925" spans="6:7">
      <c r="F925" s="123"/>
      <c r="G925" s="10"/>
    </row>
    <row r="926" spans="6:7">
      <c r="F926" s="123"/>
      <c r="G926" s="10"/>
    </row>
    <row r="927" spans="6:7">
      <c r="F927" s="123"/>
      <c r="G927" s="10"/>
    </row>
    <row r="928" spans="6:7">
      <c r="F928" s="123"/>
      <c r="G928" s="10"/>
    </row>
    <row r="929" spans="6:7">
      <c r="F929" s="123"/>
      <c r="G929" s="10"/>
    </row>
    <row r="930" spans="6:7">
      <c r="F930" s="123"/>
      <c r="G930" s="10"/>
    </row>
    <row r="931" spans="6:7">
      <c r="F931" s="123"/>
      <c r="G931" s="10"/>
    </row>
    <row r="932" spans="6:7">
      <c r="F932" s="123"/>
      <c r="G932" s="10"/>
    </row>
    <row r="933" spans="6:7">
      <c r="F933" s="123"/>
      <c r="G933" s="10"/>
    </row>
    <row r="934" spans="6:7">
      <c r="F934" s="123"/>
      <c r="G934" s="10"/>
    </row>
    <row r="935" spans="6:7">
      <c r="F935" s="123"/>
      <c r="G935" s="10"/>
    </row>
    <row r="936" spans="6:7">
      <c r="F936" s="123"/>
      <c r="G936" s="10"/>
    </row>
    <row r="937" spans="6:7">
      <c r="F937" s="123"/>
      <c r="G937" s="10"/>
    </row>
    <row r="938" spans="6:7">
      <c r="F938" s="123"/>
      <c r="G938" s="10"/>
    </row>
    <row r="939" spans="6:7">
      <c r="F939" s="123"/>
      <c r="G939" s="10"/>
    </row>
    <row r="940" spans="6:7">
      <c r="F940" s="123"/>
      <c r="G940" s="10"/>
    </row>
    <row r="941" spans="6:7">
      <c r="F941" s="123"/>
      <c r="G941" s="10"/>
    </row>
    <row r="942" spans="6:7">
      <c r="F942" s="123"/>
      <c r="G942" s="10"/>
    </row>
    <row r="943" spans="6:7">
      <c r="F943" s="123"/>
      <c r="G943" s="10"/>
    </row>
    <row r="944" spans="6:7">
      <c r="F944" s="123"/>
      <c r="G944" s="10"/>
    </row>
    <row r="945" spans="6:7">
      <c r="F945" s="123"/>
      <c r="G945" s="10"/>
    </row>
    <row r="946" spans="6:7">
      <c r="F946" s="123"/>
      <c r="G946" s="10"/>
    </row>
    <row r="947" spans="6:7">
      <c r="F947" s="123"/>
      <c r="G947" s="10"/>
    </row>
    <row r="948" spans="6:7">
      <c r="F948" s="123"/>
      <c r="G948" s="10"/>
    </row>
    <row r="949" spans="6:7">
      <c r="F949" s="123"/>
      <c r="G949" s="10"/>
    </row>
    <row r="950" spans="6:7">
      <c r="F950" s="123"/>
      <c r="G950" s="10"/>
    </row>
    <row r="951" spans="6:7">
      <c r="F951" s="123"/>
      <c r="G951" s="10"/>
    </row>
    <row r="952" spans="6:7">
      <c r="F952" s="123"/>
      <c r="G952" s="10"/>
    </row>
    <row r="953" spans="6:7">
      <c r="F953" s="123"/>
      <c r="G953" s="10"/>
    </row>
    <row r="954" spans="6:7">
      <c r="F954" s="123"/>
      <c r="G954" s="10"/>
    </row>
    <row r="955" spans="6:7">
      <c r="F955" s="123"/>
      <c r="G955" s="10"/>
    </row>
    <row r="956" spans="6:7">
      <c r="F956" s="123"/>
      <c r="G956" s="10"/>
    </row>
    <row r="957" spans="6:7">
      <c r="F957" s="123"/>
      <c r="G957" s="10"/>
    </row>
    <row r="958" spans="6:7">
      <c r="F958" s="123"/>
      <c r="G958" s="10"/>
    </row>
    <row r="959" spans="6:7">
      <c r="F959" s="123"/>
      <c r="G959" s="10"/>
    </row>
    <row r="960" spans="6:7">
      <c r="F960" s="123"/>
      <c r="G960" s="10"/>
    </row>
    <row r="961" spans="6:7">
      <c r="F961" s="123"/>
      <c r="G961" s="10"/>
    </row>
    <row r="962" spans="6:7">
      <c r="F962" s="123"/>
      <c r="G962" s="10"/>
    </row>
    <row r="963" spans="6:7">
      <c r="F963" s="123"/>
      <c r="G963" s="10"/>
    </row>
    <row r="964" spans="6:7">
      <c r="F964" s="123"/>
      <c r="G964" s="10"/>
    </row>
    <row r="965" spans="6:7">
      <c r="F965" s="123"/>
      <c r="G965" s="10"/>
    </row>
    <row r="966" spans="6:7">
      <c r="F966" s="123"/>
      <c r="G966" s="10"/>
    </row>
    <row r="967" spans="6:7">
      <c r="F967" s="123"/>
      <c r="G967" s="10"/>
    </row>
    <row r="968" spans="6:7">
      <c r="F968" s="123"/>
      <c r="G968" s="10"/>
    </row>
    <row r="969" spans="6:7">
      <c r="F969" s="123"/>
      <c r="G969" s="10"/>
    </row>
    <row r="970" spans="6:7">
      <c r="F970" s="123"/>
      <c r="G970" s="10"/>
    </row>
    <row r="971" spans="6:7">
      <c r="F971" s="123"/>
      <c r="G971" s="10"/>
    </row>
    <row r="972" spans="6:7">
      <c r="F972" s="123"/>
      <c r="G972" s="10"/>
    </row>
    <row r="973" spans="6:7">
      <c r="F973" s="123"/>
      <c r="G973" s="10"/>
    </row>
    <row r="974" spans="6:7">
      <c r="F974" s="123"/>
      <c r="G974" s="10"/>
    </row>
    <row r="975" spans="6:7">
      <c r="F975" s="123"/>
      <c r="G975" s="10"/>
    </row>
    <row r="976" spans="6:7">
      <c r="F976" s="123"/>
      <c r="G976" s="10"/>
    </row>
    <row r="977" spans="6:7">
      <c r="F977" s="123"/>
      <c r="G977" s="10"/>
    </row>
    <row r="978" spans="6:7">
      <c r="F978" s="123"/>
      <c r="G978" s="10"/>
    </row>
    <row r="979" spans="6:7">
      <c r="F979" s="123"/>
      <c r="G979" s="10"/>
    </row>
    <row r="980" spans="6:7">
      <c r="F980" s="123"/>
      <c r="G980" s="10"/>
    </row>
    <row r="981" spans="6:7">
      <c r="F981" s="123"/>
      <c r="G981" s="10"/>
    </row>
    <row r="982" spans="6:7">
      <c r="F982" s="123"/>
      <c r="G982" s="10"/>
    </row>
    <row r="983" spans="6:7">
      <c r="F983" s="123"/>
      <c r="G983" s="10"/>
    </row>
    <row r="984" spans="6:7">
      <c r="F984" s="123"/>
      <c r="G984" s="10"/>
    </row>
    <row r="985" spans="6:7">
      <c r="F985" s="123"/>
      <c r="G985" s="10"/>
    </row>
    <row r="986" spans="6:7">
      <c r="F986" s="123"/>
      <c r="G986" s="10"/>
    </row>
    <row r="987" spans="6:7">
      <c r="F987" s="123"/>
      <c r="G987" s="10"/>
    </row>
    <row r="988" spans="6:7">
      <c r="F988" s="123"/>
      <c r="G988" s="10"/>
    </row>
    <row r="989" spans="6:7">
      <c r="F989" s="123"/>
      <c r="G989" s="10"/>
    </row>
    <row r="990" spans="6:7">
      <c r="F990" s="123"/>
      <c r="G990" s="10"/>
    </row>
    <row r="991" spans="6:7">
      <c r="F991" s="123"/>
      <c r="G991" s="10"/>
    </row>
    <row r="992" spans="6:7">
      <c r="F992" s="123"/>
      <c r="G992" s="10"/>
    </row>
    <row r="993" spans="6:7">
      <c r="F993" s="123"/>
      <c r="G993" s="10"/>
    </row>
    <row r="994" spans="6:7">
      <c r="F994" s="123"/>
      <c r="G994" s="10"/>
    </row>
    <row r="995" spans="6:7">
      <c r="F995" s="123"/>
      <c r="G995" s="10"/>
    </row>
    <row r="996" spans="6:7">
      <c r="F996" s="123"/>
      <c r="G996" s="10"/>
    </row>
    <row r="997" spans="6:7">
      <c r="F997" s="123"/>
      <c r="G997" s="10"/>
    </row>
    <row r="998" spans="6:7">
      <c r="F998" s="123"/>
      <c r="G998" s="10"/>
    </row>
    <row r="999" spans="6:7">
      <c r="F999" s="123"/>
      <c r="G999" s="10"/>
    </row>
    <row r="1000" spans="6:7">
      <c r="F1000" s="123"/>
      <c r="G1000" s="10"/>
    </row>
    <row r="1001" spans="6:7">
      <c r="F1001" s="123"/>
      <c r="G1001" s="10"/>
    </row>
    <row r="1002" spans="6:7">
      <c r="F1002" s="123"/>
      <c r="G1002" s="10"/>
    </row>
    <row r="1003" spans="6:7">
      <c r="F1003" s="123"/>
      <c r="G1003" s="10"/>
    </row>
    <row r="1004" spans="6:7">
      <c r="F1004" s="123"/>
      <c r="G1004" s="10"/>
    </row>
    <row r="1005" spans="6:7">
      <c r="F1005" s="123"/>
      <c r="G1005" s="10"/>
    </row>
    <row r="1006" spans="6:7">
      <c r="F1006" s="123"/>
      <c r="G1006" s="10"/>
    </row>
    <row r="1007" spans="6:7">
      <c r="F1007" s="123"/>
      <c r="G1007" s="10"/>
    </row>
    <row r="1008" spans="6:7">
      <c r="F1008" s="123"/>
      <c r="G1008" s="10"/>
    </row>
    <row r="1009" spans="6:7">
      <c r="F1009" s="123"/>
      <c r="G1009" s="10"/>
    </row>
    <row r="1010" spans="6:7">
      <c r="F1010" s="123"/>
      <c r="G1010" s="10"/>
    </row>
    <row r="1011" spans="6:7">
      <c r="F1011" s="123"/>
      <c r="G1011" s="10"/>
    </row>
    <row r="1012" spans="6:7">
      <c r="F1012" s="123"/>
      <c r="G1012" s="10"/>
    </row>
    <row r="1013" spans="6:7">
      <c r="F1013" s="123"/>
      <c r="G1013" s="10"/>
    </row>
    <row r="1014" spans="6:7">
      <c r="F1014" s="123"/>
      <c r="G1014" s="10"/>
    </row>
    <row r="1015" spans="6:7">
      <c r="F1015" s="123"/>
      <c r="G1015" s="10"/>
    </row>
    <row r="1016" spans="6:7">
      <c r="F1016" s="123"/>
      <c r="G1016" s="10"/>
    </row>
    <row r="1017" spans="6:7">
      <c r="F1017" s="123"/>
      <c r="G1017" s="10"/>
    </row>
    <row r="1018" spans="6:7">
      <c r="F1018" s="123"/>
      <c r="G1018" s="10"/>
    </row>
    <row r="1019" spans="6:7">
      <c r="F1019" s="123"/>
      <c r="G1019" s="10"/>
    </row>
    <row r="1020" spans="6:7">
      <c r="F1020" s="123"/>
      <c r="G1020" s="10"/>
    </row>
    <row r="1021" spans="6:7">
      <c r="F1021" s="123"/>
      <c r="G1021" s="10"/>
    </row>
    <row r="1022" spans="6:7">
      <c r="F1022" s="123"/>
      <c r="G1022" s="10"/>
    </row>
    <row r="1023" spans="6:7">
      <c r="F1023" s="123"/>
      <c r="G1023" s="10"/>
    </row>
    <row r="1024" spans="6:7">
      <c r="F1024" s="123"/>
      <c r="G1024" s="10"/>
    </row>
    <row r="1025" spans="6:7">
      <c r="F1025" s="123"/>
      <c r="G1025" s="10"/>
    </row>
    <row r="1026" spans="6:7">
      <c r="F1026" s="123"/>
      <c r="G1026" s="10"/>
    </row>
    <row r="1027" spans="6:7">
      <c r="F1027" s="123"/>
      <c r="G1027" s="10"/>
    </row>
    <row r="1028" spans="6:7">
      <c r="F1028" s="123"/>
      <c r="G1028" s="10"/>
    </row>
    <row r="1029" spans="6:7">
      <c r="F1029" s="123"/>
      <c r="G1029" s="10"/>
    </row>
    <row r="1030" spans="6:7">
      <c r="F1030" s="123"/>
      <c r="G1030" s="10"/>
    </row>
    <row r="1031" spans="6:7">
      <c r="F1031" s="123"/>
      <c r="G1031" s="10"/>
    </row>
    <row r="1032" spans="6:7">
      <c r="F1032" s="123"/>
      <c r="G1032" s="10"/>
    </row>
    <row r="1033" spans="6:7">
      <c r="F1033" s="123"/>
      <c r="G1033" s="10"/>
    </row>
    <row r="1034" spans="6:7">
      <c r="F1034" s="123"/>
      <c r="G1034" s="10"/>
    </row>
    <row r="1035" spans="6:7">
      <c r="F1035" s="123"/>
      <c r="G1035" s="10"/>
    </row>
    <row r="1036" spans="6:7">
      <c r="F1036" s="123"/>
      <c r="G1036" s="10"/>
    </row>
    <row r="1037" spans="6:7">
      <c r="F1037" s="123"/>
      <c r="G1037" s="10"/>
    </row>
    <row r="1038" spans="6:7">
      <c r="F1038" s="123"/>
      <c r="G1038" s="10"/>
    </row>
    <row r="1039" spans="6:7">
      <c r="F1039" s="123"/>
      <c r="G1039" s="10"/>
    </row>
    <row r="1040" spans="6:7">
      <c r="F1040" s="123"/>
      <c r="G1040" s="10"/>
    </row>
    <row r="1041" spans="6:7">
      <c r="F1041" s="123"/>
      <c r="G1041" s="10"/>
    </row>
    <row r="1042" spans="6:7">
      <c r="F1042" s="123"/>
      <c r="G1042" s="10"/>
    </row>
    <row r="1043" spans="6:7">
      <c r="F1043" s="123"/>
      <c r="G1043" s="10"/>
    </row>
    <row r="1044" spans="6:7">
      <c r="F1044" s="123"/>
      <c r="G1044" s="10"/>
    </row>
    <row r="1045" spans="6:7">
      <c r="F1045" s="123"/>
      <c r="G1045" s="10"/>
    </row>
    <row r="1046" spans="6:7">
      <c r="F1046" s="123"/>
      <c r="G1046" s="10"/>
    </row>
    <row r="1047" spans="6:7">
      <c r="F1047" s="123"/>
      <c r="G1047" s="10"/>
    </row>
    <row r="1048" spans="6:7">
      <c r="F1048" s="123"/>
      <c r="G1048" s="10"/>
    </row>
    <row r="1049" spans="6:7">
      <c r="F1049" s="123"/>
      <c r="G1049" s="10"/>
    </row>
    <row r="1050" spans="6:7">
      <c r="F1050" s="123"/>
      <c r="G1050" s="10"/>
    </row>
    <row r="1051" spans="6:7">
      <c r="F1051" s="123"/>
      <c r="G1051" s="10"/>
    </row>
    <row r="1052" spans="6:7">
      <c r="F1052" s="123"/>
      <c r="G1052" s="10"/>
    </row>
    <row r="1053" spans="6:7">
      <c r="F1053" s="123"/>
      <c r="G1053" s="10"/>
    </row>
    <row r="1054" spans="6:7">
      <c r="F1054" s="123"/>
      <c r="G1054" s="10"/>
    </row>
    <row r="1055" spans="6:7">
      <c r="F1055" s="123"/>
      <c r="G1055" s="10"/>
    </row>
    <row r="1056" spans="6:7">
      <c r="F1056" s="123"/>
      <c r="G1056" s="10"/>
    </row>
    <row r="1057" spans="6:7">
      <c r="F1057" s="123"/>
      <c r="G1057" s="10"/>
    </row>
    <row r="1058" spans="6:7">
      <c r="F1058" s="123"/>
      <c r="G1058" s="10"/>
    </row>
    <row r="1059" spans="6:7">
      <c r="F1059" s="123"/>
      <c r="G1059" s="10"/>
    </row>
    <row r="1060" spans="6:7">
      <c r="F1060" s="123"/>
      <c r="G1060" s="10"/>
    </row>
    <row r="1061" spans="6:7">
      <c r="F1061" s="123"/>
      <c r="G1061" s="10"/>
    </row>
    <row r="1062" spans="6:7">
      <c r="F1062" s="123"/>
      <c r="G1062" s="10"/>
    </row>
    <row r="1063" spans="6:7">
      <c r="F1063" s="123"/>
      <c r="G1063" s="10"/>
    </row>
    <row r="1064" spans="6:7">
      <c r="F1064" s="123"/>
      <c r="G1064" s="10"/>
    </row>
    <row r="1065" spans="6:7">
      <c r="F1065" s="123"/>
      <c r="G1065" s="10"/>
    </row>
    <row r="1066" spans="6:7">
      <c r="F1066" s="123"/>
      <c r="G1066" s="10"/>
    </row>
    <row r="1067" spans="6:7">
      <c r="F1067" s="123"/>
      <c r="G1067" s="10"/>
    </row>
    <row r="1068" spans="6:7">
      <c r="F1068" s="123"/>
      <c r="G1068" s="10"/>
    </row>
    <row r="1069" spans="6:7">
      <c r="F1069" s="123"/>
      <c r="G1069" s="10"/>
    </row>
    <row r="1070" spans="6:7">
      <c r="F1070" s="123"/>
      <c r="G1070" s="10"/>
    </row>
    <row r="1071" spans="6:7">
      <c r="F1071" s="123"/>
      <c r="G1071" s="10"/>
    </row>
    <row r="1072" spans="6:7">
      <c r="F1072" s="123"/>
      <c r="G1072" s="10"/>
    </row>
    <row r="1073" spans="6:7">
      <c r="F1073" s="123"/>
      <c r="G1073" s="10"/>
    </row>
    <row r="1074" spans="6:7">
      <c r="F1074" s="123"/>
      <c r="G1074" s="10"/>
    </row>
    <row r="1075" spans="6:7">
      <c r="F1075" s="123"/>
      <c r="G1075" s="10"/>
    </row>
    <row r="1076" spans="6:7">
      <c r="F1076" s="123"/>
      <c r="G1076" s="10"/>
    </row>
    <row r="1077" spans="6:7">
      <c r="F1077" s="123"/>
      <c r="G1077" s="10"/>
    </row>
    <row r="1078" spans="6:7">
      <c r="F1078" s="123"/>
      <c r="G1078" s="10"/>
    </row>
    <row r="1079" spans="6:7">
      <c r="F1079" s="123"/>
      <c r="G1079" s="10"/>
    </row>
    <row r="1080" spans="6:7">
      <c r="F1080" s="123"/>
      <c r="G1080" s="10"/>
    </row>
    <row r="1081" spans="6:7">
      <c r="F1081" s="123"/>
      <c r="G1081" s="10"/>
    </row>
    <row r="1082" spans="6:7">
      <c r="F1082" s="123"/>
      <c r="G1082" s="10"/>
    </row>
    <row r="1083" spans="6:7">
      <c r="F1083" s="123"/>
      <c r="G1083" s="10"/>
    </row>
    <row r="1084" spans="6:7">
      <c r="F1084" s="123"/>
      <c r="G1084" s="10"/>
    </row>
    <row r="1085" spans="6:7">
      <c r="F1085" s="123"/>
      <c r="G1085" s="10"/>
    </row>
    <row r="1086" spans="6:7">
      <c r="F1086" s="123"/>
      <c r="G1086" s="10"/>
    </row>
    <row r="1087" spans="6:7">
      <c r="F1087" s="123"/>
      <c r="G1087" s="10"/>
    </row>
    <row r="1088" spans="6:7">
      <c r="F1088" s="123"/>
      <c r="G1088" s="10"/>
    </row>
    <row r="1089" spans="6:7">
      <c r="F1089" s="123"/>
      <c r="G1089" s="10"/>
    </row>
    <row r="1090" spans="6:7">
      <c r="F1090" s="123"/>
      <c r="G1090" s="10"/>
    </row>
    <row r="1091" spans="6:7">
      <c r="F1091" s="123"/>
      <c r="G1091" s="10"/>
    </row>
    <row r="1092" spans="6:7">
      <c r="F1092" s="123"/>
      <c r="G1092" s="10"/>
    </row>
    <row r="1093" spans="6:7">
      <c r="F1093" s="123"/>
      <c r="G1093" s="10"/>
    </row>
    <row r="1094" spans="6:7">
      <c r="F1094" s="123"/>
      <c r="G1094" s="10"/>
    </row>
    <row r="1095" spans="6:7">
      <c r="F1095" s="123"/>
      <c r="G1095" s="10"/>
    </row>
    <row r="1096" spans="6:7">
      <c r="F1096" s="123"/>
      <c r="G1096" s="10"/>
    </row>
    <row r="1097" spans="6:7">
      <c r="F1097" s="123"/>
      <c r="G1097" s="10"/>
    </row>
    <row r="1098" spans="6:7">
      <c r="F1098" s="123"/>
      <c r="G1098" s="10"/>
    </row>
    <row r="1099" spans="6:7">
      <c r="F1099" s="123"/>
      <c r="G1099" s="10"/>
    </row>
    <row r="1100" spans="6:7">
      <c r="F1100" s="123"/>
      <c r="G1100" s="10"/>
    </row>
    <row r="1101" spans="6:7">
      <c r="F1101" s="123"/>
      <c r="G1101" s="10"/>
    </row>
    <row r="1102" spans="6:7">
      <c r="F1102" s="123"/>
      <c r="G1102" s="10"/>
    </row>
    <row r="1103" spans="6:7">
      <c r="F1103" s="123"/>
      <c r="G1103" s="10"/>
    </row>
    <row r="1104" spans="6:7">
      <c r="F1104" s="123"/>
      <c r="G1104" s="10"/>
    </row>
    <row r="1105" spans="6:7">
      <c r="F1105" s="123"/>
      <c r="G1105" s="10"/>
    </row>
    <row r="1106" spans="6:7">
      <c r="F1106" s="123"/>
      <c r="G1106" s="10"/>
    </row>
    <row r="1107" spans="6:7">
      <c r="F1107" s="123"/>
      <c r="G1107" s="10"/>
    </row>
    <row r="1108" spans="6:7">
      <c r="F1108" s="123"/>
      <c r="G1108" s="10"/>
    </row>
    <row r="1109" spans="6:7">
      <c r="F1109" s="123"/>
      <c r="G1109" s="10"/>
    </row>
    <row r="1110" spans="6:7">
      <c r="F1110" s="123"/>
      <c r="G1110" s="10"/>
    </row>
    <row r="1111" spans="6:7">
      <c r="F1111" s="123"/>
      <c r="G1111" s="10"/>
    </row>
    <row r="1112" spans="6:7">
      <c r="F1112" s="123"/>
      <c r="G1112" s="10"/>
    </row>
    <row r="1113" spans="6:7">
      <c r="F1113" s="123"/>
      <c r="G1113" s="10"/>
    </row>
    <row r="1114" spans="6:7">
      <c r="F1114" s="123"/>
      <c r="G1114" s="10"/>
    </row>
    <row r="1115" spans="6:7">
      <c r="F1115" s="123"/>
      <c r="G1115" s="10"/>
    </row>
    <row r="1116" spans="6:7">
      <c r="F1116" s="123"/>
      <c r="G1116" s="10"/>
    </row>
    <row r="1117" spans="6:7">
      <c r="F1117" s="123"/>
      <c r="G1117" s="10"/>
    </row>
    <row r="1118" spans="6:7">
      <c r="F1118" s="123"/>
      <c r="G1118" s="10"/>
    </row>
    <row r="1119" spans="6:7">
      <c r="F1119" s="123"/>
      <c r="G1119" s="10"/>
    </row>
    <row r="1120" spans="6:7">
      <c r="F1120" s="123"/>
      <c r="G1120" s="10"/>
    </row>
    <row r="1121" spans="6:7">
      <c r="F1121" s="123"/>
      <c r="G1121" s="10"/>
    </row>
    <row r="1122" spans="6:7">
      <c r="F1122" s="123"/>
      <c r="G1122" s="10"/>
    </row>
    <row r="1123" spans="6:7">
      <c r="F1123" s="123"/>
      <c r="G1123" s="10"/>
    </row>
    <row r="1124" spans="6:7">
      <c r="F1124" s="123"/>
      <c r="G1124" s="10"/>
    </row>
    <row r="1125" spans="6:7">
      <c r="F1125" s="123"/>
      <c r="G1125" s="10"/>
    </row>
    <row r="1126" spans="6:7">
      <c r="F1126" s="123"/>
      <c r="G1126" s="10"/>
    </row>
    <row r="1127" spans="6:7">
      <c r="F1127" s="123"/>
      <c r="G1127" s="10"/>
    </row>
    <row r="1128" spans="6:7">
      <c r="F1128" s="123"/>
      <c r="G1128" s="10"/>
    </row>
    <row r="1129" spans="6:7">
      <c r="F1129" s="123"/>
      <c r="G1129" s="10"/>
    </row>
    <row r="1130" spans="6:7">
      <c r="F1130" s="123"/>
      <c r="G1130" s="10"/>
    </row>
    <row r="1131" spans="6:7">
      <c r="F1131" s="123"/>
      <c r="G1131" s="10"/>
    </row>
    <row r="1132" spans="6:7">
      <c r="F1132" s="123"/>
      <c r="G1132" s="10"/>
    </row>
    <row r="1133" spans="6:7">
      <c r="F1133" s="123"/>
      <c r="G1133" s="10"/>
    </row>
    <row r="1134" spans="6:7">
      <c r="F1134" s="123"/>
      <c r="G1134" s="10"/>
    </row>
    <row r="1135" spans="6:7">
      <c r="F1135" s="123"/>
      <c r="G1135" s="10"/>
    </row>
    <row r="1136" spans="6:7">
      <c r="F1136" s="123"/>
      <c r="G1136" s="10"/>
    </row>
    <row r="1137" spans="6:7">
      <c r="F1137" s="123"/>
      <c r="G1137" s="10"/>
    </row>
    <row r="1138" spans="6:7">
      <c r="F1138" s="123"/>
      <c r="G1138" s="10"/>
    </row>
    <row r="1139" spans="6:7">
      <c r="F1139" s="123"/>
      <c r="G1139" s="10"/>
    </row>
    <row r="1140" spans="6:7">
      <c r="F1140" s="123"/>
      <c r="G1140" s="10"/>
    </row>
    <row r="1141" spans="6:7">
      <c r="F1141" s="123"/>
      <c r="G1141" s="10"/>
    </row>
    <row r="1142" spans="6:7">
      <c r="F1142" s="123"/>
      <c r="G1142" s="10"/>
    </row>
    <row r="1143" spans="6:7">
      <c r="F1143" s="123"/>
      <c r="G1143" s="10"/>
    </row>
    <row r="1144" spans="6:7">
      <c r="F1144" s="123"/>
      <c r="G1144" s="10"/>
    </row>
    <row r="1145" spans="6:7">
      <c r="F1145" s="123"/>
      <c r="G1145" s="10"/>
    </row>
    <row r="1146" spans="6:7">
      <c r="F1146" s="123"/>
      <c r="G1146" s="10"/>
    </row>
    <row r="1147" spans="6:7">
      <c r="F1147" s="123"/>
      <c r="G1147" s="10"/>
    </row>
    <row r="1148" spans="6:7">
      <c r="F1148" s="123"/>
      <c r="G1148" s="10"/>
    </row>
    <row r="1149" spans="6:7">
      <c r="F1149" s="123"/>
      <c r="G1149" s="10"/>
    </row>
    <row r="1150" spans="6:7">
      <c r="F1150" s="123"/>
      <c r="G1150" s="10"/>
    </row>
    <row r="1151" spans="6:7">
      <c r="F1151" s="123"/>
      <c r="G1151" s="10"/>
    </row>
    <row r="1152" spans="6:7">
      <c r="F1152" s="123"/>
      <c r="G1152" s="10"/>
    </row>
    <row r="1153" spans="6:7">
      <c r="F1153" s="123"/>
      <c r="G1153" s="10"/>
    </row>
    <row r="1154" spans="6:7">
      <c r="F1154" s="123"/>
      <c r="G1154" s="10"/>
    </row>
    <row r="1155" spans="6:7">
      <c r="F1155" s="123"/>
      <c r="G1155" s="10"/>
    </row>
    <row r="1156" spans="6:7">
      <c r="F1156" s="123"/>
      <c r="G1156" s="10"/>
    </row>
    <row r="1157" spans="6:7">
      <c r="F1157" s="123"/>
      <c r="G1157" s="10"/>
    </row>
    <row r="1158" spans="6:7">
      <c r="F1158" s="123"/>
      <c r="G1158" s="10"/>
    </row>
    <row r="1159" spans="6:7">
      <c r="F1159" s="123"/>
      <c r="G1159" s="10"/>
    </row>
    <row r="1160" spans="6:7">
      <c r="F1160" s="123"/>
      <c r="G1160" s="10"/>
    </row>
    <row r="1161" spans="6:7">
      <c r="F1161" s="123"/>
      <c r="G1161" s="10"/>
    </row>
    <row r="1162" spans="6:7">
      <c r="F1162" s="123"/>
      <c r="G1162" s="10"/>
    </row>
    <row r="1163" spans="6:7">
      <c r="F1163" s="123"/>
      <c r="G1163" s="10"/>
    </row>
    <row r="1164" spans="6:7">
      <c r="F1164" s="123"/>
      <c r="G1164" s="10"/>
    </row>
    <row r="1165" spans="6:7">
      <c r="F1165" s="123"/>
      <c r="G1165" s="10"/>
    </row>
    <row r="1166" spans="6:7">
      <c r="F1166" s="123"/>
      <c r="G1166" s="10"/>
    </row>
    <row r="1167" spans="6:7">
      <c r="F1167" s="123"/>
      <c r="G1167" s="10"/>
    </row>
    <row r="1168" spans="6:7">
      <c r="F1168" s="123"/>
      <c r="G1168" s="10"/>
    </row>
    <row r="1169" spans="6:7">
      <c r="F1169" s="123"/>
      <c r="G1169" s="10"/>
    </row>
    <row r="1170" spans="6:7">
      <c r="F1170" s="123"/>
      <c r="G1170" s="10"/>
    </row>
    <row r="1171" spans="6:7">
      <c r="F1171" s="123"/>
      <c r="G1171" s="10"/>
    </row>
    <row r="1172" spans="6:7">
      <c r="F1172" s="123"/>
      <c r="G1172" s="10"/>
    </row>
    <row r="1173" spans="6:7">
      <c r="F1173" s="123"/>
      <c r="G1173" s="10"/>
    </row>
    <row r="1174" spans="6:7">
      <c r="F1174" s="123"/>
      <c r="G1174" s="10"/>
    </row>
    <row r="1175" spans="6:7">
      <c r="F1175" s="123"/>
      <c r="G1175" s="10"/>
    </row>
    <row r="1176" spans="6:7">
      <c r="F1176" s="123"/>
      <c r="G1176" s="10"/>
    </row>
    <row r="1177" spans="6:7">
      <c r="F1177" s="123"/>
      <c r="G1177" s="10"/>
    </row>
    <row r="1178" spans="6:7">
      <c r="F1178" s="123"/>
      <c r="G1178" s="10"/>
    </row>
    <row r="1179" spans="6:7">
      <c r="F1179" s="123"/>
      <c r="G1179" s="10"/>
    </row>
    <row r="1180" spans="6:7">
      <c r="F1180" s="123"/>
      <c r="G1180" s="10"/>
    </row>
    <row r="1181" spans="6:7">
      <c r="F1181" s="123"/>
      <c r="G1181" s="10"/>
    </row>
    <row r="1182" spans="6:7">
      <c r="F1182" s="123"/>
      <c r="G1182" s="10"/>
    </row>
    <row r="1183" spans="6:7">
      <c r="F1183" s="123"/>
      <c r="G1183" s="10"/>
    </row>
    <row r="1184" spans="6:7">
      <c r="F1184" s="123"/>
      <c r="G1184" s="10"/>
    </row>
    <row r="1185" spans="6:7">
      <c r="F1185" s="123"/>
      <c r="G1185" s="10"/>
    </row>
    <row r="1186" spans="6:7">
      <c r="F1186" s="123"/>
      <c r="G1186" s="10"/>
    </row>
    <row r="1187" spans="6:7">
      <c r="F1187" s="123"/>
      <c r="G1187" s="10"/>
    </row>
    <row r="1188" spans="6:7">
      <c r="F1188" s="123"/>
      <c r="G1188" s="10"/>
    </row>
    <row r="1189" spans="6:7">
      <c r="F1189" s="123"/>
      <c r="G1189" s="10"/>
    </row>
    <row r="1190" spans="6:7">
      <c r="F1190" s="123"/>
      <c r="G1190" s="10"/>
    </row>
    <row r="1191" spans="6:7">
      <c r="F1191" s="123"/>
      <c r="G1191" s="10"/>
    </row>
    <row r="1192" spans="6:7">
      <c r="F1192" s="123"/>
      <c r="G1192" s="10"/>
    </row>
    <row r="1193" spans="6:7">
      <c r="F1193" s="123"/>
      <c r="G1193" s="10"/>
    </row>
    <row r="1194" spans="6:7">
      <c r="F1194" s="123"/>
      <c r="G1194" s="10"/>
    </row>
    <row r="1195" spans="6:7">
      <c r="F1195" s="123"/>
      <c r="G1195" s="10"/>
    </row>
    <row r="1196" spans="6:7">
      <c r="F1196" s="123"/>
      <c r="G1196" s="10"/>
    </row>
    <row r="1197" spans="6:7">
      <c r="F1197" s="123"/>
      <c r="G1197" s="10"/>
    </row>
    <row r="1198" spans="6:7">
      <c r="F1198" s="123"/>
      <c r="G1198" s="10"/>
    </row>
    <row r="1199" spans="6:7">
      <c r="F1199" s="123"/>
      <c r="G1199" s="10"/>
    </row>
    <row r="1200" spans="6:7">
      <c r="F1200" s="123"/>
      <c r="G1200" s="10"/>
    </row>
    <row r="1201" spans="6:7">
      <c r="F1201" s="123"/>
      <c r="G1201" s="10"/>
    </row>
    <row r="1202" spans="6:7">
      <c r="F1202" s="123"/>
      <c r="G1202" s="10"/>
    </row>
    <row r="1203" spans="6:7">
      <c r="F1203" s="123"/>
      <c r="G1203" s="10"/>
    </row>
    <row r="1204" spans="6:7">
      <c r="F1204" s="123"/>
      <c r="G1204" s="10"/>
    </row>
    <row r="1205" spans="6:7">
      <c r="F1205" s="123"/>
      <c r="G1205" s="10"/>
    </row>
    <row r="1206" spans="6:7">
      <c r="F1206" s="123"/>
      <c r="G1206" s="10"/>
    </row>
    <row r="1207" spans="6:7">
      <c r="F1207" s="123"/>
      <c r="G1207" s="10"/>
    </row>
    <row r="1208" spans="6:7">
      <c r="F1208" s="123"/>
      <c r="G1208" s="10"/>
    </row>
    <row r="1209" spans="6:7">
      <c r="F1209" s="123"/>
      <c r="G1209" s="10"/>
    </row>
    <row r="1210" spans="6:7">
      <c r="F1210" s="123"/>
      <c r="G1210" s="10"/>
    </row>
    <row r="1211" spans="6:7">
      <c r="F1211" s="123"/>
      <c r="G1211" s="10"/>
    </row>
    <row r="1212" spans="6:7">
      <c r="F1212" s="123"/>
      <c r="G1212" s="10"/>
    </row>
    <row r="1213" spans="6:7">
      <c r="F1213" s="123"/>
      <c r="G1213" s="10"/>
    </row>
    <row r="1214" spans="6:7">
      <c r="F1214" s="123"/>
      <c r="G1214" s="10"/>
    </row>
    <row r="1215" spans="6:7">
      <c r="F1215" s="123"/>
      <c r="G1215" s="10"/>
    </row>
    <row r="1216" spans="6:7">
      <c r="F1216" s="123"/>
      <c r="G1216" s="10"/>
    </row>
    <row r="1217" spans="6:7">
      <c r="F1217" s="123"/>
      <c r="G1217" s="10"/>
    </row>
    <row r="1218" spans="6:7">
      <c r="F1218" s="123"/>
      <c r="G1218" s="10"/>
    </row>
    <row r="1219" spans="6:7">
      <c r="F1219" s="123"/>
      <c r="G1219" s="10"/>
    </row>
    <row r="1220" spans="6:7">
      <c r="F1220" s="123"/>
      <c r="G1220" s="10"/>
    </row>
    <row r="1221" spans="6:7">
      <c r="F1221" s="123"/>
      <c r="G1221" s="10"/>
    </row>
    <row r="1222" spans="6:7">
      <c r="F1222" s="123"/>
      <c r="G1222" s="10"/>
    </row>
    <row r="1223" spans="6:7">
      <c r="F1223" s="123"/>
      <c r="G1223" s="10"/>
    </row>
    <row r="1224" spans="6:7">
      <c r="F1224" s="123"/>
      <c r="G1224" s="10"/>
    </row>
    <row r="1225" spans="6:7">
      <c r="F1225" s="123"/>
      <c r="G1225" s="10"/>
    </row>
    <row r="1226" spans="6:7">
      <c r="F1226" s="123"/>
      <c r="G1226" s="10"/>
    </row>
    <row r="1227" spans="6:7">
      <c r="F1227" s="123"/>
      <c r="G1227" s="10"/>
    </row>
    <row r="1228" spans="6:7">
      <c r="F1228" s="123"/>
      <c r="G1228" s="10"/>
    </row>
    <row r="1229" spans="6:7">
      <c r="F1229" s="123"/>
      <c r="G1229" s="10"/>
    </row>
    <row r="1230" spans="6:7">
      <c r="F1230" s="123"/>
      <c r="G1230" s="10"/>
    </row>
    <row r="1231" spans="6:7">
      <c r="F1231" s="123"/>
      <c r="G1231" s="10"/>
    </row>
    <row r="1232" spans="6:7">
      <c r="F1232" s="123"/>
      <c r="G1232" s="10"/>
    </row>
    <row r="1233" spans="6:7">
      <c r="F1233" s="123"/>
      <c r="G1233" s="10"/>
    </row>
    <row r="1234" spans="6:7">
      <c r="F1234" s="123"/>
      <c r="G1234" s="10"/>
    </row>
    <row r="1235" spans="6:7">
      <c r="F1235" s="123"/>
      <c r="G1235" s="10"/>
    </row>
    <row r="1236" spans="6:7">
      <c r="F1236" s="123"/>
      <c r="G1236" s="10"/>
    </row>
    <row r="1237" spans="6:7">
      <c r="F1237" s="123"/>
      <c r="G1237" s="10"/>
    </row>
    <row r="1238" spans="6:7">
      <c r="F1238" s="123"/>
      <c r="G1238" s="10"/>
    </row>
    <row r="1239" spans="6:7">
      <c r="F1239" s="123"/>
      <c r="G1239" s="10"/>
    </row>
    <row r="1240" spans="6:7">
      <c r="F1240" s="123"/>
      <c r="G1240" s="10"/>
    </row>
    <row r="1241" spans="6:7">
      <c r="F1241" s="123"/>
      <c r="G1241" s="10"/>
    </row>
    <row r="1242" spans="6:7">
      <c r="F1242" s="123"/>
      <c r="G1242" s="10"/>
    </row>
    <row r="1243" spans="6:7">
      <c r="F1243" s="123"/>
      <c r="G1243" s="10"/>
    </row>
    <row r="1244" spans="6:7">
      <c r="F1244" s="123"/>
      <c r="G1244" s="10"/>
    </row>
    <row r="1245" spans="6:7">
      <c r="F1245" s="123"/>
      <c r="G1245" s="10"/>
    </row>
    <row r="1246" spans="6:7">
      <c r="F1246" s="123"/>
      <c r="G1246" s="10"/>
    </row>
    <row r="1247" spans="6:7">
      <c r="F1247" s="123"/>
      <c r="G1247" s="10"/>
    </row>
    <row r="1248" spans="6:7">
      <c r="F1248" s="123"/>
      <c r="G1248" s="10"/>
    </row>
    <row r="1249" spans="6:7">
      <c r="F1249" s="123"/>
      <c r="G1249" s="10"/>
    </row>
    <row r="1250" spans="6:7">
      <c r="F1250" s="123"/>
      <c r="G1250" s="10"/>
    </row>
    <row r="1251" spans="6:7">
      <c r="F1251" s="123"/>
      <c r="G1251" s="10"/>
    </row>
    <row r="1252" spans="6:7">
      <c r="F1252" s="123"/>
      <c r="G1252" s="10"/>
    </row>
    <row r="1253" spans="6:7">
      <c r="F1253" s="123"/>
      <c r="G1253" s="10"/>
    </row>
    <row r="1254" spans="6:7">
      <c r="F1254" s="123"/>
      <c r="G1254" s="10"/>
    </row>
    <row r="1255" spans="6:7">
      <c r="F1255" s="123"/>
      <c r="G1255" s="10"/>
    </row>
    <row r="1256" spans="6:7">
      <c r="F1256" s="123"/>
      <c r="G1256" s="10"/>
    </row>
    <row r="1257" spans="6:7">
      <c r="F1257" s="123"/>
      <c r="G1257" s="10"/>
    </row>
    <row r="1258" spans="6:7">
      <c r="F1258" s="123"/>
      <c r="G1258" s="10"/>
    </row>
    <row r="1259" spans="6:7">
      <c r="F1259" s="123"/>
      <c r="G1259" s="10"/>
    </row>
    <row r="1260" spans="6:7">
      <c r="F1260" s="123"/>
      <c r="G1260" s="10"/>
    </row>
    <row r="1261" spans="6:7">
      <c r="F1261" s="123"/>
      <c r="G1261" s="10"/>
    </row>
    <row r="1262" spans="6:7">
      <c r="F1262" s="123"/>
      <c r="G1262" s="10"/>
    </row>
    <row r="1263" spans="6:7">
      <c r="F1263" s="123"/>
      <c r="G1263" s="10"/>
    </row>
    <row r="1264" spans="6:7">
      <c r="F1264" s="123"/>
      <c r="G1264" s="10"/>
    </row>
    <row r="1265" spans="6:7">
      <c r="F1265" s="123"/>
      <c r="G1265" s="10"/>
    </row>
    <row r="1266" spans="6:7">
      <c r="F1266" s="123"/>
      <c r="G1266" s="10"/>
    </row>
    <row r="1267" spans="6:7">
      <c r="F1267" s="123"/>
      <c r="G1267" s="10"/>
    </row>
    <row r="1268" spans="6:7">
      <c r="F1268" s="123"/>
      <c r="G1268" s="10"/>
    </row>
    <row r="1269" spans="6:7">
      <c r="F1269" s="123"/>
      <c r="G1269" s="10"/>
    </row>
    <row r="1270" spans="6:7">
      <c r="F1270" s="123"/>
      <c r="G1270" s="10"/>
    </row>
    <row r="1271" spans="6:7">
      <c r="F1271" s="123"/>
      <c r="G1271" s="10"/>
    </row>
    <row r="1272" spans="6:7">
      <c r="F1272" s="123"/>
      <c r="G1272" s="10"/>
    </row>
    <row r="1273" spans="6:7">
      <c r="F1273" s="123"/>
      <c r="G1273" s="10"/>
    </row>
    <row r="1274" spans="6:7">
      <c r="F1274" s="123"/>
      <c r="G1274" s="10"/>
    </row>
    <row r="1275" spans="6:7">
      <c r="F1275" s="123"/>
      <c r="G1275" s="10"/>
    </row>
    <row r="1276" spans="6:7">
      <c r="F1276" s="123"/>
      <c r="G1276" s="10"/>
    </row>
    <row r="1277" spans="6:7">
      <c r="F1277" s="123"/>
      <c r="G1277" s="10"/>
    </row>
    <row r="1278" spans="6:7">
      <c r="F1278" s="123"/>
      <c r="G1278" s="10"/>
    </row>
    <row r="1279" spans="6:7">
      <c r="F1279" s="123"/>
      <c r="G1279" s="10"/>
    </row>
    <row r="1280" spans="6:7">
      <c r="F1280" s="123"/>
      <c r="G1280" s="10"/>
    </row>
    <row r="1281" spans="6:7">
      <c r="F1281" s="123"/>
      <c r="G1281" s="10"/>
    </row>
    <row r="1282" spans="6:7">
      <c r="F1282" s="123"/>
      <c r="G1282" s="10"/>
    </row>
    <row r="1283" spans="6:7">
      <c r="F1283" s="123"/>
      <c r="G1283" s="10"/>
    </row>
    <row r="1284" spans="6:7">
      <c r="F1284" s="123"/>
      <c r="G1284" s="10"/>
    </row>
    <row r="1285" spans="6:7">
      <c r="F1285" s="123"/>
      <c r="G1285" s="10"/>
    </row>
    <row r="1286" spans="6:7">
      <c r="F1286" s="123"/>
      <c r="G1286" s="10"/>
    </row>
    <row r="1287" spans="6:7">
      <c r="F1287" s="123"/>
      <c r="G1287" s="10"/>
    </row>
    <row r="1288" spans="6:7">
      <c r="F1288" s="123"/>
      <c r="G1288" s="10"/>
    </row>
    <row r="1289" spans="6:7">
      <c r="F1289" s="123"/>
      <c r="G1289" s="10"/>
    </row>
    <row r="1290" spans="6:7">
      <c r="F1290" s="123"/>
      <c r="G1290" s="10"/>
    </row>
    <row r="1291" spans="6:7">
      <c r="F1291" s="123"/>
      <c r="G1291" s="10"/>
    </row>
    <row r="1292" spans="6:7">
      <c r="F1292" s="123"/>
      <c r="G1292" s="10"/>
    </row>
    <row r="1293" spans="6:7">
      <c r="F1293" s="123"/>
      <c r="G1293" s="10"/>
    </row>
    <row r="1294" spans="6:7">
      <c r="F1294" s="123"/>
      <c r="G1294" s="10"/>
    </row>
    <row r="1295" spans="6:7">
      <c r="F1295" s="123"/>
      <c r="G1295" s="10"/>
    </row>
    <row r="1296" spans="6:7">
      <c r="F1296" s="123"/>
      <c r="G1296" s="10"/>
    </row>
    <row r="1297" spans="6:7">
      <c r="F1297" s="123"/>
      <c r="G1297" s="10"/>
    </row>
    <row r="1298" spans="6:7">
      <c r="F1298" s="123"/>
      <c r="G1298" s="10"/>
    </row>
    <row r="1299" spans="6:7">
      <c r="F1299" s="123"/>
      <c r="G1299" s="10"/>
    </row>
    <row r="1300" spans="6:7">
      <c r="F1300" s="123"/>
      <c r="G1300" s="10"/>
    </row>
    <row r="1301" spans="6:7">
      <c r="F1301" s="123"/>
      <c r="G1301" s="10"/>
    </row>
    <row r="1302" spans="6:7">
      <c r="F1302" s="123"/>
      <c r="G1302" s="10"/>
    </row>
    <row r="1303" spans="6:7">
      <c r="F1303" s="123"/>
      <c r="G1303" s="10"/>
    </row>
    <row r="1304" spans="6:7">
      <c r="F1304" s="123"/>
      <c r="G1304" s="10"/>
    </row>
    <row r="1305" spans="6:7">
      <c r="F1305" s="123"/>
      <c r="G1305" s="10"/>
    </row>
    <row r="1306" spans="6:7">
      <c r="F1306" s="123"/>
      <c r="G1306" s="10"/>
    </row>
    <row r="1307" spans="6:7">
      <c r="F1307" s="123"/>
      <c r="G1307" s="10"/>
    </row>
    <row r="1308" spans="6:7">
      <c r="F1308" s="123"/>
      <c r="G1308" s="10"/>
    </row>
    <row r="1309" spans="6:7">
      <c r="F1309" s="123"/>
      <c r="G1309" s="10"/>
    </row>
    <row r="1310" spans="6:7">
      <c r="F1310" s="123"/>
      <c r="G1310" s="10"/>
    </row>
    <row r="1311" spans="6:7">
      <c r="F1311" s="123"/>
      <c r="G1311" s="10"/>
    </row>
    <row r="1312" spans="6:7">
      <c r="F1312" s="123"/>
      <c r="G1312" s="10"/>
    </row>
    <row r="1313" spans="6:7">
      <c r="F1313" s="123"/>
      <c r="G1313" s="10"/>
    </row>
    <row r="1314" spans="6:7">
      <c r="F1314" s="123"/>
      <c r="G1314" s="10"/>
    </row>
    <row r="1315" spans="6:7">
      <c r="F1315" s="123"/>
      <c r="G1315" s="10"/>
    </row>
    <row r="1316" spans="6:7">
      <c r="F1316" s="123"/>
      <c r="G1316" s="10"/>
    </row>
    <row r="1317" spans="6:7">
      <c r="F1317" s="123"/>
      <c r="G1317" s="10"/>
    </row>
    <row r="1318" spans="6:7">
      <c r="F1318" s="123"/>
      <c r="G1318" s="10"/>
    </row>
    <row r="1319" spans="6:7">
      <c r="F1319" s="123"/>
      <c r="G1319" s="10"/>
    </row>
    <row r="1320" spans="6:7">
      <c r="F1320" s="123"/>
      <c r="G1320" s="10"/>
    </row>
    <row r="1321" spans="6:7">
      <c r="F1321" s="123"/>
      <c r="G1321" s="10"/>
    </row>
    <row r="1322" spans="6:7">
      <c r="F1322" s="123"/>
      <c r="G1322" s="10"/>
    </row>
    <row r="1323" spans="6:7">
      <c r="F1323" s="123"/>
      <c r="G1323" s="10"/>
    </row>
    <row r="1324" spans="6:7">
      <c r="F1324" s="123"/>
      <c r="G1324" s="10"/>
    </row>
    <row r="1325" spans="6:7">
      <c r="F1325" s="123"/>
      <c r="G1325" s="10"/>
    </row>
    <row r="1326" spans="6:7">
      <c r="F1326" s="123"/>
      <c r="G1326" s="10"/>
    </row>
    <row r="1327" spans="6:7">
      <c r="F1327" s="123"/>
      <c r="G1327" s="10"/>
    </row>
    <row r="1328" spans="6:7">
      <c r="F1328" s="123"/>
      <c r="G1328" s="10"/>
    </row>
    <row r="1329" spans="6:7">
      <c r="F1329" s="123"/>
      <c r="G1329" s="10"/>
    </row>
    <row r="1330" spans="6:7">
      <c r="F1330" s="123"/>
      <c r="G1330" s="10"/>
    </row>
    <row r="1331" spans="6:7">
      <c r="F1331" s="123"/>
      <c r="G1331" s="10"/>
    </row>
    <row r="1332" spans="6:7">
      <c r="F1332" s="123"/>
      <c r="G1332" s="10"/>
    </row>
    <row r="1333" spans="6:7">
      <c r="F1333" s="123"/>
      <c r="G1333" s="10"/>
    </row>
    <row r="1334" spans="6:7">
      <c r="F1334" s="123"/>
      <c r="G1334" s="10"/>
    </row>
    <row r="1335" spans="6:7">
      <c r="F1335" s="123"/>
      <c r="G1335" s="10"/>
    </row>
    <row r="1336" spans="6:7">
      <c r="F1336" s="123"/>
      <c r="G1336" s="10"/>
    </row>
    <row r="1337" spans="6:7">
      <c r="F1337" s="123"/>
      <c r="G1337" s="10"/>
    </row>
    <row r="1338" spans="6:7">
      <c r="F1338" s="123"/>
      <c r="G1338" s="10"/>
    </row>
    <row r="1339" spans="6:7">
      <c r="F1339" s="123"/>
      <c r="G1339" s="10"/>
    </row>
    <row r="1340" spans="6:7">
      <c r="F1340" s="123"/>
      <c r="G1340" s="10"/>
    </row>
    <row r="1341" spans="6:7">
      <c r="F1341" s="123"/>
      <c r="G1341" s="10"/>
    </row>
    <row r="1342" spans="6:7">
      <c r="F1342" s="123"/>
      <c r="G1342" s="10"/>
    </row>
    <row r="1343" spans="6:7">
      <c r="F1343" s="123"/>
      <c r="G1343" s="10"/>
    </row>
    <row r="1344" spans="6:7">
      <c r="F1344" s="123"/>
      <c r="G1344" s="10"/>
    </row>
    <row r="1345" spans="6:7">
      <c r="F1345" s="123"/>
      <c r="G1345" s="10"/>
    </row>
    <row r="1346" spans="6:7">
      <c r="F1346" s="123"/>
      <c r="G1346" s="10"/>
    </row>
    <row r="1347" spans="6:7">
      <c r="F1347" s="123"/>
      <c r="G1347" s="10"/>
    </row>
    <row r="1348" spans="6:7">
      <c r="F1348" s="123"/>
      <c r="G1348" s="10"/>
    </row>
    <row r="1349" spans="6:7">
      <c r="F1349" s="123"/>
      <c r="G1349" s="10"/>
    </row>
    <row r="1350" spans="6:7">
      <c r="F1350" s="123"/>
      <c r="G1350" s="10"/>
    </row>
    <row r="1351" spans="6:7">
      <c r="F1351" s="123"/>
      <c r="G1351" s="10"/>
    </row>
    <row r="1352" spans="6:7">
      <c r="F1352" s="123"/>
      <c r="G1352" s="10"/>
    </row>
    <row r="1353" spans="6:7">
      <c r="F1353" s="123"/>
      <c r="G1353" s="10"/>
    </row>
    <row r="1354" spans="6:7">
      <c r="F1354" s="123"/>
      <c r="G1354" s="10"/>
    </row>
    <row r="1355" spans="6:7">
      <c r="F1355" s="123"/>
      <c r="G1355" s="10"/>
    </row>
    <row r="1356" spans="6:7">
      <c r="F1356" s="123"/>
      <c r="G1356" s="10"/>
    </row>
    <row r="1357" spans="6:7">
      <c r="F1357" s="123"/>
      <c r="G1357" s="10"/>
    </row>
    <row r="1358" spans="6:7">
      <c r="F1358" s="123"/>
      <c r="G1358" s="10"/>
    </row>
    <row r="1359" spans="6:7">
      <c r="F1359" s="123"/>
      <c r="G1359" s="10"/>
    </row>
    <row r="1360" spans="6:7">
      <c r="F1360" s="123"/>
      <c r="G1360" s="10"/>
    </row>
    <row r="1361" spans="6:7">
      <c r="F1361" s="123"/>
      <c r="G1361" s="10"/>
    </row>
    <row r="1362" spans="6:7">
      <c r="F1362" s="123"/>
      <c r="G1362" s="10"/>
    </row>
    <row r="1363" spans="6:7">
      <c r="F1363" s="123"/>
      <c r="G1363" s="10"/>
    </row>
    <row r="1364" spans="6:7">
      <c r="F1364" s="123"/>
      <c r="G1364" s="10"/>
    </row>
    <row r="1365" spans="6:7">
      <c r="F1365" s="123"/>
      <c r="G1365" s="10"/>
    </row>
    <row r="1366" spans="6:7">
      <c r="F1366" s="123"/>
      <c r="G1366" s="10"/>
    </row>
    <row r="1367" spans="6:7">
      <c r="F1367" s="123"/>
      <c r="G1367" s="10"/>
    </row>
    <row r="1368" spans="6:7">
      <c r="F1368" s="123"/>
      <c r="G1368" s="10"/>
    </row>
    <row r="1369" spans="6:7">
      <c r="F1369" s="123"/>
      <c r="G1369" s="10"/>
    </row>
    <row r="1370" spans="6:7">
      <c r="F1370" s="123"/>
      <c r="G1370" s="10"/>
    </row>
    <row r="1371" spans="6:7">
      <c r="F1371" s="123"/>
      <c r="G1371" s="10"/>
    </row>
    <row r="1372" spans="6:7">
      <c r="F1372" s="123"/>
      <c r="G1372" s="10"/>
    </row>
    <row r="1373" spans="6:7">
      <c r="F1373" s="123"/>
      <c r="G1373" s="10"/>
    </row>
    <row r="1374" spans="6:7">
      <c r="F1374" s="123"/>
      <c r="G1374" s="10"/>
    </row>
    <row r="1375" spans="6:7">
      <c r="F1375" s="123"/>
      <c r="G1375" s="10"/>
    </row>
    <row r="1376" spans="6:7">
      <c r="F1376" s="123"/>
      <c r="G1376" s="10"/>
    </row>
    <row r="1377" spans="6:7">
      <c r="F1377" s="123"/>
      <c r="G1377" s="10"/>
    </row>
    <row r="1378" spans="6:7">
      <c r="F1378" s="123"/>
      <c r="G1378" s="10"/>
    </row>
    <row r="1379" spans="6:7">
      <c r="F1379" s="123"/>
      <c r="G1379" s="10"/>
    </row>
    <row r="1380" spans="6:7">
      <c r="F1380" s="123"/>
      <c r="G1380" s="10"/>
    </row>
    <row r="1381" spans="6:7">
      <c r="F1381" s="123"/>
      <c r="G1381" s="10"/>
    </row>
    <row r="1382" spans="6:7">
      <c r="F1382" s="123"/>
      <c r="G1382" s="10"/>
    </row>
    <row r="1383" spans="6:7">
      <c r="F1383" s="123"/>
      <c r="G1383" s="10"/>
    </row>
    <row r="1384" spans="6:7">
      <c r="F1384" s="123"/>
      <c r="G1384" s="10"/>
    </row>
    <row r="1385" spans="6:7">
      <c r="F1385" s="123"/>
      <c r="G1385" s="10"/>
    </row>
    <row r="1386" spans="6:7">
      <c r="F1386" s="123"/>
      <c r="G1386" s="10"/>
    </row>
    <row r="1387" spans="6:7">
      <c r="F1387" s="123"/>
      <c r="G1387" s="10"/>
    </row>
    <row r="1388" spans="6:7">
      <c r="F1388" s="123"/>
      <c r="G1388" s="10"/>
    </row>
    <row r="1389" spans="6:7">
      <c r="F1389" s="123"/>
      <c r="G1389" s="10"/>
    </row>
    <row r="1390" spans="6:7">
      <c r="F1390" s="123"/>
      <c r="G1390" s="10"/>
    </row>
    <row r="1391" spans="6:7">
      <c r="F1391" s="123"/>
      <c r="G1391" s="10"/>
    </row>
    <row r="1392" spans="6:7">
      <c r="F1392" s="123"/>
      <c r="G1392" s="10"/>
    </row>
    <row r="1393" spans="6:7">
      <c r="F1393" s="123"/>
      <c r="G1393" s="10"/>
    </row>
    <row r="1394" spans="6:7">
      <c r="F1394" s="123"/>
      <c r="G1394" s="10"/>
    </row>
    <row r="1395" spans="6:7">
      <c r="F1395" s="123"/>
      <c r="G1395" s="10"/>
    </row>
    <row r="1396" spans="6:7">
      <c r="F1396" s="123"/>
      <c r="G1396" s="10"/>
    </row>
    <row r="1397" spans="6:7">
      <c r="F1397" s="123"/>
      <c r="G1397" s="10"/>
    </row>
    <row r="1398" spans="6:7">
      <c r="F1398" s="123"/>
      <c r="G1398" s="10"/>
    </row>
    <row r="1399" spans="6:7">
      <c r="F1399" s="123"/>
      <c r="G1399" s="10"/>
    </row>
    <row r="1400" spans="6:7">
      <c r="F1400" s="123"/>
      <c r="G1400" s="10"/>
    </row>
    <row r="1401" spans="6:7">
      <c r="F1401" s="123"/>
      <c r="G1401" s="10"/>
    </row>
    <row r="1402" spans="6:7">
      <c r="F1402" s="123"/>
      <c r="G1402" s="10"/>
    </row>
    <row r="1403" spans="6:7">
      <c r="F1403" s="123"/>
      <c r="G1403" s="10"/>
    </row>
    <row r="1404" spans="6:7">
      <c r="F1404" s="123"/>
      <c r="G1404" s="10"/>
    </row>
    <row r="1405" spans="6:7">
      <c r="F1405" s="123"/>
      <c r="G1405" s="10"/>
    </row>
    <row r="1406" spans="6:7">
      <c r="F1406" s="123"/>
      <c r="G1406" s="10"/>
    </row>
    <row r="1407" spans="6:7">
      <c r="F1407" s="123"/>
      <c r="G1407" s="10"/>
    </row>
    <row r="1408" spans="6:7">
      <c r="F1408" s="123"/>
      <c r="G1408" s="10"/>
    </row>
    <row r="1409" spans="6:7">
      <c r="F1409" s="123"/>
      <c r="G1409" s="10"/>
    </row>
    <row r="1410" spans="6:7">
      <c r="F1410" s="123"/>
      <c r="G1410" s="10"/>
    </row>
    <row r="1411" spans="6:7">
      <c r="F1411" s="123"/>
      <c r="G1411" s="10"/>
    </row>
    <row r="1412" spans="6:7">
      <c r="F1412" s="123"/>
      <c r="G1412" s="10"/>
    </row>
    <row r="1413" spans="6:7">
      <c r="F1413" s="123"/>
      <c r="G1413" s="10"/>
    </row>
    <row r="1414" spans="6:7">
      <c r="F1414" s="123"/>
      <c r="G1414" s="10"/>
    </row>
    <row r="1415" spans="6:7">
      <c r="F1415" s="123"/>
      <c r="G1415" s="10"/>
    </row>
    <row r="1416" spans="6:7">
      <c r="F1416" s="123"/>
      <c r="G1416" s="10"/>
    </row>
    <row r="1417" spans="6:7">
      <c r="F1417" s="123"/>
      <c r="G1417" s="10"/>
    </row>
    <row r="1418" spans="6:7">
      <c r="F1418" s="123"/>
      <c r="G1418" s="10"/>
    </row>
    <row r="1419" spans="6:7">
      <c r="F1419" s="123"/>
      <c r="G1419" s="10"/>
    </row>
    <row r="1420" spans="6:7">
      <c r="F1420" s="123"/>
      <c r="G1420" s="10"/>
    </row>
    <row r="1421" spans="6:7">
      <c r="F1421" s="123"/>
      <c r="G1421" s="10"/>
    </row>
    <row r="1422" spans="6:7">
      <c r="F1422" s="123"/>
      <c r="G1422" s="10"/>
    </row>
    <row r="1423" spans="6:7">
      <c r="F1423" s="123"/>
      <c r="G1423" s="10"/>
    </row>
    <row r="1424" spans="6:7">
      <c r="F1424" s="123"/>
      <c r="G1424" s="10"/>
    </row>
    <row r="1425" spans="6:7">
      <c r="F1425" s="123"/>
      <c r="G1425" s="10"/>
    </row>
    <row r="1426" spans="6:7">
      <c r="F1426" s="123"/>
      <c r="G1426" s="10"/>
    </row>
    <row r="1427" spans="6:7">
      <c r="F1427" s="123"/>
      <c r="G1427" s="10"/>
    </row>
    <row r="1428" spans="6:7">
      <c r="F1428" s="123"/>
      <c r="G1428" s="10"/>
    </row>
    <row r="1429" spans="6:7">
      <c r="F1429" s="123"/>
      <c r="G1429" s="10"/>
    </row>
    <row r="1430" spans="6:7">
      <c r="F1430" s="123"/>
      <c r="G1430" s="10"/>
    </row>
    <row r="1431" spans="6:7">
      <c r="F1431" s="123"/>
      <c r="G1431" s="10"/>
    </row>
    <row r="1432" spans="6:7">
      <c r="F1432" s="123"/>
      <c r="G1432" s="10"/>
    </row>
    <row r="1433" spans="6:7">
      <c r="F1433" s="123"/>
      <c r="G1433" s="10"/>
    </row>
    <row r="1434" spans="6:7">
      <c r="F1434" s="123"/>
      <c r="G1434" s="10"/>
    </row>
    <row r="1435" spans="6:7">
      <c r="F1435" s="123"/>
      <c r="G1435" s="10"/>
    </row>
    <row r="1436" spans="6:7">
      <c r="F1436" s="123"/>
      <c r="G1436" s="10"/>
    </row>
    <row r="1437" spans="6:7">
      <c r="F1437" s="123"/>
      <c r="G1437" s="10"/>
    </row>
    <row r="1438" spans="6:7">
      <c r="F1438" s="123"/>
      <c r="G1438" s="10"/>
    </row>
    <row r="1439" spans="6:7">
      <c r="F1439" s="123"/>
      <c r="G1439" s="10"/>
    </row>
    <row r="1440" spans="6:7">
      <c r="F1440" s="123"/>
      <c r="G1440" s="10"/>
    </row>
    <row r="1441" spans="6:7">
      <c r="F1441" s="123"/>
      <c r="G1441" s="10"/>
    </row>
    <row r="1442" spans="6:7">
      <c r="F1442" s="123"/>
      <c r="G1442" s="10"/>
    </row>
    <row r="1443" spans="6:7">
      <c r="F1443" s="123"/>
      <c r="G1443" s="10"/>
    </row>
    <row r="1444" spans="6:7">
      <c r="F1444" s="123"/>
      <c r="G1444" s="10"/>
    </row>
    <row r="1445" spans="6:7">
      <c r="F1445" s="123"/>
      <c r="G1445" s="10"/>
    </row>
    <row r="1446" spans="6:7">
      <c r="F1446" s="123"/>
      <c r="G1446" s="10"/>
    </row>
    <row r="1447" spans="6:7">
      <c r="F1447" s="123"/>
      <c r="G1447" s="10"/>
    </row>
    <row r="1448" spans="6:7">
      <c r="F1448" s="123"/>
      <c r="G1448" s="10"/>
    </row>
    <row r="1449" spans="6:7">
      <c r="F1449" s="123"/>
      <c r="G1449" s="10"/>
    </row>
    <row r="1450" spans="6:7">
      <c r="F1450" s="123"/>
      <c r="G1450" s="10"/>
    </row>
    <row r="1451" spans="6:7">
      <c r="F1451" s="123"/>
      <c r="G1451" s="10"/>
    </row>
    <row r="1452" spans="6:7">
      <c r="F1452" s="123"/>
      <c r="G1452" s="10"/>
    </row>
    <row r="1453" spans="6:7">
      <c r="F1453" s="123"/>
      <c r="G1453" s="10"/>
    </row>
    <row r="1454" spans="6:7">
      <c r="F1454" s="123"/>
      <c r="G1454" s="10"/>
    </row>
    <row r="1455" spans="6:7">
      <c r="F1455" s="123"/>
      <c r="G1455" s="10"/>
    </row>
    <row r="1456" spans="6:7">
      <c r="F1456" s="123"/>
      <c r="G1456" s="10"/>
    </row>
    <row r="1457" spans="6:7">
      <c r="F1457" s="123"/>
      <c r="G1457" s="10"/>
    </row>
    <row r="1458" spans="6:7">
      <c r="F1458" s="123"/>
      <c r="G1458" s="10"/>
    </row>
    <row r="1459" spans="6:7">
      <c r="F1459" s="123"/>
      <c r="G1459" s="10"/>
    </row>
    <row r="1460" spans="6:7">
      <c r="F1460" s="123"/>
      <c r="G1460" s="10"/>
    </row>
    <row r="1461" spans="6:7">
      <c r="F1461" s="123"/>
      <c r="G1461" s="10"/>
    </row>
    <row r="1462" spans="6:7">
      <c r="F1462" s="123"/>
      <c r="G1462" s="10"/>
    </row>
    <row r="1463" spans="6:7">
      <c r="F1463" s="123"/>
      <c r="G1463" s="10"/>
    </row>
    <row r="1464" spans="6:7">
      <c r="F1464" s="123"/>
      <c r="G1464" s="10"/>
    </row>
    <row r="1465" spans="6:7">
      <c r="F1465" s="123"/>
      <c r="G1465" s="10"/>
    </row>
    <row r="1466" spans="6:7">
      <c r="F1466" s="123"/>
      <c r="G1466" s="10"/>
    </row>
    <row r="1467" spans="6:7">
      <c r="F1467" s="123"/>
      <c r="G1467" s="10"/>
    </row>
    <row r="1468" spans="6:7">
      <c r="F1468" s="123"/>
      <c r="G1468" s="10"/>
    </row>
    <row r="1469" spans="6:7">
      <c r="F1469" s="123"/>
      <c r="G1469" s="10"/>
    </row>
    <row r="1470" spans="6:7">
      <c r="F1470" s="123"/>
      <c r="G1470" s="10"/>
    </row>
    <row r="1471" spans="6:7">
      <c r="F1471" s="123"/>
      <c r="G1471" s="10"/>
    </row>
    <row r="1472" spans="6:7">
      <c r="F1472" s="123"/>
      <c r="G1472" s="10"/>
    </row>
    <row r="1473" spans="6:7">
      <c r="F1473" s="123"/>
      <c r="G1473" s="10"/>
    </row>
    <row r="1474" spans="6:7">
      <c r="F1474" s="123"/>
      <c r="G1474" s="10"/>
    </row>
    <row r="1475" spans="6:7">
      <c r="F1475" s="123"/>
      <c r="G1475" s="10"/>
    </row>
    <row r="1476" spans="6:7">
      <c r="F1476" s="123"/>
      <c r="G1476" s="10"/>
    </row>
    <row r="1477" spans="6:7">
      <c r="F1477" s="123"/>
      <c r="G1477" s="10"/>
    </row>
    <row r="1478" spans="6:7">
      <c r="F1478" s="123"/>
      <c r="G1478" s="10"/>
    </row>
    <row r="1479" spans="6:7">
      <c r="F1479" s="123"/>
      <c r="G1479" s="10"/>
    </row>
    <row r="1480" spans="6:7">
      <c r="F1480" s="123"/>
      <c r="G1480" s="10"/>
    </row>
    <row r="1481" spans="6:7">
      <c r="F1481" s="123"/>
      <c r="G1481" s="10"/>
    </row>
    <row r="1482" spans="6:7">
      <c r="F1482" s="123"/>
      <c r="G1482" s="10"/>
    </row>
    <row r="1483" spans="6:7">
      <c r="F1483" s="123"/>
      <c r="G1483" s="10"/>
    </row>
    <row r="1484" spans="6:7">
      <c r="F1484" s="123"/>
      <c r="G1484" s="10"/>
    </row>
    <row r="1485" spans="6:7">
      <c r="F1485" s="123"/>
      <c r="G1485" s="10"/>
    </row>
    <row r="1486" spans="6:7">
      <c r="F1486" s="123"/>
      <c r="G1486" s="10"/>
    </row>
    <row r="1487" spans="6:7">
      <c r="F1487" s="123"/>
      <c r="G1487" s="10"/>
    </row>
    <row r="1488" spans="6:7">
      <c r="F1488" s="123"/>
      <c r="G1488" s="10"/>
    </row>
    <row r="1489" spans="6:7">
      <c r="F1489" s="123"/>
      <c r="G1489" s="10"/>
    </row>
    <row r="1490" spans="6:7">
      <c r="F1490" s="123"/>
      <c r="G1490" s="10"/>
    </row>
    <row r="1491" spans="6:7">
      <c r="F1491" s="123"/>
      <c r="G1491" s="10"/>
    </row>
    <row r="1492" spans="6:7">
      <c r="F1492" s="123"/>
      <c r="G1492" s="10"/>
    </row>
    <row r="1493" spans="6:7">
      <c r="F1493" s="123"/>
      <c r="G1493" s="10"/>
    </row>
    <row r="1494" spans="6:7">
      <c r="F1494" s="123"/>
      <c r="G1494" s="10"/>
    </row>
    <row r="1495" spans="6:7">
      <c r="F1495" s="123"/>
      <c r="G1495" s="10"/>
    </row>
    <row r="1496" spans="6:7">
      <c r="F1496" s="123"/>
      <c r="G1496" s="10"/>
    </row>
    <row r="1497" spans="6:7">
      <c r="F1497" s="123"/>
      <c r="G1497" s="10"/>
    </row>
    <row r="1498" spans="6:7">
      <c r="F1498" s="123"/>
      <c r="G1498" s="10"/>
    </row>
    <row r="1499" spans="6:7">
      <c r="F1499" s="123"/>
      <c r="G1499" s="10"/>
    </row>
    <row r="1500" spans="6:7">
      <c r="F1500" s="123"/>
      <c r="G1500" s="10"/>
    </row>
    <row r="1501" spans="6:7">
      <c r="F1501" s="123"/>
      <c r="G1501" s="10"/>
    </row>
    <row r="1502" spans="6:7">
      <c r="F1502" s="123"/>
      <c r="G1502" s="10"/>
    </row>
    <row r="1503" spans="6:7">
      <c r="F1503" s="123"/>
      <c r="G1503" s="10"/>
    </row>
    <row r="1504" spans="6:7">
      <c r="F1504" s="123"/>
      <c r="G1504" s="10"/>
    </row>
    <row r="1505" spans="6:7">
      <c r="F1505" s="123"/>
      <c r="G1505" s="10"/>
    </row>
    <row r="1506" spans="6:7">
      <c r="F1506" s="123"/>
      <c r="G1506" s="10"/>
    </row>
    <row r="1507" spans="6:7">
      <c r="F1507" s="123"/>
      <c r="G1507" s="10"/>
    </row>
    <row r="1508" spans="6:7">
      <c r="F1508" s="123"/>
      <c r="G1508" s="10"/>
    </row>
    <row r="1509" spans="6:7">
      <c r="F1509" s="123"/>
      <c r="G1509" s="10"/>
    </row>
    <row r="1510" spans="6:7">
      <c r="F1510" s="123"/>
      <c r="G1510" s="10"/>
    </row>
    <row r="1511" spans="6:7">
      <c r="F1511" s="123"/>
      <c r="G1511" s="10"/>
    </row>
    <row r="1512" spans="6:7">
      <c r="F1512" s="123"/>
      <c r="G1512" s="10"/>
    </row>
    <row r="1513" spans="6:7">
      <c r="F1513" s="123"/>
      <c r="G1513" s="10"/>
    </row>
    <row r="1514" spans="6:7">
      <c r="F1514" s="123"/>
      <c r="G1514" s="10"/>
    </row>
    <row r="1515" spans="6:7">
      <c r="F1515" s="123"/>
      <c r="G1515" s="10"/>
    </row>
    <row r="1516" spans="6:7">
      <c r="F1516" s="123"/>
      <c r="G1516" s="10"/>
    </row>
    <row r="1517" spans="6:7">
      <c r="F1517" s="123"/>
      <c r="G1517" s="10"/>
    </row>
    <row r="1518" spans="6:7">
      <c r="F1518" s="123"/>
      <c r="G1518" s="10"/>
    </row>
    <row r="1519" spans="6:7">
      <c r="F1519" s="123"/>
      <c r="G1519" s="10"/>
    </row>
    <row r="1520" spans="6:7">
      <c r="F1520" s="123"/>
      <c r="G1520" s="10"/>
    </row>
    <row r="1521" spans="6:7">
      <c r="F1521" s="123"/>
      <c r="G1521" s="10"/>
    </row>
    <row r="1522" spans="6:7">
      <c r="F1522" s="123"/>
      <c r="G1522" s="10"/>
    </row>
    <row r="1523" spans="6:7">
      <c r="F1523" s="123"/>
      <c r="G1523" s="10"/>
    </row>
    <row r="1524" spans="6:7">
      <c r="F1524" s="123"/>
      <c r="G1524" s="10"/>
    </row>
    <row r="1525" spans="6:7">
      <c r="F1525" s="123"/>
      <c r="G1525" s="10"/>
    </row>
    <row r="1526" spans="6:7">
      <c r="F1526" s="123"/>
      <c r="G1526" s="10"/>
    </row>
    <row r="1527" spans="6:7">
      <c r="F1527" s="123"/>
      <c r="G1527" s="10"/>
    </row>
    <row r="1528" spans="6:7">
      <c r="F1528" s="123"/>
      <c r="G1528" s="10"/>
    </row>
    <row r="1529" spans="6:7">
      <c r="F1529" s="123"/>
      <c r="G1529" s="10"/>
    </row>
    <row r="1530" spans="6:7">
      <c r="F1530" s="123"/>
      <c r="G1530" s="10"/>
    </row>
    <row r="1531" spans="6:7">
      <c r="F1531" s="123"/>
      <c r="G1531" s="10"/>
    </row>
    <row r="1532" spans="6:7">
      <c r="F1532" s="123"/>
      <c r="G1532" s="10"/>
    </row>
    <row r="1533" spans="6:7">
      <c r="F1533" s="123"/>
      <c r="G1533" s="10"/>
    </row>
    <row r="1534" spans="6:7">
      <c r="F1534" s="123"/>
      <c r="G1534" s="10"/>
    </row>
    <row r="1535" spans="6:7">
      <c r="F1535" s="123"/>
      <c r="G1535" s="10"/>
    </row>
    <row r="1536" spans="6:7">
      <c r="F1536" s="123"/>
      <c r="G1536" s="10"/>
    </row>
    <row r="1537" spans="6:7">
      <c r="F1537" s="123"/>
      <c r="G1537" s="10"/>
    </row>
    <row r="1538" spans="6:7">
      <c r="F1538" s="123"/>
      <c r="G1538" s="10"/>
    </row>
    <row r="1539" spans="6:7">
      <c r="F1539" s="123"/>
      <c r="G1539" s="10"/>
    </row>
    <row r="1540" spans="6:7">
      <c r="F1540" s="123"/>
      <c r="G1540" s="10"/>
    </row>
    <row r="1541" spans="6:7">
      <c r="F1541" s="123"/>
      <c r="G1541" s="10"/>
    </row>
    <row r="1542" spans="6:7">
      <c r="F1542" s="123"/>
      <c r="G1542" s="10"/>
    </row>
    <row r="1543" spans="6:7">
      <c r="F1543" s="123"/>
      <c r="G1543" s="10"/>
    </row>
    <row r="1544" spans="6:7">
      <c r="F1544" s="123"/>
      <c r="G1544" s="10"/>
    </row>
    <row r="1545" spans="6:7">
      <c r="F1545" s="123"/>
      <c r="G1545" s="10"/>
    </row>
    <row r="1546" spans="6:7">
      <c r="F1546" s="123"/>
      <c r="G1546" s="10"/>
    </row>
    <row r="1547" spans="6:7">
      <c r="F1547" s="123"/>
      <c r="G1547" s="10"/>
    </row>
    <row r="1548" spans="6:7">
      <c r="F1548" s="123"/>
      <c r="G1548" s="10"/>
    </row>
    <row r="1549" spans="6:7">
      <c r="F1549" s="123"/>
      <c r="G1549" s="10"/>
    </row>
    <row r="1550" spans="6:7">
      <c r="F1550" s="123"/>
      <c r="G1550" s="10"/>
    </row>
    <row r="1551" spans="6:7">
      <c r="F1551" s="123"/>
      <c r="G1551" s="10"/>
    </row>
    <row r="1552" spans="6:7">
      <c r="F1552" s="123"/>
      <c r="G1552" s="10"/>
    </row>
    <row r="1553" spans="6:7">
      <c r="F1553" s="123"/>
      <c r="G1553" s="10"/>
    </row>
    <row r="1554" spans="6:7">
      <c r="F1554" s="123"/>
      <c r="G1554" s="10"/>
    </row>
    <row r="1555" spans="6:7">
      <c r="F1555" s="123"/>
      <c r="G1555" s="10"/>
    </row>
    <row r="1556" spans="6:7">
      <c r="F1556" s="123"/>
      <c r="G1556" s="10"/>
    </row>
    <row r="1557" spans="6:7">
      <c r="F1557" s="123"/>
      <c r="G1557" s="10"/>
    </row>
    <row r="1558" spans="6:7">
      <c r="F1558" s="123"/>
      <c r="G1558" s="10"/>
    </row>
    <row r="1559" spans="6:7">
      <c r="F1559" s="123"/>
      <c r="G1559" s="10"/>
    </row>
    <row r="1560" spans="6:7">
      <c r="F1560" s="123"/>
      <c r="G1560" s="10"/>
    </row>
    <row r="1561" spans="6:7">
      <c r="F1561" s="123"/>
      <c r="G1561" s="10"/>
    </row>
    <row r="1562" spans="6:7">
      <c r="F1562" s="123"/>
      <c r="G1562" s="10"/>
    </row>
    <row r="1563" spans="6:7">
      <c r="F1563" s="123"/>
      <c r="G1563" s="10"/>
    </row>
    <row r="1564" spans="6:7">
      <c r="F1564" s="123"/>
      <c r="G1564" s="10"/>
    </row>
    <row r="1565" spans="6:7">
      <c r="F1565" s="123"/>
      <c r="G1565" s="10"/>
    </row>
    <row r="1566" spans="6:7">
      <c r="F1566" s="123"/>
      <c r="G1566" s="10"/>
    </row>
    <row r="1567" spans="6:7">
      <c r="F1567" s="123"/>
      <c r="G1567" s="10"/>
    </row>
    <row r="1568" spans="6:7">
      <c r="F1568" s="123"/>
      <c r="G1568" s="10"/>
    </row>
    <row r="1569" spans="6:7">
      <c r="F1569" s="123"/>
      <c r="G1569" s="10"/>
    </row>
    <row r="1570" spans="6:7">
      <c r="F1570" s="123"/>
      <c r="G1570" s="10"/>
    </row>
    <row r="1571" spans="6:7">
      <c r="F1571" s="123"/>
      <c r="G1571" s="10"/>
    </row>
    <row r="1572" spans="6:7">
      <c r="F1572" s="123"/>
      <c r="G1572" s="10"/>
    </row>
    <row r="1573" spans="6:7">
      <c r="F1573" s="123"/>
      <c r="G1573" s="10"/>
    </row>
    <row r="1574" spans="6:7">
      <c r="F1574" s="123"/>
      <c r="G1574" s="10"/>
    </row>
    <row r="1575" spans="6:7">
      <c r="F1575" s="123"/>
      <c r="G1575" s="10"/>
    </row>
    <row r="1576" spans="6:7">
      <c r="F1576" s="123"/>
      <c r="G1576" s="10"/>
    </row>
    <row r="1577" spans="6:7">
      <c r="F1577" s="123"/>
      <c r="G1577" s="10"/>
    </row>
    <row r="1578" spans="6:7">
      <c r="F1578" s="123"/>
      <c r="G1578" s="10"/>
    </row>
    <row r="1579" spans="6:7">
      <c r="F1579" s="123"/>
      <c r="G1579" s="10"/>
    </row>
    <row r="1580" spans="6:7">
      <c r="F1580" s="123"/>
      <c r="G1580" s="10"/>
    </row>
    <row r="1581" spans="6:7">
      <c r="F1581" s="123"/>
      <c r="G1581" s="10"/>
    </row>
    <row r="1582" spans="6:7">
      <c r="F1582" s="123"/>
      <c r="G1582" s="10"/>
    </row>
    <row r="1583" spans="6:7">
      <c r="F1583" s="123"/>
      <c r="G1583" s="10"/>
    </row>
    <row r="1584" spans="6:7">
      <c r="F1584" s="123"/>
      <c r="G1584" s="10"/>
    </row>
    <row r="1585" spans="6:7">
      <c r="F1585" s="123"/>
      <c r="G1585" s="10"/>
    </row>
    <row r="1586" spans="6:7">
      <c r="F1586" s="123"/>
      <c r="G1586" s="10"/>
    </row>
    <row r="1587" spans="6:7">
      <c r="F1587" s="123"/>
      <c r="G1587" s="10"/>
    </row>
    <row r="1588" spans="6:7">
      <c r="F1588" s="123"/>
      <c r="G1588" s="10"/>
    </row>
    <row r="1589" spans="6:7">
      <c r="F1589" s="123"/>
      <c r="G1589" s="10"/>
    </row>
    <row r="1590" spans="6:7">
      <c r="F1590" s="123"/>
      <c r="G1590" s="10"/>
    </row>
    <row r="1591" spans="6:7">
      <c r="F1591" s="123"/>
      <c r="G1591" s="10"/>
    </row>
    <row r="1592" spans="6:7">
      <c r="F1592" s="123"/>
      <c r="G1592" s="10"/>
    </row>
    <row r="1593" spans="6:7">
      <c r="F1593" s="123"/>
      <c r="G1593" s="10"/>
    </row>
    <row r="1594" spans="6:7">
      <c r="F1594" s="123"/>
      <c r="G1594" s="10"/>
    </row>
    <row r="1595" spans="6:7">
      <c r="F1595" s="123"/>
      <c r="G1595" s="10"/>
    </row>
    <row r="1596" spans="6:7">
      <c r="F1596" s="123"/>
      <c r="G1596" s="10"/>
    </row>
    <row r="1597" spans="6:7">
      <c r="F1597" s="123"/>
      <c r="G1597" s="10"/>
    </row>
    <row r="1598" spans="6:7">
      <c r="F1598" s="123"/>
      <c r="G1598" s="10"/>
    </row>
    <row r="1599" spans="6:7">
      <c r="F1599" s="123"/>
      <c r="G1599" s="10"/>
    </row>
    <row r="1600" spans="6:7">
      <c r="F1600" s="123"/>
      <c r="G1600" s="10"/>
    </row>
    <row r="1601" spans="6:7">
      <c r="F1601" s="123"/>
      <c r="G1601" s="10"/>
    </row>
    <row r="1602" spans="6:7">
      <c r="F1602" s="123"/>
      <c r="G1602" s="10"/>
    </row>
    <row r="1603" spans="6:7">
      <c r="F1603" s="123"/>
      <c r="G1603" s="10"/>
    </row>
    <row r="1604" spans="6:7">
      <c r="F1604" s="123"/>
      <c r="G1604" s="10"/>
    </row>
    <row r="1605" spans="6:7">
      <c r="F1605" s="123"/>
      <c r="G1605" s="10"/>
    </row>
    <row r="1606" spans="6:7">
      <c r="F1606" s="123"/>
      <c r="G1606" s="10"/>
    </row>
    <row r="1607" spans="6:7">
      <c r="F1607" s="123"/>
      <c r="G1607" s="10"/>
    </row>
    <row r="1608" spans="6:7">
      <c r="F1608" s="123"/>
      <c r="G1608" s="10"/>
    </row>
    <row r="1609" spans="6:7">
      <c r="F1609" s="123"/>
      <c r="G1609" s="10"/>
    </row>
    <row r="1610" spans="6:7">
      <c r="F1610" s="123"/>
      <c r="G1610" s="10"/>
    </row>
    <row r="1611" spans="6:7">
      <c r="F1611" s="123"/>
      <c r="G1611" s="10"/>
    </row>
    <row r="1612" spans="6:7">
      <c r="F1612" s="123"/>
      <c r="G1612" s="10"/>
    </row>
    <row r="1613" spans="6:7">
      <c r="F1613" s="123"/>
      <c r="G1613" s="10"/>
    </row>
    <row r="1614" spans="6:7">
      <c r="F1614" s="123"/>
      <c r="G1614" s="10"/>
    </row>
    <row r="1615" spans="6:7">
      <c r="F1615" s="123"/>
      <c r="G1615" s="10"/>
    </row>
    <row r="1616" spans="6:7">
      <c r="F1616" s="123"/>
      <c r="G1616" s="10"/>
    </row>
    <row r="1617" spans="6:7">
      <c r="F1617" s="123"/>
      <c r="G1617" s="10"/>
    </row>
    <row r="1618" spans="6:7">
      <c r="F1618" s="123"/>
      <c r="G1618" s="10"/>
    </row>
    <row r="1619" spans="6:7">
      <c r="F1619" s="123"/>
      <c r="G1619" s="10"/>
    </row>
    <row r="1620" spans="6:7">
      <c r="F1620" s="123"/>
      <c r="G1620" s="10"/>
    </row>
    <row r="1621" spans="6:7">
      <c r="F1621" s="123"/>
      <c r="G1621" s="10"/>
    </row>
    <row r="1622" spans="6:7">
      <c r="F1622" s="123"/>
      <c r="G1622" s="10"/>
    </row>
    <row r="1623" spans="6:7">
      <c r="F1623" s="123"/>
      <c r="G1623" s="10"/>
    </row>
    <row r="1624" spans="6:7">
      <c r="F1624" s="123"/>
      <c r="G1624" s="10"/>
    </row>
    <row r="1625" spans="6:7">
      <c r="F1625" s="123"/>
      <c r="G1625" s="10"/>
    </row>
    <row r="1626" spans="6:7">
      <c r="F1626" s="123"/>
      <c r="G1626" s="10"/>
    </row>
    <row r="1627" spans="6:7">
      <c r="F1627" s="123"/>
      <c r="G1627" s="10"/>
    </row>
    <row r="1628" spans="6:7">
      <c r="F1628" s="123"/>
      <c r="G1628" s="10"/>
    </row>
    <row r="1629" spans="6:7">
      <c r="F1629" s="123"/>
      <c r="G1629" s="10"/>
    </row>
    <row r="1630" spans="6:7">
      <c r="F1630" s="123"/>
      <c r="G1630" s="10"/>
    </row>
    <row r="1631" spans="6:7">
      <c r="F1631" s="123"/>
      <c r="G1631" s="10"/>
    </row>
    <row r="1632" spans="6:7">
      <c r="F1632" s="123"/>
      <c r="G1632" s="10"/>
    </row>
    <row r="1633" spans="6:7">
      <c r="F1633" s="123"/>
      <c r="G1633" s="10"/>
    </row>
    <row r="1634" spans="6:7">
      <c r="F1634" s="123"/>
      <c r="G1634" s="10"/>
    </row>
    <row r="1635" spans="6:7">
      <c r="F1635" s="123"/>
      <c r="G1635" s="10"/>
    </row>
    <row r="1636" spans="6:7">
      <c r="F1636" s="123"/>
      <c r="G1636" s="10"/>
    </row>
    <row r="1637" spans="6:7">
      <c r="F1637" s="123"/>
      <c r="G1637" s="10"/>
    </row>
    <row r="1638" spans="6:7">
      <c r="F1638" s="123"/>
      <c r="G1638" s="10"/>
    </row>
    <row r="1639" spans="6:7">
      <c r="F1639" s="123"/>
      <c r="G1639" s="10"/>
    </row>
    <row r="1640" spans="6:7">
      <c r="F1640" s="123"/>
      <c r="G1640" s="10"/>
    </row>
    <row r="1641" spans="6:7">
      <c r="F1641" s="123"/>
      <c r="G1641" s="10"/>
    </row>
    <row r="1642" spans="6:7">
      <c r="F1642" s="123"/>
      <c r="G1642" s="10"/>
    </row>
    <row r="1643" spans="6:7">
      <c r="F1643" s="123"/>
      <c r="G1643" s="10"/>
    </row>
    <row r="1644" spans="6:7">
      <c r="F1644" s="123"/>
      <c r="G1644" s="10"/>
    </row>
    <row r="1645" spans="6:7">
      <c r="F1645" s="123"/>
      <c r="G1645" s="10"/>
    </row>
    <row r="1646" spans="6:7">
      <c r="F1646" s="123"/>
      <c r="G1646" s="10"/>
    </row>
    <row r="1647" spans="6:7">
      <c r="F1647" s="123"/>
      <c r="G1647" s="10"/>
    </row>
    <row r="1648" spans="6:7">
      <c r="F1648" s="123"/>
      <c r="G1648" s="10"/>
    </row>
    <row r="1649" spans="6:7">
      <c r="F1649" s="123"/>
      <c r="G1649" s="10"/>
    </row>
    <row r="1650" spans="6:7">
      <c r="F1650" s="123"/>
      <c r="G1650" s="10"/>
    </row>
    <row r="1651" spans="6:7">
      <c r="F1651" s="123"/>
      <c r="G1651" s="10"/>
    </row>
    <row r="1652" spans="6:7">
      <c r="F1652" s="123"/>
      <c r="G1652" s="10"/>
    </row>
    <row r="1653" spans="6:7">
      <c r="F1653" s="123"/>
      <c r="G1653" s="10"/>
    </row>
    <row r="1654" spans="6:7">
      <c r="F1654" s="123"/>
      <c r="G1654" s="10"/>
    </row>
    <row r="1655" spans="6:7">
      <c r="F1655" s="123"/>
      <c r="G1655" s="10"/>
    </row>
    <row r="1656" spans="6:7">
      <c r="F1656" s="123"/>
      <c r="G1656" s="10"/>
    </row>
    <row r="1657" spans="6:7">
      <c r="F1657" s="123"/>
      <c r="G1657" s="10"/>
    </row>
    <row r="1658" spans="6:7">
      <c r="F1658" s="123"/>
      <c r="G1658" s="10"/>
    </row>
    <row r="1659" spans="6:7">
      <c r="F1659" s="123"/>
      <c r="G1659" s="10"/>
    </row>
    <row r="1660" spans="6:7">
      <c r="F1660" s="123"/>
      <c r="G1660" s="10"/>
    </row>
    <row r="1661" spans="6:7">
      <c r="F1661" s="123"/>
      <c r="G1661" s="10"/>
    </row>
    <row r="1662" spans="6:7">
      <c r="F1662" s="123"/>
      <c r="G1662" s="10"/>
    </row>
    <row r="1663" spans="6:7">
      <c r="F1663" s="123"/>
      <c r="G1663" s="10"/>
    </row>
    <row r="1664" spans="6:7">
      <c r="F1664" s="123"/>
      <c r="G1664" s="10"/>
    </row>
    <row r="1665" spans="6:7">
      <c r="F1665" s="123"/>
      <c r="G1665" s="10"/>
    </row>
    <row r="1666" spans="6:7">
      <c r="F1666" s="123"/>
      <c r="G1666" s="10"/>
    </row>
    <row r="1667" spans="6:7">
      <c r="F1667" s="123"/>
      <c r="G1667" s="10"/>
    </row>
    <row r="1668" spans="6:7">
      <c r="F1668" s="123"/>
      <c r="G1668" s="10"/>
    </row>
    <row r="1669" spans="6:7">
      <c r="F1669" s="123"/>
      <c r="G1669" s="10"/>
    </row>
    <row r="1670" spans="6:7">
      <c r="F1670" s="123"/>
      <c r="G1670" s="10"/>
    </row>
    <row r="1671" spans="6:7">
      <c r="F1671" s="123"/>
      <c r="G1671" s="10"/>
    </row>
    <row r="1672" spans="6:7">
      <c r="F1672" s="123"/>
      <c r="G1672" s="10"/>
    </row>
    <row r="1673" spans="6:7">
      <c r="F1673" s="123"/>
      <c r="G1673" s="10"/>
    </row>
    <row r="1674" spans="6:7">
      <c r="F1674" s="123"/>
      <c r="G1674" s="10"/>
    </row>
    <row r="1675" spans="6:7">
      <c r="F1675" s="123"/>
      <c r="G1675" s="10"/>
    </row>
    <row r="1676" spans="6:7">
      <c r="F1676" s="123"/>
      <c r="G1676" s="10"/>
    </row>
    <row r="1677" spans="6:7">
      <c r="F1677" s="123"/>
      <c r="G1677" s="10"/>
    </row>
    <row r="1678" spans="6:7">
      <c r="F1678" s="123"/>
      <c r="G1678" s="10"/>
    </row>
    <row r="1679" spans="6:7">
      <c r="F1679" s="123"/>
      <c r="G1679" s="10"/>
    </row>
    <row r="1680" spans="6:7">
      <c r="F1680" s="123"/>
      <c r="G1680" s="10"/>
    </row>
    <row r="1681" spans="6:7">
      <c r="F1681" s="123"/>
      <c r="G1681" s="10"/>
    </row>
    <row r="1682" spans="6:7">
      <c r="F1682" s="123"/>
      <c r="G1682" s="10"/>
    </row>
    <row r="1683" spans="6:7">
      <c r="F1683" s="123"/>
      <c r="G1683" s="10"/>
    </row>
    <row r="1684" spans="6:7">
      <c r="F1684" s="123"/>
      <c r="G1684" s="10"/>
    </row>
    <row r="1685" spans="6:7">
      <c r="F1685" s="123"/>
      <c r="G1685" s="10"/>
    </row>
    <row r="1686" spans="6:7">
      <c r="F1686" s="123"/>
      <c r="G1686" s="10"/>
    </row>
    <row r="1687" spans="6:7">
      <c r="F1687" s="123"/>
      <c r="G1687" s="10"/>
    </row>
    <row r="1688" spans="6:7">
      <c r="F1688" s="123"/>
      <c r="G1688" s="10"/>
    </row>
    <row r="1689" spans="6:7">
      <c r="F1689" s="123"/>
      <c r="G1689" s="10"/>
    </row>
    <row r="1690" spans="6:7">
      <c r="F1690" s="123"/>
      <c r="G1690" s="10"/>
    </row>
    <row r="1691" spans="6:7">
      <c r="F1691" s="123"/>
      <c r="G1691" s="10"/>
    </row>
    <row r="1692" spans="6:7">
      <c r="F1692" s="123"/>
      <c r="G1692" s="10"/>
    </row>
    <row r="1693" spans="6:7">
      <c r="F1693" s="123"/>
      <c r="G1693" s="10"/>
    </row>
    <row r="1694" spans="6:7">
      <c r="F1694" s="123"/>
      <c r="G1694" s="10"/>
    </row>
    <row r="1695" spans="6:7">
      <c r="F1695" s="123"/>
      <c r="G1695" s="10"/>
    </row>
    <row r="1696" spans="6:7">
      <c r="F1696" s="123"/>
      <c r="G1696" s="10"/>
    </row>
    <row r="1697" spans="6:7">
      <c r="F1697" s="123"/>
      <c r="G1697" s="10"/>
    </row>
    <row r="1698" spans="6:7">
      <c r="F1698" s="123"/>
      <c r="G1698" s="10"/>
    </row>
    <row r="1699" spans="6:7">
      <c r="F1699" s="123"/>
      <c r="G1699" s="10"/>
    </row>
    <row r="1700" spans="6:7">
      <c r="F1700" s="123"/>
      <c r="G1700" s="10"/>
    </row>
    <row r="1701" spans="6:7">
      <c r="F1701" s="123"/>
      <c r="G1701" s="10"/>
    </row>
    <row r="1702" spans="6:7">
      <c r="F1702" s="123"/>
      <c r="G1702" s="10"/>
    </row>
    <row r="1703" spans="6:7">
      <c r="F1703" s="123"/>
      <c r="G1703" s="10"/>
    </row>
    <row r="1704" spans="6:7">
      <c r="F1704" s="123"/>
      <c r="G1704" s="10"/>
    </row>
    <row r="1705" spans="6:7">
      <c r="F1705" s="123"/>
      <c r="G1705" s="10"/>
    </row>
    <row r="1706" spans="6:7">
      <c r="F1706" s="123"/>
      <c r="G1706" s="10"/>
    </row>
    <row r="1707" spans="6:7">
      <c r="F1707" s="123"/>
      <c r="G1707" s="10"/>
    </row>
    <row r="1708" spans="6:7">
      <c r="F1708" s="123"/>
      <c r="G1708" s="10"/>
    </row>
    <row r="1709" spans="6:7">
      <c r="F1709" s="123"/>
      <c r="G1709" s="10"/>
    </row>
    <row r="1710" spans="6:7">
      <c r="F1710" s="123"/>
      <c r="G1710" s="10"/>
    </row>
    <row r="1711" spans="6:7">
      <c r="F1711" s="123"/>
      <c r="G1711" s="10"/>
    </row>
    <row r="1712" spans="6:7">
      <c r="F1712" s="123"/>
      <c r="G1712" s="10"/>
    </row>
    <row r="1713" spans="6:7">
      <c r="F1713" s="123"/>
      <c r="G1713" s="10"/>
    </row>
    <row r="1714" spans="6:7">
      <c r="F1714" s="123"/>
      <c r="G1714" s="10"/>
    </row>
    <row r="1715" spans="6:7">
      <c r="F1715" s="123"/>
      <c r="G1715" s="10"/>
    </row>
    <row r="1716" spans="6:7">
      <c r="F1716" s="123"/>
      <c r="G1716" s="10"/>
    </row>
    <row r="1717" spans="6:7">
      <c r="F1717" s="123"/>
      <c r="G1717" s="10"/>
    </row>
    <row r="1718" spans="6:7">
      <c r="F1718" s="123"/>
      <c r="G1718" s="10"/>
    </row>
    <row r="1719" spans="6:7">
      <c r="F1719" s="123"/>
      <c r="G1719" s="10"/>
    </row>
    <row r="1720" spans="6:7">
      <c r="F1720" s="123"/>
      <c r="G1720" s="10"/>
    </row>
    <row r="1721" spans="6:7">
      <c r="F1721" s="123"/>
      <c r="G1721" s="10"/>
    </row>
    <row r="1722" spans="6:7">
      <c r="F1722" s="123"/>
      <c r="G1722" s="10"/>
    </row>
    <row r="1723" spans="6:7">
      <c r="F1723" s="123"/>
      <c r="G1723" s="10"/>
    </row>
    <row r="1724" spans="6:7">
      <c r="F1724" s="123"/>
      <c r="G1724" s="10"/>
    </row>
    <row r="1725" spans="6:7">
      <c r="F1725" s="123"/>
      <c r="G1725" s="10"/>
    </row>
    <row r="1726" spans="6:7">
      <c r="F1726" s="123"/>
      <c r="G1726" s="10"/>
    </row>
    <row r="1727" spans="6:7">
      <c r="F1727" s="123"/>
      <c r="G1727" s="10"/>
    </row>
    <row r="1728" spans="6:7">
      <c r="F1728" s="123"/>
      <c r="G1728" s="10"/>
    </row>
    <row r="1729" spans="6:7">
      <c r="F1729" s="123"/>
      <c r="G1729" s="10"/>
    </row>
    <row r="1730" spans="6:7">
      <c r="F1730" s="123"/>
      <c r="G1730" s="10"/>
    </row>
    <row r="1731" spans="6:7">
      <c r="F1731" s="123"/>
      <c r="G1731" s="10"/>
    </row>
    <row r="1732" spans="6:7">
      <c r="F1732" s="123"/>
      <c r="G1732" s="10"/>
    </row>
    <row r="1733" spans="6:7">
      <c r="F1733" s="123"/>
      <c r="G1733" s="10"/>
    </row>
    <row r="1734" spans="6:7">
      <c r="F1734" s="123"/>
      <c r="G1734" s="10"/>
    </row>
    <row r="1735" spans="6:7">
      <c r="F1735" s="123"/>
      <c r="G1735" s="10"/>
    </row>
    <row r="1736" spans="6:7">
      <c r="F1736" s="123"/>
      <c r="G1736" s="10"/>
    </row>
    <row r="1737" spans="6:7">
      <c r="F1737" s="123"/>
      <c r="G1737" s="10"/>
    </row>
    <row r="1738" spans="6:7">
      <c r="F1738" s="123"/>
      <c r="G1738" s="10"/>
    </row>
    <row r="1739" spans="6:7">
      <c r="F1739" s="123"/>
      <c r="G1739" s="10"/>
    </row>
    <row r="1740" spans="6:7">
      <c r="F1740" s="123"/>
      <c r="G1740" s="10"/>
    </row>
    <row r="1741" spans="6:7">
      <c r="F1741" s="123"/>
      <c r="G1741" s="10"/>
    </row>
    <row r="1742" spans="6:7">
      <c r="F1742" s="123"/>
      <c r="G1742" s="10"/>
    </row>
    <row r="1743" spans="6:7">
      <c r="F1743" s="123"/>
      <c r="G1743" s="10"/>
    </row>
    <row r="1744" spans="6:7">
      <c r="F1744" s="123"/>
      <c r="G1744" s="10"/>
    </row>
    <row r="1745" spans="6:7">
      <c r="F1745" s="123"/>
      <c r="G1745" s="10"/>
    </row>
    <row r="1746" spans="6:7">
      <c r="F1746" s="123"/>
      <c r="G1746" s="10"/>
    </row>
    <row r="1747" spans="6:7">
      <c r="F1747" s="123"/>
      <c r="G1747" s="10"/>
    </row>
    <row r="1748" spans="6:7">
      <c r="F1748" s="123"/>
      <c r="G1748" s="10"/>
    </row>
    <row r="1749" spans="6:7">
      <c r="F1749" s="123"/>
      <c r="G1749" s="10"/>
    </row>
    <row r="1750" spans="6:7">
      <c r="F1750" s="123"/>
      <c r="G1750" s="10"/>
    </row>
    <row r="1751" spans="6:7">
      <c r="F1751" s="123"/>
      <c r="G1751" s="10"/>
    </row>
    <row r="1752" spans="6:7">
      <c r="F1752" s="123"/>
      <c r="G1752" s="10"/>
    </row>
    <row r="1753" spans="6:7">
      <c r="F1753" s="123"/>
      <c r="G1753" s="10"/>
    </row>
    <row r="1754" spans="6:7">
      <c r="F1754" s="123"/>
      <c r="G1754" s="10"/>
    </row>
    <row r="1755" spans="6:7">
      <c r="F1755" s="123"/>
      <c r="G1755" s="10"/>
    </row>
    <row r="1756" spans="6:7">
      <c r="F1756" s="123"/>
      <c r="G1756" s="10"/>
    </row>
    <row r="1757" spans="6:7">
      <c r="F1757" s="123"/>
      <c r="G1757" s="10"/>
    </row>
    <row r="1758" spans="6:7">
      <c r="F1758" s="123"/>
      <c r="G1758" s="10"/>
    </row>
    <row r="1759" spans="6:7">
      <c r="F1759" s="123"/>
      <c r="G1759" s="10"/>
    </row>
    <row r="1760" spans="6:7">
      <c r="F1760" s="123"/>
      <c r="G1760" s="10"/>
    </row>
    <row r="1761" spans="6:7">
      <c r="F1761" s="123"/>
      <c r="G1761" s="10"/>
    </row>
    <row r="1762" spans="6:7">
      <c r="F1762" s="123"/>
      <c r="G1762" s="10"/>
    </row>
    <row r="1763" spans="6:7">
      <c r="F1763" s="123"/>
      <c r="G1763" s="10"/>
    </row>
    <row r="1764" spans="6:7">
      <c r="F1764" s="123"/>
      <c r="G1764" s="10"/>
    </row>
    <row r="1765" spans="6:7">
      <c r="F1765" s="123"/>
      <c r="G1765" s="10"/>
    </row>
    <row r="1766" spans="6:7">
      <c r="F1766" s="123"/>
      <c r="G1766" s="10"/>
    </row>
    <row r="1767" spans="6:7">
      <c r="F1767" s="123"/>
      <c r="G1767" s="10"/>
    </row>
    <row r="1768" spans="6:7">
      <c r="F1768" s="123"/>
      <c r="G1768" s="10"/>
    </row>
    <row r="1769" spans="6:7">
      <c r="F1769" s="123"/>
      <c r="G1769" s="10"/>
    </row>
    <row r="1770" spans="6:7">
      <c r="F1770" s="123"/>
      <c r="G1770" s="10"/>
    </row>
    <row r="1771" spans="6:7">
      <c r="F1771" s="123"/>
      <c r="G1771" s="10"/>
    </row>
    <row r="1772" spans="6:7">
      <c r="F1772" s="123"/>
      <c r="G1772" s="10"/>
    </row>
    <row r="1773" spans="6:7">
      <c r="F1773" s="123"/>
      <c r="G1773" s="10"/>
    </row>
    <row r="1774" spans="6:7">
      <c r="F1774" s="123"/>
      <c r="G1774" s="10"/>
    </row>
    <row r="1775" spans="6:7">
      <c r="F1775" s="123"/>
      <c r="G1775" s="10"/>
    </row>
    <row r="1776" spans="6:7">
      <c r="F1776" s="123"/>
      <c r="G1776" s="10"/>
    </row>
    <row r="1777" spans="6:7">
      <c r="F1777" s="123"/>
      <c r="G1777" s="10"/>
    </row>
    <row r="1778" spans="6:7">
      <c r="F1778" s="123"/>
      <c r="G1778" s="10"/>
    </row>
    <row r="1779" spans="6:7">
      <c r="F1779" s="123"/>
      <c r="G1779" s="10"/>
    </row>
    <row r="1780" spans="6:7">
      <c r="F1780" s="123"/>
      <c r="G1780" s="10"/>
    </row>
    <row r="1781" spans="6:7">
      <c r="F1781" s="123"/>
      <c r="G1781" s="10"/>
    </row>
    <row r="1782" spans="6:7">
      <c r="F1782" s="123"/>
      <c r="G1782" s="10"/>
    </row>
    <row r="1783" spans="6:7">
      <c r="F1783" s="123"/>
      <c r="G1783" s="10"/>
    </row>
    <row r="1784" spans="6:7">
      <c r="F1784" s="123"/>
      <c r="G1784" s="10"/>
    </row>
    <row r="1785" spans="6:7">
      <c r="F1785" s="123"/>
      <c r="G1785" s="10"/>
    </row>
    <row r="1786" spans="6:7">
      <c r="F1786" s="123"/>
      <c r="G1786" s="10"/>
    </row>
    <row r="1787" spans="6:7">
      <c r="F1787" s="123"/>
      <c r="G1787" s="10"/>
    </row>
    <row r="1788" spans="6:7">
      <c r="F1788" s="123"/>
      <c r="G1788" s="10"/>
    </row>
    <row r="1789" spans="6:7">
      <c r="F1789" s="123"/>
      <c r="G1789" s="10"/>
    </row>
    <row r="1790" spans="6:7">
      <c r="F1790" s="123"/>
      <c r="G1790" s="10"/>
    </row>
    <row r="1791" spans="6:7">
      <c r="F1791" s="123"/>
      <c r="G1791" s="10"/>
    </row>
    <row r="1792" spans="6:7">
      <c r="F1792" s="123"/>
      <c r="G1792" s="10"/>
    </row>
    <row r="1793" spans="6:7">
      <c r="F1793" s="123"/>
      <c r="G1793" s="10"/>
    </row>
    <row r="1794" spans="6:7">
      <c r="F1794" s="123"/>
      <c r="G1794" s="10"/>
    </row>
    <row r="1795" spans="6:7">
      <c r="F1795" s="123"/>
      <c r="G1795" s="10"/>
    </row>
    <row r="1796" spans="6:7">
      <c r="F1796" s="123"/>
      <c r="G1796" s="10"/>
    </row>
    <row r="1797" spans="6:7">
      <c r="F1797" s="123"/>
      <c r="G1797" s="10"/>
    </row>
    <row r="1798" spans="6:7">
      <c r="F1798" s="123"/>
      <c r="G1798" s="10"/>
    </row>
    <row r="1799" spans="6:7">
      <c r="F1799" s="123"/>
      <c r="G1799" s="10"/>
    </row>
    <row r="1800" spans="6:7">
      <c r="F1800" s="123"/>
      <c r="G1800" s="10"/>
    </row>
    <row r="1801" spans="6:7">
      <c r="F1801" s="123"/>
      <c r="G1801" s="10"/>
    </row>
    <row r="1802" spans="6:7">
      <c r="F1802" s="123"/>
      <c r="G1802" s="10"/>
    </row>
    <row r="1803" spans="6:7">
      <c r="F1803" s="123"/>
      <c r="G1803" s="10"/>
    </row>
    <row r="1804" spans="6:7">
      <c r="F1804" s="123"/>
      <c r="G1804" s="10"/>
    </row>
    <row r="1805" spans="6:7">
      <c r="F1805" s="123"/>
      <c r="G1805" s="10"/>
    </row>
    <row r="1806" spans="6:7">
      <c r="F1806" s="123"/>
      <c r="G1806" s="10"/>
    </row>
    <row r="1807" spans="6:7">
      <c r="F1807" s="123"/>
      <c r="G1807" s="10"/>
    </row>
    <row r="1808" spans="6:7">
      <c r="F1808" s="123"/>
      <c r="G1808" s="10"/>
    </row>
    <row r="1809" spans="6:7">
      <c r="F1809" s="123"/>
      <c r="G1809" s="10"/>
    </row>
    <row r="1810" spans="6:7">
      <c r="F1810" s="123"/>
      <c r="G1810" s="10"/>
    </row>
    <row r="1811" spans="6:7">
      <c r="F1811" s="123"/>
      <c r="G1811" s="10"/>
    </row>
    <row r="1812" spans="6:7">
      <c r="F1812" s="123"/>
      <c r="G1812" s="10"/>
    </row>
    <row r="1813" spans="6:7">
      <c r="F1813" s="123"/>
      <c r="G1813" s="10"/>
    </row>
    <row r="1814" spans="6:7">
      <c r="F1814" s="123"/>
      <c r="G1814" s="10"/>
    </row>
    <row r="1815" spans="6:7">
      <c r="F1815" s="123"/>
      <c r="G1815" s="10"/>
    </row>
    <row r="1816" spans="6:7">
      <c r="F1816" s="123"/>
      <c r="G1816" s="10"/>
    </row>
    <row r="1817" spans="6:7">
      <c r="F1817" s="123"/>
      <c r="G1817" s="10"/>
    </row>
    <row r="1818" spans="6:7">
      <c r="F1818" s="123"/>
      <c r="G1818" s="10"/>
    </row>
    <row r="1819" spans="6:7">
      <c r="F1819" s="123"/>
      <c r="G1819" s="10"/>
    </row>
    <row r="1820" spans="6:7">
      <c r="F1820" s="123"/>
      <c r="G1820" s="10"/>
    </row>
    <row r="1821" spans="6:7">
      <c r="F1821" s="123"/>
      <c r="G1821" s="10"/>
    </row>
    <row r="1822" spans="6:7">
      <c r="F1822" s="123"/>
      <c r="G1822" s="10"/>
    </row>
    <row r="1823" spans="6:7">
      <c r="F1823" s="123"/>
      <c r="G1823" s="10"/>
    </row>
    <row r="1824" spans="6:7">
      <c r="F1824" s="123"/>
      <c r="G1824" s="10"/>
    </row>
    <row r="1825" spans="6:7">
      <c r="F1825" s="123"/>
      <c r="G1825" s="10"/>
    </row>
    <row r="1826" spans="6:7">
      <c r="F1826" s="123"/>
      <c r="G1826" s="10"/>
    </row>
    <row r="1827" spans="6:7">
      <c r="F1827" s="123"/>
      <c r="G1827" s="10"/>
    </row>
    <row r="1828" spans="6:7">
      <c r="F1828" s="123"/>
      <c r="G1828" s="10"/>
    </row>
    <row r="1829" spans="6:7">
      <c r="F1829" s="123"/>
      <c r="G1829" s="10"/>
    </row>
    <row r="1830" spans="6:7">
      <c r="F1830" s="123"/>
      <c r="G1830" s="10"/>
    </row>
    <row r="1831" spans="6:7">
      <c r="F1831" s="123"/>
      <c r="G1831" s="10"/>
    </row>
    <row r="1832" spans="6:7">
      <c r="F1832" s="123"/>
      <c r="G1832" s="10"/>
    </row>
    <row r="1833" spans="6:7">
      <c r="F1833" s="123"/>
      <c r="G1833" s="10"/>
    </row>
    <row r="1834" spans="6:7">
      <c r="F1834" s="123"/>
      <c r="G1834" s="10"/>
    </row>
    <row r="1835" spans="6:7">
      <c r="F1835" s="123"/>
      <c r="G1835" s="10"/>
    </row>
    <row r="1836" spans="6:7">
      <c r="F1836" s="123"/>
      <c r="G1836" s="10"/>
    </row>
    <row r="1837" spans="6:7">
      <c r="F1837" s="123"/>
      <c r="G1837" s="10"/>
    </row>
    <row r="1838" spans="6:7">
      <c r="F1838" s="123"/>
      <c r="G1838" s="10"/>
    </row>
    <row r="1839" spans="6:7">
      <c r="F1839" s="123"/>
      <c r="G1839" s="10"/>
    </row>
    <row r="1840" spans="6:7">
      <c r="F1840" s="123"/>
      <c r="G1840" s="10"/>
    </row>
    <row r="1841" spans="6:7">
      <c r="F1841" s="123"/>
      <c r="G1841" s="10"/>
    </row>
    <row r="1842" spans="6:7">
      <c r="F1842" s="123"/>
      <c r="G1842" s="10"/>
    </row>
    <row r="1843" spans="6:7">
      <c r="F1843" s="123"/>
      <c r="G1843" s="10"/>
    </row>
    <row r="1844" spans="6:7">
      <c r="F1844" s="123"/>
      <c r="G1844" s="10"/>
    </row>
    <row r="1845" spans="6:7">
      <c r="F1845" s="123"/>
      <c r="G1845" s="10"/>
    </row>
    <row r="1846" spans="6:7">
      <c r="F1846" s="123"/>
      <c r="G1846" s="10"/>
    </row>
    <row r="1847" spans="6:7">
      <c r="F1847" s="123"/>
      <c r="G1847" s="10"/>
    </row>
    <row r="1848" spans="6:7">
      <c r="F1848" s="123"/>
      <c r="G1848" s="10"/>
    </row>
    <row r="1849" spans="6:7">
      <c r="F1849" s="123"/>
      <c r="G1849" s="10"/>
    </row>
    <row r="1850" spans="6:7">
      <c r="F1850" s="123"/>
      <c r="G1850" s="10"/>
    </row>
    <row r="1851" spans="6:7">
      <c r="F1851" s="123"/>
      <c r="G1851" s="10"/>
    </row>
  </sheetData>
  <phoneticPr fontId="1" type="noConversion"/>
  <conditionalFormatting sqref="A35:G72 B73:G76 B78:G84 G94:G95 B94:E95 A95 A85:G93 A2:G31 A96:G1851">
    <cfRule type="expression" dxfId="17" priority="13">
      <formula>$G2=0</formula>
    </cfRule>
  </conditionalFormatting>
  <conditionalFormatting sqref="F95 A94">
    <cfRule type="expression" dxfId="16" priority="59">
      <formula>#REF!=0</formula>
    </cfRule>
  </conditionalFormatting>
  <conditionalFormatting sqref="F94">
    <cfRule type="expression" dxfId="15" priority="61">
      <formula>#REF!=0</formula>
    </cfRule>
  </conditionalFormatting>
  <conditionalFormatting sqref="C33:G34 C32:E32 G32">
    <cfRule type="expression" dxfId="14" priority="8">
      <formula>$G32=0</formula>
    </cfRule>
  </conditionalFormatting>
  <conditionalFormatting sqref="A32:B34">
    <cfRule type="expression" dxfId="13" priority="6">
      <formula>$G32=0</formula>
    </cfRule>
  </conditionalFormatting>
  <conditionalFormatting sqref="F32">
    <cfRule type="expression" dxfId="12" priority="5">
      <formula>$G32=0</formula>
    </cfRule>
  </conditionalFormatting>
  <conditionalFormatting sqref="B77:G77">
    <cfRule type="expression" dxfId="11" priority="4">
      <formula>$G77=0</formula>
    </cfRule>
  </conditionalFormatting>
  <conditionalFormatting sqref="A73:A77">
    <cfRule type="expression" dxfId="10" priority="3">
      <formula>$G73=0</formula>
    </cfRule>
  </conditionalFormatting>
  <conditionalFormatting sqref="A78:A81">
    <cfRule type="expression" dxfId="9" priority="2">
      <formula>$G78=0</formula>
    </cfRule>
  </conditionalFormatting>
  <conditionalFormatting sqref="A82:A84">
    <cfRule type="expression" dxfId="8" priority="1">
      <formula>$G82=0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I218"/>
  <sheetViews>
    <sheetView workbookViewId="0">
      <pane ySplit="1" topLeftCell="A145" activePane="bottomLeft" state="frozen"/>
      <selection pane="bottomLeft" activeCell="H154" sqref="H154"/>
    </sheetView>
  </sheetViews>
  <sheetFormatPr defaultColWidth="10.7109375" defaultRowHeight="15"/>
  <cols>
    <col min="1" max="1" width="6.7109375" style="1" customWidth="1"/>
    <col min="2" max="5" width="12.7109375" style="1" customWidth="1"/>
    <col min="6" max="7" width="5.7109375" style="1" customWidth="1"/>
    <col min="8" max="8" width="88.140625" style="332" customWidth="1"/>
    <col min="9" max="9" width="4.7109375" style="1" customWidth="1"/>
    <col min="10" max="10" width="9.7109375" style="1" customWidth="1"/>
    <col min="11" max="11" width="4.7109375" style="1" customWidth="1"/>
    <col min="12" max="12" width="8.7109375" style="1" customWidth="1"/>
    <col min="13" max="13" width="7.7109375" style="1" customWidth="1"/>
    <col min="14" max="14" width="12.85546875" style="1" customWidth="1"/>
    <col min="15" max="15" width="9.7109375" style="1" customWidth="1"/>
    <col min="16" max="16" width="3.7109375" style="1" customWidth="1"/>
    <col min="17" max="17" width="9" style="1" customWidth="1"/>
    <col min="18" max="18" width="34.7109375" style="1" bestFit="1" customWidth="1"/>
    <col min="19" max="16384" width="10.7109375" style="1"/>
  </cols>
  <sheetData>
    <row r="1" spans="1:35" s="11" customFormat="1" ht="27" customHeight="1">
      <c r="A1" s="61" t="s">
        <v>660</v>
      </c>
      <c r="B1" s="18" t="s">
        <v>110</v>
      </c>
      <c r="C1" s="18" t="s">
        <v>181</v>
      </c>
      <c r="D1" s="18" t="s">
        <v>187</v>
      </c>
      <c r="E1" s="18" t="s">
        <v>659</v>
      </c>
      <c r="F1" s="18" t="s">
        <v>1472</v>
      </c>
      <c r="G1" s="18" t="s">
        <v>1473</v>
      </c>
      <c r="H1" s="326" t="s">
        <v>1049</v>
      </c>
      <c r="I1" s="325" t="s">
        <v>191</v>
      </c>
      <c r="J1" s="17" t="s">
        <v>194</v>
      </c>
      <c r="K1" s="325" t="s">
        <v>192</v>
      </c>
      <c r="L1" s="17" t="s">
        <v>193</v>
      </c>
      <c r="M1" s="18" t="s">
        <v>195</v>
      </c>
      <c r="N1" s="18" t="s">
        <v>247</v>
      </c>
      <c r="O1" s="18" t="s">
        <v>216</v>
      </c>
      <c r="P1" s="18" t="s">
        <v>661</v>
      </c>
      <c r="Q1" s="18" t="s">
        <v>1204</v>
      </c>
      <c r="R1" s="18" t="s">
        <v>211</v>
      </c>
      <c r="T1" s="11" t="s">
        <v>1049</v>
      </c>
      <c r="AI1" s="11">
        <v>2</v>
      </c>
    </row>
    <row r="2" spans="1:35" ht="16.5">
      <c r="B2" s="2" t="s">
        <v>223</v>
      </c>
      <c r="C2" s="1">
        <v>140450035</v>
      </c>
      <c r="D2" s="1">
        <v>2000</v>
      </c>
      <c r="E2" s="1" t="s">
        <v>105</v>
      </c>
      <c r="F2" s="1">
        <f>_xlfn.XLOOKUP(cutts[[#This Row],[cutId]],[1]!Table15678910111216182021[idd],[1]!Table15678910111216182021[id])</f>
        <v>1</v>
      </c>
      <c r="G2" s="1">
        <f>_xlfn.XLOOKUP(cutts[[#This Row],[cutId]],[1]!Table1567891011121618202124[idd],[1]!Table1567891011121618202124[id])</f>
        <v>1</v>
      </c>
      <c r="H2" s="327"/>
      <c r="I2" s="324">
        <v>11</v>
      </c>
      <c r="J2" s="59">
        <f>cutts[[#This Row],[num]]-SUM(cutts[[#This Row],[num2]])</f>
        <v>2000</v>
      </c>
      <c r="K2" s="324"/>
      <c r="L2" s="21"/>
      <c r="M2" s="33">
        <v>2000</v>
      </c>
      <c r="N2" s="33"/>
      <c r="O2" s="33">
        <f>cutts[[#This Row],[num]]-cutts[[#This Row],[cutted]]</f>
        <v>0</v>
      </c>
      <c r="P2" s="33"/>
      <c r="Q2" s="317"/>
    </row>
    <row r="3" spans="1:35" ht="16.5">
      <c r="B3" s="2" t="s">
        <v>189</v>
      </c>
      <c r="C3" s="1">
        <v>140450027</v>
      </c>
      <c r="D3" s="1">
        <v>3405</v>
      </c>
      <c r="E3" s="1" t="s">
        <v>105</v>
      </c>
      <c r="F3" s="1">
        <f>_xlfn.XLOOKUP(cutts[[#This Row],[cutId]],[1]!Table15678910111216182021[idd],[1]!Table15678910111216182021[id])</f>
        <v>1</v>
      </c>
      <c r="G3" s="1">
        <f>_xlfn.XLOOKUP(cutts[[#This Row],[cutId]],[1]!Table1567891011121618202124[idd],[1]!Table1567891011121618202124[id])</f>
        <v>1</v>
      </c>
      <c r="H3" s="327"/>
      <c r="I3" s="324">
        <v>11</v>
      </c>
      <c r="J3" s="59">
        <f>cutts[[#This Row],[num]]-SUM(cutts[[#This Row],[num2]])</f>
        <v>3405</v>
      </c>
      <c r="K3" s="324"/>
      <c r="L3" s="21" t="s">
        <v>222</v>
      </c>
      <c r="M3" s="33">
        <v>3405</v>
      </c>
      <c r="N3" s="33"/>
      <c r="O3" s="33">
        <f>cutts[[#This Row],[num]]-cutts[[#This Row],[cutted]]</f>
        <v>0</v>
      </c>
      <c r="P3" s="33"/>
      <c r="Q3" s="317"/>
    </row>
    <row r="4" spans="1:35" ht="16.5">
      <c r="B4" s="2" t="s">
        <v>189</v>
      </c>
      <c r="C4" s="1">
        <v>140450027</v>
      </c>
      <c r="D4" s="1">
        <v>-3405</v>
      </c>
      <c r="E4" s="1" t="s">
        <v>105</v>
      </c>
      <c r="F4" s="1">
        <f>_xlfn.XLOOKUP(cutts[[#This Row],[cutId]],[1]!Table15678910111216182021[idd],[1]!Table15678910111216182021[id])</f>
        <v>1</v>
      </c>
      <c r="G4" s="1">
        <f>_xlfn.XLOOKUP(cutts[[#This Row],[cutId]],[1]!Table1567891011121618202124[idd],[1]!Table1567891011121618202124[id])</f>
        <v>1</v>
      </c>
      <c r="H4" s="327"/>
      <c r="I4" s="324">
        <v>11</v>
      </c>
      <c r="J4" s="59">
        <f>cutts[[#This Row],[num]]-SUM(cutts[[#This Row],[num2]])</f>
        <v>-3405</v>
      </c>
      <c r="K4" s="324"/>
      <c r="L4" s="21" t="s">
        <v>222</v>
      </c>
      <c r="M4" s="33">
        <v>-3405</v>
      </c>
      <c r="N4" s="33"/>
      <c r="O4" s="33">
        <f>cutts[[#This Row],[num]]-cutts[[#This Row],[cutted]]</f>
        <v>0</v>
      </c>
      <c r="P4" s="33"/>
      <c r="Q4" s="317"/>
      <c r="R4" s="1" t="s">
        <v>214</v>
      </c>
    </row>
    <row r="5" spans="1:35" ht="16.5">
      <c r="B5" s="2" t="s">
        <v>205</v>
      </c>
      <c r="C5" s="1">
        <v>140450027</v>
      </c>
      <c r="D5" s="1">
        <v>3000</v>
      </c>
      <c r="E5" s="1" t="s">
        <v>105</v>
      </c>
      <c r="F5" s="1">
        <f>_xlfn.XLOOKUP(cutts[[#This Row],[cutId]],[1]!Table15678910111216182021[idd],[1]!Table15678910111216182021[id])</f>
        <v>1</v>
      </c>
      <c r="G5" s="1">
        <f>_xlfn.XLOOKUP(cutts[[#This Row],[cutId]],[1]!Table1567891011121618202124[idd],[1]!Table1567891011121618202124[id])</f>
        <v>1</v>
      </c>
      <c r="H5" s="327"/>
      <c r="I5" s="324">
        <v>11</v>
      </c>
      <c r="J5" s="59">
        <f>cutts[[#This Row],[num]]-SUM(cutts[[#This Row],[num2]])</f>
        <v>3000</v>
      </c>
      <c r="K5" s="324"/>
      <c r="L5" s="21" t="s">
        <v>222</v>
      </c>
      <c r="M5" s="33">
        <v>3000</v>
      </c>
      <c r="N5" s="33"/>
      <c r="O5" s="33">
        <f>cutts[[#This Row],[num]]-cutts[[#This Row],[cutted]]</f>
        <v>0</v>
      </c>
      <c r="P5" s="33"/>
      <c r="Q5" s="317"/>
    </row>
    <row r="6" spans="1:35" ht="16.5">
      <c r="B6" s="2" t="s">
        <v>230</v>
      </c>
      <c r="C6" s="1">
        <v>140010230</v>
      </c>
      <c r="D6" s="1">
        <v>2100</v>
      </c>
      <c r="E6" s="1" t="s">
        <v>105</v>
      </c>
      <c r="F6" s="1">
        <f>_xlfn.XLOOKUP(cutts[[#This Row],[cutId]],[1]!Table15678910111216182021[idd],[1]!Table15678910111216182021[id])</f>
        <v>1</v>
      </c>
      <c r="G6" s="1">
        <f>_xlfn.XLOOKUP(cutts[[#This Row],[cutId]],[1]!Table1567891011121618202124[idd],[1]!Table1567891011121618202124[id])</f>
        <v>1</v>
      </c>
      <c r="H6" s="327"/>
      <c r="I6" s="324">
        <v>1</v>
      </c>
      <c r="J6" s="59">
        <f>cutts[[#This Row],[num]]-SUM(cutts[[#This Row],[num2]])</f>
        <v>2000</v>
      </c>
      <c r="K6" s="324">
        <v>2</v>
      </c>
      <c r="L6" s="21">
        <v>100</v>
      </c>
      <c r="M6" s="33">
        <v>2100</v>
      </c>
      <c r="N6" s="33"/>
      <c r="O6" s="33">
        <f>cutts[[#This Row],[num]]-cutts[[#This Row],[cutted]]</f>
        <v>0</v>
      </c>
      <c r="P6" s="33"/>
      <c r="Q6" s="317"/>
    </row>
    <row r="7" spans="1:35" ht="16.5">
      <c r="A7" s="1">
        <v>2</v>
      </c>
      <c r="B7" s="2" t="s">
        <v>230</v>
      </c>
      <c r="C7" s="1">
        <v>140010255</v>
      </c>
      <c r="D7" s="1">
        <v>500</v>
      </c>
      <c r="E7" s="1" t="s">
        <v>105</v>
      </c>
      <c r="F7" s="1" t="e">
        <f>_xlfn.XLOOKUP(cutts[[#This Row],[cutId]],[1]!Table15678910111216182021[idd],[1]!Table15678910111216182021[id])</f>
        <v>#N/A</v>
      </c>
      <c r="G7" s="1">
        <f>_xlfn.XLOOKUP(cutts[[#This Row],[cutId]],[1]!Table1567891011121618202124[idd],[1]!Table1567891011121618202124[id])</f>
        <v>2</v>
      </c>
      <c r="H7" s="327"/>
      <c r="I7" s="324">
        <v>1</v>
      </c>
      <c r="J7" s="59">
        <f>cutts[[#This Row],[num]]-SUM(cutts[[#This Row],[num2]])</f>
        <v>500</v>
      </c>
      <c r="K7" s="324"/>
      <c r="L7" s="21"/>
      <c r="M7" s="33">
        <v>500</v>
      </c>
      <c r="N7" s="33"/>
      <c r="O7" s="33">
        <f>cutts[[#This Row],[num]]-cutts[[#This Row],[cutted]]</f>
        <v>0</v>
      </c>
      <c r="P7" s="33"/>
      <c r="Q7" s="317"/>
    </row>
    <row r="8" spans="1:35" ht="16.5">
      <c r="B8" s="2" t="s">
        <v>230</v>
      </c>
      <c r="C8" s="1">
        <v>140010117</v>
      </c>
      <c r="D8" s="1">
        <v>2100</v>
      </c>
      <c r="E8" s="1" t="s">
        <v>105</v>
      </c>
      <c r="F8" s="1">
        <f>_xlfn.XLOOKUP(cutts[[#This Row],[cutId]],[1]!Table15678910111216182021[idd],[1]!Table15678910111216182021[id])</f>
        <v>1</v>
      </c>
      <c r="G8" s="1">
        <f>_xlfn.XLOOKUP(cutts[[#This Row],[cutId]],[1]!Table1567891011121618202124[idd],[1]!Table1567891011121618202124[id])</f>
        <v>1</v>
      </c>
      <c r="H8" s="327"/>
      <c r="I8" s="324">
        <v>1</v>
      </c>
      <c r="J8" s="59">
        <f>cutts[[#This Row],[num]]-SUM(cutts[[#This Row],[num2]])</f>
        <v>2100</v>
      </c>
      <c r="K8" s="324"/>
      <c r="L8" s="21"/>
      <c r="M8" s="33">
        <v>2100</v>
      </c>
      <c r="N8" s="33"/>
      <c r="O8" s="33">
        <f>cutts[[#This Row],[num]]-cutts[[#This Row],[cutted]]</f>
        <v>0</v>
      </c>
      <c r="P8" s="33"/>
      <c r="Q8" s="317"/>
    </row>
    <row r="9" spans="1:35" ht="16.5">
      <c r="B9" s="2" t="s">
        <v>238</v>
      </c>
      <c r="C9" s="1">
        <v>140010117</v>
      </c>
      <c r="D9" s="1">
        <v>3000</v>
      </c>
      <c r="E9" s="1" t="s">
        <v>105</v>
      </c>
      <c r="F9" s="1">
        <f>_xlfn.XLOOKUP(cutts[[#This Row],[cutId]],[1]!Table15678910111216182021[idd],[1]!Table15678910111216182021[id])</f>
        <v>1</v>
      </c>
      <c r="G9" s="1">
        <f>_xlfn.XLOOKUP(cutts[[#This Row],[cutId]],[1]!Table1567891011121618202124[idd],[1]!Table1567891011121618202124[id])</f>
        <v>1</v>
      </c>
      <c r="H9" s="327"/>
      <c r="I9" s="324">
        <v>1</v>
      </c>
      <c r="J9" s="59">
        <f>cutts[[#This Row],[num]]-SUM(cutts[[#This Row],[num2]])</f>
        <v>3000</v>
      </c>
      <c r="K9" s="324"/>
      <c r="L9" s="21"/>
      <c r="M9" s="33">
        <v>3000</v>
      </c>
      <c r="N9" s="33"/>
      <c r="O9" s="33">
        <f>cutts[[#This Row],[num]]-cutts[[#This Row],[cutted]]</f>
        <v>0</v>
      </c>
      <c r="P9" s="33"/>
      <c r="Q9" s="317"/>
    </row>
    <row r="10" spans="1:35" ht="16.5">
      <c r="B10" s="2" t="s">
        <v>238</v>
      </c>
      <c r="C10" s="1">
        <v>140010230</v>
      </c>
      <c r="D10" s="1">
        <v>3000</v>
      </c>
      <c r="E10" s="1" t="s">
        <v>105</v>
      </c>
      <c r="F10" s="1">
        <f>_xlfn.XLOOKUP(cutts[[#This Row],[cutId]],[1]!Table15678910111216182021[idd],[1]!Table15678910111216182021[id])</f>
        <v>1</v>
      </c>
      <c r="G10" s="1">
        <f>_xlfn.XLOOKUP(cutts[[#This Row],[cutId]],[1]!Table1567891011121618202124[idd],[1]!Table1567891011121618202124[id])</f>
        <v>1</v>
      </c>
      <c r="H10" s="327"/>
      <c r="I10" s="324">
        <v>1</v>
      </c>
      <c r="J10" s="59">
        <f>cutts[[#This Row],[num]]-SUM(cutts[[#This Row],[num2]])</f>
        <v>3000</v>
      </c>
      <c r="K10" s="324"/>
      <c r="L10" s="21"/>
      <c r="M10" s="33">
        <v>3000</v>
      </c>
      <c r="N10" s="33"/>
      <c r="O10" s="33">
        <f>cutts[[#This Row],[num]]-cutts[[#This Row],[cutted]]</f>
        <v>0</v>
      </c>
      <c r="P10" s="33"/>
      <c r="Q10" s="317"/>
    </row>
    <row r="11" spans="1:35" ht="16.5">
      <c r="B11" s="2" t="s">
        <v>239</v>
      </c>
      <c r="C11" s="1">
        <v>140030040</v>
      </c>
      <c r="D11" s="1">
        <v>600</v>
      </c>
      <c r="E11" s="1" t="s">
        <v>105</v>
      </c>
      <c r="F11" s="1">
        <f>_xlfn.XLOOKUP(cutts[[#This Row],[cutId]],[1]!Table15678910111216182021[idd],[1]!Table15678910111216182021[id])</f>
        <v>1</v>
      </c>
      <c r="G11" s="1">
        <f>_xlfn.XLOOKUP(cutts[[#This Row],[cutId]],[1]!Table1567891011121618202124[idd],[1]!Table1567891011121618202124[id])</f>
        <v>1</v>
      </c>
      <c r="H11" s="327"/>
      <c r="I11" s="324" t="s">
        <v>257</v>
      </c>
      <c r="J11" s="59">
        <f>cutts[[#This Row],[num]]-SUM(cutts[[#This Row],[num2]])</f>
        <v>600</v>
      </c>
      <c r="K11" s="324"/>
      <c r="L11" s="21"/>
      <c r="M11" s="33">
        <v>600</v>
      </c>
      <c r="N11" s="33"/>
      <c r="O11" s="33">
        <f>cutts[[#This Row],[num]]-cutts[[#This Row],[cutted]]</f>
        <v>0</v>
      </c>
      <c r="P11" s="33"/>
      <c r="Q11" s="317"/>
    </row>
    <row r="12" spans="1:35" ht="16.5">
      <c r="B12" s="2" t="s">
        <v>239</v>
      </c>
      <c r="C12" s="1">
        <v>140010117</v>
      </c>
      <c r="D12" s="1">
        <v>4900</v>
      </c>
      <c r="E12" s="1" t="s">
        <v>105</v>
      </c>
      <c r="F12" s="1">
        <f>_xlfn.XLOOKUP(cutts[[#This Row],[cutId]],[1]!Table15678910111216182021[idd],[1]!Table15678910111216182021[id])</f>
        <v>1</v>
      </c>
      <c r="G12" s="1">
        <f>_xlfn.XLOOKUP(cutts[[#This Row],[cutId]],[1]!Table1567891011121618202124[idd],[1]!Table1567891011121618202124[id])</f>
        <v>1</v>
      </c>
      <c r="H12" s="327"/>
      <c r="I12" s="324">
        <v>1</v>
      </c>
      <c r="J12" s="59">
        <f>cutts[[#This Row],[num]]-SUM(cutts[[#This Row],[num2]])</f>
        <v>4900</v>
      </c>
      <c r="K12" s="324"/>
      <c r="L12" s="21"/>
      <c r="M12" s="33">
        <v>4900</v>
      </c>
      <c r="N12" s="33"/>
      <c r="O12" s="33">
        <f>cutts[[#This Row],[num]]-cutts[[#This Row],[cutted]]</f>
        <v>0</v>
      </c>
      <c r="P12" s="33"/>
      <c r="Q12" s="317"/>
    </row>
    <row r="13" spans="1:35" ht="16.5">
      <c r="B13" s="2" t="s">
        <v>234</v>
      </c>
      <c r="C13" s="1">
        <v>140030040</v>
      </c>
      <c r="D13" s="1">
        <v>3000</v>
      </c>
      <c r="E13" s="1" t="s">
        <v>105</v>
      </c>
      <c r="F13" s="1">
        <f>_xlfn.XLOOKUP(cutts[[#This Row],[cutId]],[1]!Table15678910111216182021[idd],[1]!Table15678910111216182021[id])</f>
        <v>1</v>
      </c>
      <c r="G13" s="1">
        <f>_xlfn.XLOOKUP(cutts[[#This Row],[cutId]],[1]!Table1567891011121618202124[idd],[1]!Table1567891011121618202124[id])</f>
        <v>1</v>
      </c>
      <c r="H13" s="327"/>
      <c r="I13" s="324" t="s">
        <v>240</v>
      </c>
      <c r="J13" s="59">
        <f>cutts[[#This Row],[num]]-SUM(cutts[[#This Row],[num2]])</f>
        <v>3000</v>
      </c>
      <c r="K13" s="324"/>
      <c r="L13" s="21"/>
      <c r="M13" s="33">
        <v>3000</v>
      </c>
      <c r="N13" s="33"/>
      <c r="O13" s="33">
        <f>cutts[[#This Row],[num]]-cutts[[#This Row],[cutted]]</f>
        <v>0</v>
      </c>
      <c r="P13" s="33"/>
      <c r="Q13" s="317"/>
    </row>
    <row r="14" spans="1:35" ht="16.5">
      <c r="B14" s="2" t="s">
        <v>234</v>
      </c>
      <c r="C14" s="1">
        <v>140030039</v>
      </c>
      <c r="D14" s="1">
        <v>3000</v>
      </c>
      <c r="E14" s="1" t="s">
        <v>105</v>
      </c>
      <c r="F14" s="1">
        <f>_xlfn.XLOOKUP(cutts[[#This Row],[cutId]],[1]!Table15678910111216182021[idd],[1]!Table15678910111216182021[id])</f>
        <v>1</v>
      </c>
      <c r="G14" s="1">
        <f>_xlfn.XLOOKUP(cutts[[#This Row],[cutId]],[1]!Table1567891011121618202124[idd],[1]!Table1567891011121618202124[id])</f>
        <v>1</v>
      </c>
      <c r="H14" s="327"/>
      <c r="I14" s="324" t="s">
        <v>240</v>
      </c>
      <c r="J14" s="59">
        <f>cutts[[#This Row],[num]]-SUM(cutts[[#This Row],[num2]])</f>
        <v>3000</v>
      </c>
      <c r="K14" s="324"/>
      <c r="L14" s="21"/>
      <c r="M14" s="33">
        <v>3000</v>
      </c>
      <c r="N14" s="33"/>
      <c r="O14" s="33">
        <f>cutts[[#This Row],[num]]-cutts[[#This Row],[cutted]]</f>
        <v>0</v>
      </c>
      <c r="P14" s="33"/>
      <c r="Q14" s="317"/>
    </row>
    <row r="15" spans="1:35" ht="16.5">
      <c r="B15" s="2" t="s">
        <v>234</v>
      </c>
      <c r="C15" s="1">
        <v>140010117</v>
      </c>
      <c r="D15" s="1">
        <v>3000</v>
      </c>
      <c r="E15" s="1" t="s">
        <v>105</v>
      </c>
      <c r="F15" s="1">
        <f>_xlfn.XLOOKUP(cutts[[#This Row],[cutId]],[1]!Table15678910111216182021[idd],[1]!Table15678910111216182021[id])</f>
        <v>1</v>
      </c>
      <c r="G15" s="1">
        <f>_xlfn.XLOOKUP(cutts[[#This Row],[cutId]],[1]!Table1567891011121618202124[idd],[1]!Table1567891011121618202124[id])</f>
        <v>1</v>
      </c>
      <c r="H15" s="60" t="s">
        <v>599</v>
      </c>
      <c r="I15" s="324" t="s">
        <v>240</v>
      </c>
      <c r="J15" s="59">
        <f>cutts[[#This Row],[num]]-SUM(cutts[[#This Row],[num2]])</f>
        <v>3000</v>
      </c>
      <c r="K15" s="324"/>
      <c r="L15" s="21"/>
      <c r="M15" s="33">
        <v>3000</v>
      </c>
      <c r="N15" s="33"/>
      <c r="O15" s="33">
        <f>cutts[[#This Row],[num]]-cutts[[#This Row],[cutted]]</f>
        <v>0</v>
      </c>
      <c r="P15" s="33"/>
      <c r="Q15" s="317"/>
    </row>
    <row r="16" spans="1:35" ht="16.5">
      <c r="B16" s="2" t="s">
        <v>234</v>
      </c>
      <c r="C16" s="52">
        <v>140010298</v>
      </c>
      <c r="D16" s="52">
        <v>630</v>
      </c>
      <c r="E16" s="1" t="s">
        <v>106</v>
      </c>
      <c r="F16" s="1">
        <f>_xlfn.XLOOKUP(cutts[[#This Row],[cutId]],[1]!Table15678910111216182021[idd],[1]!Table15678910111216182021[id])</f>
        <v>1</v>
      </c>
      <c r="G16" s="1">
        <f>_xlfn.XLOOKUP(cutts[[#This Row],[cutId]],[1]!Table1567891011121618202124[idd],[1]!Table1567891011121618202124[id])</f>
        <v>1</v>
      </c>
      <c r="H16" s="60" t="s">
        <v>600</v>
      </c>
      <c r="I16" s="324">
        <v>1</v>
      </c>
      <c r="J16" s="59">
        <f>cutts[[#This Row],[num]]-SUM(cutts[[#This Row],[num2]])</f>
        <v>630</v>
      </c>
      <c r="K16" s="324"/>
      <c r="L16" s="21"/>
      <c r="M16" s="33">
        <v>630</v>
      </c>
      <c r="N16" s="33"/>
      <c r="O16" s="33">
        <f>cutts[[#This Row],[num]]-cutts[[#This Row],[cutted]]</f>
        <v>0</v>
      </c>
      <c r="P16" s="33"/>
      <c r="Q16" s="317"/>
    </row>
    <row r="17" spans="2:20" ht="16.5">
      <c r="B17" s="2" t="s">
        <v>234</v>
      </c>
      <c r="C17" s="52">
        <v>140010279</v>
      </c>
      <c r="D17" s="52">
        <v>3000</v>
      </c>
      <c r="E17" s="1" t="s">
        <v>106</v>
      </c>
      <c r="F17" s="1">
        <f>_xlfn.XLOOKUP(cutts[[#This Row],[cutId]],[1]!Table15678910111216182021[idd],[1]!Table15678910111216182021[id])</f>
        <v>1</v>
      </c>
      <c r="G17" s="1">
        <f>_xlfn.XLOOKUP(cutts[[#This Row],[cutId]],[1]!Table1567891011121618202124[idd],[1]!Table1567891011121618202124[id])</f>
        <v>1</v>
      </c>
      <c r="H17" s="60" t="s">
        <v>601</v>
      </c>
      <c r="I17" s="324">
        <v>1</v>
      </c>
      <c r="J17" s="59">
        <f>cutts[[#This Row],[num]]-SUM(cutts[[#This Row],[num2]])</f>
        <v>3000</v>
      </c>
      <c r="K17" s="324"/>
      <c r="L17" s="21"/>
      <c r="M17" s="33">
        <v>3000</v>
      </c>
      <c r="N17" s="33"/>
      <c r="O17" s="33">
        <f>cutts[[#This Row],[num]]-cutts[[#This Row],[cutted]]</f>
        <v>0</v>
      </c>
      <c r="P17" s="33"/>
      <c r="Q17" s="317"/>
    </row>
    <row r="18" spans="2:20" ht="16.5">
      <c r="B18" s="2" t="s">
        <v>234</v>
      </c>
      <c r="C18" s="52">
        <v>140010295</v>
      </c>
      <c r="D18" s="52">
        <v>4300</v>
      </c>
      <c r="E18" s="1" t="s">
        <v>106</v>
      </c>
      <c r="F18" s="1">
        <f>_xlfn.XLOOKUP(cutts[[#This Row],[cutId]],[1]!Table15678910111216182021[idd],[1]!Table15678910111216182021[id])</f>
        <v>1</v>
      </c>
      <c r="G18" s="1">
        <f>_xlfn.XLOOKUP(cutts[[#This Row],[cutId]],[1]!Table1567891011121618202124[idd],[1]!Table1567891011121618202124[id])</f>
        <v>1</v>
      </c>
      <c r="H18" s="60" t="s">
        <v>602</v>
      </c>
      <c r="I18" s="324">
        <v>1</v>
      </c>
      <c r="J18" s="59">
        <f>cutts[[#This Row],[num]]-SUM(cutts[[#This Row],[num2]])</f>
        <v>4300</v>
      </c>
      <c r="K18" s="324"/>
      <c r="L18" s="21"/>
      <c r="M18" s="33">
        <v>4300</v>
      </c>
      <c r="N18" s="33"/>
      <c r="O18" s="33">
        <f>cutts[[#This Row],[num]]-cutts[[#This Row],[cutted]]</f>
        <v>0</v>
      </c>
      <c r="P18" s="33"/>
      <c r="Q18" s="317"/>
    </row>
    <row r="19" spans="2:20" ht="16.5">
      <c r="B19" s="2" t="s">
        <v>232</v>
      </c>
      <c r="C19" s="1">
        <v>140030039</v>
      </c>
      <c r="D19" s="1">
        <v>3000</v>
      </c>
      <c r="E19" s="1" t="s">
        <v>105</v>
      </c>
      <c r="F19" s="1">
        <f>_xlfn.XLOOKUP(cutts[[#This Row],[cutId]],[1]!Table15678910111216182021[idd],[1]!Table15678910111216182021[id])</f>
        <v>1</v>
      </c>
      <c r="G19" s="1">
        <f>_xlfn.XLOOKUP(cutts[[#This Row],[cutId]],[1]!Table1567891011121618202124[idd],[1]!Table1567891011121618202124[id])</f>
        <v>1</v>
      </c>
      <c r="H19" s="60" t="s">
        <v>603</v>
      </c>
      <c r="I19" s="324">
        <v>2</v>
      </c>
      <c r="J19" s="59">
        <f>cutts[[#This Row],[num]]-SUM(cutts[[#This Row],[num2]])</f>
        <v>3000</v>
      </c>
      <c r="K19" s="324"/>
      <c r="L19" s="21"/>
      <c r="M19" s="33">
        <v>3000</v>
      </c>
      <c r="N19" s="33"/>
      <c r="O19" s="33">
        <f>cutts[[#This Row],[num]]-cutts[[#This Row],[cutted]]</f>
        <v>0</v>
      </c>
      <c r="P19" s="33"/>
      <c r="Q19" s="317"/>
      <c r="R19" s="1" t="s">
        <v>260</v>
      </c>
    </row>
    <row r="20" spans="2:20" ht="16.5">
      <c r="B20" s="2" t="s">
        <v>232</v>
      </c>
      <c r="C20" s="1">
        <v>140010280</v>
      </c>
      <c r="D20" s="1">
        <v>3000</v>
      </c>
      <c r="E20" s="1" t="s">
        <v>106</v>
      </c>
      <c r="F20" s="1">
        <f>_xlfn.XLOOKUP(cutts[[#This Row],[cutId]],[1]!Table15678910111216182021[idd],[1]!Table15678910111216182021[id])</f>
        <v>1</v>
      </c>
      <c r="G20" s="1">
        <f>_xlfn.XLOOKUP(cutts[[#This Row],[cutId]],[1]!Table1567891011121618202124[idd],[1]!Table1567891011121618202124[id])</f>
        <v>1</v>
      </c>
      <c r="H20" s="60" t="s">
        <v>604</v>
      </c>
      <c r="I20" s="324">
        <v>1</v>
      </c>
      <c r="J20" s="59">
        <f>cutts[[#This Row],[num]]-SUM(cutts[[#This Row],[num2]])</f>
        <v>3000</v>
      </c>
      <c r="K20" s="324"/>
      <c r="L20" s="21"/>
      <c r="M20" s="33">
        <v>3000</v>
      </c>
      <c r="N20" s="33"/>
      <c r="O20" s="33">
        <f>cutts[[#This Row],[num]]-cutts[[#This Row],[cutted]]</f>
        <v>0</v>
      </c>
      <c r="P20" s="33"/>
      <c r="Q20" s="317"/>
    </row>
    <row r="21" spans="2:20" ht="16.5">
      <c r="B21" s="2" t="s">
        <v>232</v>
      </c>
      <c r="C21" s="1">
        <v>140020181</v>
      </c>
      <c r="D21" s="1">
        <v>3000</v>
      </c>
      <c r="E21" s="1" t="s">
        <v>105</v>
      </c>
      <c r="F21" s="1">
        <f>_xlfn.XLOOKUP(cutts[[#This Row],[cutId]],[1]!Table15678910111216182021[idd],[1]!Table15678910111216182021[id])</f>
        <v>1</v>
      </c>
      <c r="G21" s="1">
        <f>_xlfn.XLOOKUP(cutts[[#This Row],[cutId]],[1]!Table1567891011121618202124[idd],[1]!Table1567891011121618202124[id])</f>
        <v>1</v>
      </c>
      <c r="H21" s="60" t="s">
        <v>605</v>
      </c>
      <c r="I21" s="324">
        <v>2</v>
      </c>
      <c r="J21" s="59">
        <f>cutts[[#This Row],[num]]-SUM(cutts[[#This Row],[num2]])</f>
        <v>3000</v>
      </c>
      <c r="K21" s="324"/>
      <c r="L21" s="21"/>
      <c r="M21" s="33">
        <v>3000</v>
      </c>
      <c r="N21" s="33"/>
      <c r="O21" s="33">
        <f>cutts[[#This Row],[num]]-cutts[[#This Row],[cutted]]</f>
        <v>0</v>
      </c>
      <c r="P21" s="33"/>
      <c r="Q21" s="317"/>
      <c r="T21" s="1">
        <f>LEN(cutts[[#This Row],[productId]])</f>
        <v>9</v>
      </c>
    </row>
    <row r="22" spans="2:20" ht="16.5">
      <c r="B22" s="2" t="s">
        <v>232</v>
      </c>
      <c r="C22" s="1">
        <v>140030040</v>
      </c>
      <c r="D22" s="1">
        <v>2100</v>
      </c>
      <c r="E22" s="1" t="s">
        <v>105</v>
      </c>
      <c r="F22" s="1">
        <f>_xlfn.XLOOKUP(cutts[[#This Row],[cutId]],[1]!Table15678910111216182021[idd],[1]!Table15678910111216182021[id])</f>
        <v>1</v>
      </c>
      <c r="G22" s="1">
        <f>_xlfn.XLOOKUP(cutts[[#This Row],[cutId]],[1]!Table1567891011121618202124[idd],[1]!Table1567891011121618202124[id])</f>
        <v>1</v>
      </c>
      <c r="H22" s="60" t="s">
        <v>606</v>
      </c>
      <c r="I22" s="324">
        <v>2</v>
      </c>
      <c r="J22" s="59">
        <f>cutts[[#This Row],[num]]-SUM(cutts[[#This Row],[num2]])</f>
        <v>2100</v>
      </c>
      <c r="K22" s="324"/>
      <c r="L22" s="21"/>
      <c r="M22" s="33">
        <v>2100</v>
      </c>
      <c r="N22" s="33" t="s">
        <v>231</v>
      </c>
      <c r="O22" s="33">
        <f>cutts[[#This Row],[num]]-cutts[[#This Row],[cutted]]</f>
        <v>0</v>
      </c>
      <c r="P22" s="33"/>
      <c r="Q22" s="317"/>
    </row>
    <row r="23" spans="2:20" ht="16.5">
      <c r="B23" s="2" t="s">
        <v>232</v>
      </c>
      <c r="C23" s="1">
        <v>140020181</v>
      </c>
      <c r="D23" s="1">
        <v>2100</v>
      </c>
      <c r="E23" s="1" t="s">
        <v>105</v>
      </c>
      <c r="F23" s="1">
        <f>_xlfn.XLOOKUP(cutts[[#This Row],[cutId]],[1]!Table15678910111216182021[idd],[1]!Table15678910111216182021[id])</f>
        <v>1</v>
      </c>
      <c r="G23" s="1">
        <f>_xlfn.XLOOKUP(cutts[[#This Row],[cutId]],[1]!Table1567891011121618202124[idd],[1]!Table1567891011121618202124[id])</f>
        <v>1</v>
      </c>
      <c r="H23" s="60" t="s">
        <v>607</v>
      </c>
      <c r="I23" s="324">
        <v>2</v>
      </c>
      <c r="J23" s="59">
        <f>cutts[[#This Row],[num]]-SUM(cutts[[#This Row],[num2]])</f>
        <v>2100</v>
      </c>
      <c r="K23" s="324"/>
      <c r="L23" s="21"/>
      <c r="M23" s="33">
        <v>2100</v>
      </c>
      <c r="N23" s="33" t="s">
        <v>231</v>
      </c>
      <c r="O23" s="33">
        <f>cutts[[#This Row],[num]]-cutts[[#This Row],[cutted]]</f>
        <v>0</v>
      </c>
      <c r="P23" s="33"/>
      <c r="Q23" s="317"/>
    </row>
    <row r="24" spans="2:20" ht="16.5">
      <c r="B24" s="2" t="s">
        <v>232</v>
      </c>
      <c r="C24" s="1">
        <v>140010280</v>
      </c>
      <c r="D24" s="1">
        <v>1495</v>
      </c>
      <c r="E24" s="1" t="s">
        <v>106</v>
      </c>
      <c r="F24" s="1">
        <f>_xlfn.XLOOKUP(cutts[[#This Row],[cutId]],[1]!Table15678910111216182021[idd],[1]!Table15678910111216182021[id])</f>
        <v>1</v>
      </c>
      <c r="G24" s="1">
        <f>_xlfn.XLOOKUP(cutts[[#This Row],[cutId]],[1]!Table1567891011121618202124[idd],[1]!Table1567891011121618202124[id])</f>
        <v>1</v>
      </c>
      <c r="H24" s="60" t="s">
        <v>608</v>
      </c>
      <c r="I24" s="324">
        <v>1</v>
      </c>
      <c r="J24" s="59">
        <f>cutts[[#This Row],[num]]-SUM(cutts[[#This Row],[num2]])</f>
        <v>1495</v>
      </c>
      <c r="K24" s="324"/>
      <c r="L24" s="21"/>
      <c r="M24" s="33">
        <v>1495</v>
      </c>
      <c r="N24" s="33"/>
      <c r="O24" s="33">
        <f>cutts[[#This Row],[num]]-cutts[[#This Row],[cutted]]</f>
        <v>0</v>
      </c>
      <c r="P24" s="33"/>
      <c r="Q24" s="317"/>
    </row>
    <row r="25" spans="2:20" ht="16.5">
      <c r="B25" s="2" t="s">
        <v>231</v>
      </c>
      <c r="C25" s="52">
        <v>140020181</v>
      </c>
      <c r="D25" s="52">
        <v>3000</v>
      </c>
      <c r="E25" s="1" t="s">
        <v>105</v>
      </c>
      <c r="F25" s="1">
        <f>_xlfn.XLOOKUP(cutts[[#This Row],[cutId]],[1]!Table15678910111216182021[idd],[1]!Table15678910111216182021[id])</f>
        <v>1</v>
      </c>
      <c r="G25" s="1">
        <f>_xlfn.XLOOKUP(cutts[[#This Row],[cutId]],[1]!Table1567891011121618202124[idd],[1]!Table1567891011121618202124[id])</f>
        <v>1</v>
      </c>
      <c r="H25" s="60" t="s">
        <v>609</v>
      </c>
      <c r="I25" s="324">
        <v>2</v>
      </c>
      <c r="J25" s="59">
        <f>cutts[[#This Row],[num]]-SUM(cutts[[#This Row],[num2]])</f>
        <v>3000</v>
      </c>
      <c r="K25" s="324"/>
      <c r="L25" s="21"/>
      <c r="M25" s="33">
        <v>3000</v>
      </c>
      <c r="N25" s="33"/>
      <c r="O25" s="33">
        <f>cutts[[#This Row],[num]]-cutts[[#This Row],[cutted]]</f>
        <v>0</v>
      </c>
      <c r="P25" s="33"/>
      <c r="Q25" s="317"/>
    </row>
    <row r="26" spans="2:20" ht="16.5">
      <c r="B26" s="2" t="s">
        <v>231</v>
      </c>
      <c r="C26" s="52">
        <v>140030039</v>
      </c>
      <c r="D26" s="52">
        <v>3000</v>
      </c>
      <c r="E26" s="1" t="s">
        <v>105</v>
      </c>
      <c r="F26" s="1">
        <f>_xlfn.XLOOKUP(cutts[[#This Row],[cutId]],[1]!Table15678910111216182021[idd],[1]!Table15678910111216182021[id])</f>
        <v>1</v>
      </c>
      <c r="G26" s="1">
        <f>_xlfn.XLOOKUP(cutts[[#This Row],[cutId]],[1]!Table1567891011121618202124[idd],[1]!Table1567891011121618202124[id])</f>
        <v>1</v>
      </c>
      <c r="H26" s="60" t="s">
        <v>610</v>
      </c>
      <c r="I26" s="324">
        <v>2</v>
      </c>
      <c r="J26" s="59">
        <f>cutts[[#This Row],[num]]-SUM(cutts[[#This Row],[num2]])</f>
        <v>3000</v>
      </c>
      <c r="K26" s="324"/>
      <c r="L26" s="21"/>
      <c r="M26" s="33">
        <v>3000</v>
      </c>
      <c r="N26" s="33"/>
      <c r="O26" s="33">
        <f>cutts[[#This Row],[num]]-cutts[[#This Row],[cutted]]</f>
        <v>0</v>
      </c>
      <c r="P26" s="33"/>
      <c r="Q26" s="317"/>
    </row>
    <row r="27" spans="2:20" ht="16.5">
      <c r="B27" s="2" t="s">
        <v>236</v>
      </c>
      <c r="C27" s="52">
        <v>140010280</v>
      </c>
      <c r="D27" s="52">
        <v>3610</v>
      </c>
      <c r="E27" s="1" t="s">
        <v>106</v>
      </c>
      <c r="F27" s="1">
        <f>_xlfn.XLOOKUP(cutts[[#This Row],[cutId]],[1]!Table15678910111216182021[idd],[1]!Table15678910111216182021[id])</f>
        <v>1</v>
      </c>
      <c r="G27" s="1">
        <f>_xlfn.XLOOKUP(cutts[[#This Row],[cutId]],[1]!Table1567891011121618202124[idd],[1]!Table1567891011121618202124[id])</f>
        <v>1</v>
      </c>
      <c r="H27" s="60" t="s">
        <v>611</v>
      </c>
      <c r="I27" s="324">
        <v>1</v>
      </c>
      <c r="J27" s="59">
        <f>cutts[[#This Row],[num]]-SUM(cutts[[#This Row],[num2]])</f>
        <v>3610</v>
      </c>
      <c r="K27" s="324"/>
      <c r="L27" s="21"/>
      <c r="M27" s="33">
        <v>3610</v>
      </c>
      <c r="N27" s="33"/>
      <c r="O27" s="33">
        <f>cutts[[#This Row],[num]]-cutts[[#This Row],[cutted]]</f>
        <v>0</v>
      </c>
      <c r="P27" s="33"/>
      <c r="Q27" s="317"/>
    </row>
    <row r="28" spans="2:20" ht="16.5">
      <c r="B28" s="2" t="s">
        <v>236</v>
      </c>
      <c r="C28" s="52">
        <v>140030040</v>
      </c>
      <c r="D28" s="52">
        <v>3000</v>
      </c>
      <c r="E28" s="1" t="s">
        <v>105</v>
      </c>
      <c r="F28" s="1">
        <f>_xlfn.XLOOKUP(cutts[[#This Row],[cutId]],[1]!Table15678910111216182021[idd],[1]!Table15678910111216182021[id])</f>
        <v>1</v>
      </c>
      <c r="G28" s="1">
        <f>_xlfn.XLOOKUP(cutts[[#This Row],[cutId]],[1]!Table1567891011121618202124[idd],[1]!Table1567891011121618202124[id])</f>
        <v>1</v>
      </c>
      <c r="H28" s="60" t="s">
        <v>612</v>
      </c>
      <c r="I28" s="324">
        <v>2</v>
      </c>
      <c r="J28" s="59">
        <f>cutts[[#This Row],[num]]-SUM(cutts[[#This Row],[num2]])</f>
        <v>3000</v>
      </c>
      <c r="K28" s="324"/>
      <c r="L28" s="21"/>
      <c r="M28" s="33">
        <v>3000</v>
      </c>
      <c r="N28" s="33"/>
      <c r="O28" s="33">
        <f>cutts[[#This Row],[num]]-cutts[[#This Row],[cutted]]</f>
        <v>0</v>
      </c>
      <c r="P28" s="33"/>
      <c r="Q28" s="317"/>
    </row>
    <row r="29" spans="2:20" ht="16.5">
      <c r="B29" s="2" t="s">
        <v>236</v>
      </c>
      <c r="C29" s="52">
        <v>140010279</v>
      </c>
      <c r="D29" s="52">
        <v>3000</v>
      </c>
      <c r="E29" s="1" t="s">
        <v>106</v>
      </c>
      <c r="F29" s="1">
        <f>_xlfn.XLOOKUP(cutts[[#This Row],[cutId]],[1]!Table15678910111216182021[idd],[1]!Table15678910111216182021[id])</f>
        <v>1</v>
      </c>
      <c r="G29" s="1">
        <f>_xlfn.XLOOKUP(cutts[[#This Row],[cutId]],[1]!Table1567891011121618202124[idd],[1]!Table1567891011121618202124[id])</f>
        <v>1</v>
      </c>
      <c r="H29" s="60" t="s">
        <v>613</v>
      </c>
      <c r="I29" s="324">
        <v>1</v>
      </c>
      <c r="J29" s="59">
        <f>cutts[[#This Row],[num]]-SUM(cutts[[#This Row],[num2]])</f>
        <v>3000</v>
      </c>
      <c r="K29" s="324"/>
      <c r="L29" s="21"/>
      <c r="M29" s="33">
        <v>3000</v>
      </c>
      <c r="N29" s="33"/>
      <c r="O29" s="33">
        <f>cutts[[#This Row],[num]]-cutts[[#This Row],[cutted]]</f>
        <v>0</v>
      </c>
      <c r="P29" s="33"/>
      <c r="Q29" s="317"/>
    </row>
    <row r="30" spans="2:20" ht="16.5">
      <c r="B30" s="2" t="s">
        <v>268</v>
      </c>
      <c r="C30" s="52">
        <v>140010279</v>
      </c>
      <c r="D30" s="52">
        <v>4300</v>
      </c>
      <c r="E30" s="1" t="s">
        <v>106</v>
      </c>
      <c r="F30" s="1">
        <f>_xlfn.XLOOKUP(cutts[[#This Row],[cutId]],[1]!Table15678910111216182021[idd],[1]!Table15678910111216182021[id])</f>
        <v>1</v>
      </c>
      <c r="G30" s="1">
        <f>_xlfn.XLOOKUP(cutts[[#This Row],[cutId]],[1]!Table1567891011121618202124[idd],[1]!Table1567891011121618202124[id])</f>
        <v>1</v>
      </c>
      <c r="H30" s="60" t="s">
        <v>614</v>
      </c>
      <c r="I30" s="324">
        <v>1</v>
      </c>
      <c r="J30" s="59">
        <f>cutts[[#This Row],[num]]-SUM(cutts[[#This Row],[num2]])</f>
        <v>4300</v>
      </c>
      <c r="K30" s="324"/>
      <c r="L30" s="21"/>
      <c r="M30" s="33">
        <v>4300</v>
      </c>
      <c r="N30" s="33"/>
      <c r="O30" s="33">
        <f>cutts[[#This Row],[num]]-cutts[[#This Row],[cutted]]</f>
        <v>0</v>
      </c>
      <c r="P30" s="33"/>
      <c r="Q30" s="317"/>
    </row>
    <row r="31" spans="2:20" ht="16.5">
      <c r="B31" s="2" t="s">
        <v>268</v>
      </c>
      <c r="C31" s="52">
        <v>140030039</v>
      </c>
      <c r="D31" s="52">
        <v>2000</v>
      </c>
      <c r="E31" s="1" t="s">
        <v>105</v>
      </c>
      <c r="F31" s="1">
        <f>_xlfn.XLOOKUP(cutts[[#This Row],[cutId]],[1]!Table15678910111216182021[idd],[1]!Table15678910111216182021[id])</f>
        <v>1</v>
      </c>
      <c r="G31" s="1">
        <f>_xlfn.XLOOKUP(cutts[[#This Row],[cutId]],[1]!Table1567891011121618202124[idd],[1]!Table1567891011121618202124[id])</f>
        <v>1</v>
      </c>
      <c r="H31" s="60" t="s">
        <v>615</v>
      </c>
      <c r="I31" s="324">
        <v>2</v>
      </c>
      <c r="J31" s="59">
        <f>cutts[[#This Row],[num]]-SUM(cutts[[#This Row],[num2]])</f>
        <v>2000</v>
      </c>
      <c r="K31" s="324"/>
      <c r="L31" s="21"/>
      <c r="M31" s="33">
        <v>2000</v>
      </c>
      <c r="N31" s="33"/>
      <c r="O31" s="33">
        <f>cutts[[#This Row],[num]]-cutts[[#This Row],[cutted]]</f>
        <v>0</v>
      </c>
      <c r="P31" s="33"/>
      <c r="Q31" s="317"/>
    </row>
    <row r="32" spans="2:20" ht="16.5">
      <c r="B32" s="2" t="s">
        <v>268</v>
      </c>
      <c r="C32" s="52">
        <v>140030040</v>
      </c>
      <c r="D32" s="52">
        <v>2900</v>
      </c>
      <c r="E32" s="1" t="s">
        <v>105</v>
      </c>
      <c r="F32" s="1">
        <f>_xlfn.XLOOKUP(cutts[[#This Row],[cutId]],[1]!Table15678910111216182021[idd],[1]!Table15678910111216182021[id])</f>
        <v>1</v>
      </c>
      <c r="G32" s="1">
        <f>_xlfn.XLOOKUP(cutts[[#This Row],[cutId]],[1]!Table1567891011121618202124[idd],[1]!Table1567891011121618202124[id])</f>
        <v>1</v>
      </c>
      <c r="H32" s="60" t="s">
        <v>616</v>
      </c>
      <c r="I32" s="324">
        <v>2</v>
      </c>
      <c r="J32" s="59">
        <f>cutts[[#This Row],[num]]-SUM(cutts[[#This Row],[num2]])</f>
        <v>2900</v>
      </c>
      <c r="K32" s="324"/>
      <c r="L32" s="21"/>
      <c r="M32" s="33">
        <v>2900</v>
      </c>
      <c r="N32" s="33"/>
      <c r="O32" s="33">
        <f>cutts[[#This Row],[num]]-cutts[[#This Row],[cutted]]</f>
        <v>0</v>
      </c>
      <c r="P32" s="33"/>
      <c r="Q32" s="317"/>
    </row>
    <row r="33" spans="1:18" ht="16.5">
      <c r="B33" s="2" t="s">
        <v>273</v>
      </c>
      <c r="C33" s="1">
        <v>140010295</v>
      </c>
      <c r="D33" s="1">
        <v>10</v>
      </c>
      <c r="E33" s="1" t="s">
        <v>106</v>
      </c>
      <c r="F33" s="1">
        <f>_xlfn.XLOOKUP(cutts[[#This Row],[cutId]],[1]!Table15678910111216182021[idd],[1]!Table15678910111216182021[id])</f>
        <v>1</v>
      </c>
      <c r="G33" s="1">
        <f>_xlfn.XLOOKUP(cutts[[#This Row],[cutId]],[1]!Table1567891011121618202124[idd],[1]!Table1567891011121618202124[id])</f>
        <v>1</v>
      </c>
      <c r="H33" s="327"/>
      <c r="I33" s="324">
        <v>1</v>
      </c>
      <c r="J33" s="59">
        <f>cutts[[#This Row],[num]]-SUM(cutts[[#This Row],[num2]])</f>
        <v>10</v>
      </c>
      <c r="K33" s="324"/>
      <c r="L33" s="21"/>
      <c r="M33" s="33">
        <v>10</v>
      </c>
      <c r="N33" s="33"/>
      <c r="O33" s="33">
        <f>cutts[[#This Row],[num]]-cutts[[#This Row],[cutted]]</f>
        <v>0</v>
      </c>
      <c r="P33" s="33"/>
      <c r="Q33" s="317"/>
      <c r="R33" s="1" t="s">
        <v>275</v>
      </c>
    </row>
    <row r="34" spans="1:18" ht="16.5">
      <c r="B34" s="2" t="s">
        <v>273</v>
      </c>
      <c r="C34" s="1">
        <v>140010279</v>
      </c>
      <c r="D34" s="1">
        <v>-2</v>
      </c>
      <c r="E34" s="1" t="s">
        <v>106</v>
      </c>
      <c r="F34" s="1">
        <f>_xlfn.XLOOKUP(cutts[[#This Row],[cutId]],[1]!Table15678910111216182021[idd],[1]!Table15678910111216182021[id])</f>
        <v>1</v>
      </c>
      <c r="G34" s="1">
        <f>_xlfn.XLOOKUP(cutts[[#This Row],[cutId]],[1]!Table1567891011121618202124[idd],[1]!Table1567891011121618202124[id])</f>
        <v>1</v>
      </c>
      <c r="H34" s="327"/>
      <c r="I34" s="324">
        <v>1</v>
      </c>
      <c r="J34" s="59">
        <f>cutts[[#This Row],[num]]-SUM(cutts[[#This Row],[num2]])</f>
        <v>-2</v>
      </c>
      <c r="K34" s="324"/>
      <c r="L34" s="21"/>
      <c r="M34" s="33">
        <v>-2</v>
      </c>
      <c r="N34" s="33"/>
      <c r="O34" s="33">
        <f>cutts[[#This Row],[num]]-cutts[[#This Row],[cutted]]</f>
        <v>0</v>
      </c>
      <c r="P34" s="33"/>
      <c r="Q34" s="317"/>
      <c r="R34" s="1" t="s">
        <v>277</v>
      </c>
    </row>
    <row r="35" spans="1:18" ht="16.5">
      <c r="B35" s="2" t="s">
        <v>273</v>
      </c>
      <c r="C35" s="1">
        <v>140010298</v>
      </c>
      <c r="D35" s="1">
        <v>2</v>
      </c>
      <c r="E35" s="1" t="s">
        <v>106</v>
      </c>
      <c r="F35" s="1">
        <f>_xlfn.XLOOKUP(cutts[[#This Row],[cutId]],[1]!Table15678910111216182021[idd],[1]!Table15678910111216182021[id])</f>
        <v>1</v>
      </c>
      <c r="G35" s="1">
        <f>_xlfn.XLOOKUP(cutts[[#This Row],[cutId]],[1]!Table1567891011121618202124[idd],[1]!Table1567891011121618202124[id])</f>
        <v>1</v>
      </c>
      <c r="H35" s="327"/>
      <c r="I35" s="324">
        <v>1</v>
      </c>
      <c r="J35" s="59">
        <f>cutts[[#This Row],[num]]-SUM(cutts[[#This Row],[num2]])</f>
        <v>2</v>
      </c>
      <c r="K35" s="324"/>
      <c r="L35" s="21"/>
      <c r="M35" s="33">
        <v>2</v>
      </c>
      <c r="N35" s="33"/>
      <c r="O35" s="33">
        <f>cutts[[#This Row],[num]]-cutts[[#This Row],[cutted]]</f>
        <v>0</v>
      </c>
      <c r="P35" s="33"/>
      <c r="Q35" s="317"/>
      <c r="R35" s="58" t="s">
        <v>277</v>
      </c>
    </row>
    <row r="36" spans="1:18" ht="16.5">
      <c r="B36" s="2" t="s">
        <v>251</v>
      </c>
      <c r="C36" s="1">
        <v>140010117</v>
      </c>
      <c r="D36" s="1">
        <v>3000</v>
      </c>
      <c r="E36" s="1" t="s">
        <v>105</v>
      </c>
      <c r="F36" s="1">
        <f>_xlfn.XLOOKUP(cutts[[#This Row],[cutId]],[1]!Table15678910111216182021[idd],[1]!Table15678910111216182021[id])</f>
        <v>1</v>
      </c>
      <c r="G36" s="1">
        <f>_xlfn.XLOOKUP(cutts[[#This Row],[cutId]],[1]!Table1567891011121618202124[idd],[1]!Table1567891011121618202124[id])</f>
        <v>1</v>
      </c>
      <c r="H36" s="60" t="s">
        <v>617</v>
      </c>
      <c r="I36" s="324">
        <v>2</v>
      </c>
      <c r="J36" s="59">
        <f>cutts[[#This Row],[num]]-SUM(cutts[[#This Row],[num2]])</f>
        <v>3000</v>
      </c>
      <c r="K36" s="324"/>
      <c r="L36" s="21"/>
      <c r="M36" s="33">
        <v>3000</v>
      </c>
      <c r="N36" s="33"/>
      <c r="O36" s="33">
        <f>cutts[[#This Row],[num]]-cutts[[#This Row],[cutted]]</f>
        <v>0</v>
      </c>
      <c r="P36" s="33"/>
      <c r="Q36" s="317"/>
    </row>
    <row r="37" spans="1:18" ht="16.5">
      <c r="B37" s="2" t="s">
        <v>251</v>
      </c>
      <c r="C37" s="1">
        <v>140010230</v>
      </c>
      <c r="D37" s="1">
        <v>3000</v>
      </c>
      <c r="E37" s="1" t="s">
        <v>105</v>
      </c>
      <c r="F37" s="1">
        <f>_xlfn.XLOOKUP(cutts[[#This Row],[cutId]],[1]!Table15678910111216182021[idd],[1]!Table15678910111216182021[id])</f>
        <v>1</v>
      </c>
      <c r="G37" s="1">
        <f>_xlfn.XLOOKUP(cutts[[#This Row],[cutId]],[1]!Table1567891011121618202124[idd],[1]!Table1567891011121618202124[id])</f>
        <v>1</v>
      </c>
      <c r="H37" s="60" t="s">
        <v>618</v>
      </c>
      <c r="I37" s="324">
        <v>2</v>
      </c>
      <c r="J37" s="59">
        <f>cutts[[#This Row],[num]]-SUM(cutts[[#This Row],[num2]])</f>
        <v>3000</v>
      </c>
      <c r="K37" s="324"/>
      <c r="L37" s="21"/>
      <c r="M37" s="33">
        <v>3000</v>
      </c>
      <c r="N37" s="33"/>
      <c r="O37" s="33">
        <f>cutts[[#This Row],[num]]-cutts[[#This Row],[cutted]]</f>
        <v>0</v>
      </c>
      <c r="P37" s="33"/>
      <c r="Q37" s="317"/>
    </row>
    <row r="38" spans="1:18" ht="30">
      <c r="B38" s="2" t="s">
        <v>251</v>
      </c>
      <c r="C38" s="52">
        <v>140010117</v>
      </c>
      <c r="D38" s="52">
        <v>4000</v>
      </c>
      <c r="E38" s="1" t="s">
        <v>105</v>
      </c>
      <c r="F38" s="1">
        <f>_xlfn.XLOOKUP(cutts[[#This Row],[cutId]],[1]!Table15678910111216182021[idd],[1]!Table15678910111216182021[id])</f>
        <v>1</v>
      </c>
      <c r="G38" s="1">
        <f>_xlfn.XLOOKUP(cutts[[#This Row],[cutId]],[1]!Table1567891011121618202124[idd],[1]!Table1567891011121618202124[id])</f>
        <v>1</v>
      </c>
      <c r="H38" s="60" t="s">
        <v>651</v>
      </c>
      <c r="I38" s="324">
        <v>2</v>
      </c>
      <c r="J38" s="59">
        <f>cutts[[#This Row],[num]]-SUM(cutts[[#This Row],[num2]])</f>
        <v>4000</v>
      </c>
      <c r="K38" s="324"/>
      <c r="L38" s="21"/>
      <c r="M38" s="33">
        <v>4000</v>
      </c>
      <c r="N38" s="33"/>
      <c r="O38" s="33">
        <f>cutts[[#This Row],[num]]-cutts[[#This Row],[cutted]]</f>
        <v>0</v>
      </c>
      <c r="P38" s="33"/>
      <c r="Q38" s="317"/>
    </row>
    <row r="39" spans="1:18" ht="16.5">
      <c r="B39" s="2" t="s">
        <v>251</v>
      </c>
      <c r="C39" s="52">
        <v>140010230</v>
      </c>
      <c r="D39" s="52">
        <v>3000</v>
      </c>
      <c r="E39" s="1" t="s">
        <v>105</v>
      </c>
      <c r="F39" s="1">
        <f>_xlfn.XLOOKUP(cutts[[#This Row],[cutId]],[1]!Table15678910111216182021[idd],[1]!Table15678910111216182021[id])</f>
        <v>1</v>
      </c>
      <c r="G39" s="1">
        <f>_xlfn.XLOOKUP(cutts[[#This Row],[cutId]],[1]!Table1567891011121618202124[idd],[1]!Table1567891011121618202124[id])</f>
        <v>1</v>
      </c>
      <c r="H39" s="60" t="s">
        <v>654</v>
      </c>
      <c r="I39" s="324">
        <v>2</v>
      </c>
      <c r="J39" s="59">
        <f>cutts[[#This Row],[num]]-SUM(cutts[[#This Row],[num2]])</f>
        <v>3000</v>
      </c>
      <c r="K39" s="324"/>
      <c r="L39" s="21"/>
      <c r="M39" s="33">
        <v>3000</v>
      </c>
      <c r="N39" s="33"/>
      <c r="O39" s="33">
        <f>cutts[[#This Row],[num]]-cutts[[#This Row],[cutted]]</f>
        <v>0</v>
      </c>
      <c r="P39" s="33"/>
      <c r="Q39" s="317"/>
    </row>
    <row r="40" spans="1:18" ht="16.5">
      <c r="A40" s="52">
        <v>33</v>
      </c>
      <c r="B40" s="2" t="s">
        <v>662</v>
      </c>
      <c r="C40" s="52">
        <v>140310096</v>
      </c>
      <c r="D40" s="52">
        <v>3000</v>
      </c>
      <c r="E40" s="52">
        <v>300</v>
      </c>
      <c r="F40" s="491">
        <f>_xlfn.XLOOKUP(cutts[[#This Row],[cutId]],[1]!Table15678910111216182021[idd],[1]!Table15678910111216182021[id])</f>
        <v>23</v>
      </c>
      <c r="G40" s="491" t="e">
        <f>_xlfn.XLOOKUP(cutts[[#This Row],[cutId]],[1]!Table1567891011121618202124[idd],[1]!Table1567891011121618202124[id])</f>
        <v>#N/A</v>
      </c>
      <c r="H40" s="328" t="s">
        <v>663</v>
      </c>
      <c r="I40" s="324">
        <v>2</v>
      </c>
      <c r="J40" s="59">
        <f>cutts[[#This Row],[num]]-SUM(cutts[[#This Row],[num2]])</f>
        <v>3000</v>
      </c>
      <c r="K40" s="324"/>
      <c r="L40" s="21"/>
      <c r="M40" s="33">
        <v>3000</v>
      </c>
      <c r="N40" s="33"/>
      <c r="O40" s="33">
        <f>cutts[[#This Row],[num]]-cutts[[#This Row],[cutted]]</f>
        <v>0</v>
      </c>
      <c r="P40" s="33"/>
      <c r="Q40" s="317"/>
    </row>
    <row r="41" spans="1:18" ht="16.5">
      <c r="A41" s="1">
        <v>34</v>
      </c>
      <c r="B41" s="2" t="s">
        <v>253</v>
      </c>
      <c r="C41" s="1">
        <v>140010255</v>
      </c>
      <c r="D41" s="1">
        <v>1000</v>
      </c>
      <c r="E41" s="1">
        <v>300</v>
      </c>
      <c r="F41" s="1">
        <f>_xlfn.XLOOKUP(cutts[[#This Row],[cutId]],[1]!Table15678910111216182021[idd],[1]!Table15678910111216182021[id])</f>
        <v>24</v>
      </c>
      <c r="G41" s="1" t="e">
        <f>_xlfn.XLOOKUP(cutts[[#This Row],[cutId]],[1]!Table1567891011121618202124[idd],[1]!Table1567891011121618202124[id])</f>
        <v>#N/A</v>
      </c>
      <c r="H41" s="327" t="s">
        <v>665</v>
      </c>
      <c r="I41" s="324">
        <v>2</v>
      </c>
      <c r="J41" s="59">
        <f>cutts[[#This Row],[num]]-SUM(cutts[[#This Row],[num2]])</f>
        <v>1000</v>
      </c>
      <c r="K41" s="324"/>
      <c r="L41" s="21"/>
      <c r="M41" s="33">
        <v>1000</v>
      </c>
      <c r="N41" s="33"/>
      <c r="O41" s="33">
        <f>cutts[[#This Row],[num]]-cutts[[#This Row],[cutted]]</f>
        <v>0</v>
      </c>
      <c r="P41" s="33"/>
      <c r="Q41" s="317"/>
    </row>
    <row r="42" spans="1:18" ht="16.5">
      <c r="A42" s="1">
        <v>35</v>
      </c>
      <c r="B42" s="2" t="s">
        <v>253</v>
      </c>
      <c r="C42" s="1">
        <v>140010230</v>
      </c>
      <c r="D42" s="1">
        <v>3000</v>
      </c>
      <c r="E42" s="1">
        <v>300</v>
      </c>
      <c r="F42" s="1">
        <f>_xlfn.XLOOKUP(cutts[[#This Row],[cutId]],[1]!Table15678910111216182021[idd],[1]!Table15678910111216182021[id])</f>
        <v>25</v>
      </c>
      <c r="G42" s="1" t="e">
        <f>_xlfn.XLOOKUP(cutts[[#This Row],[cutId]],[1]!Table1567891011121618202124[idd],[1]!Table1567891011121618202124[id])</f>
        <v>#N/A</v>
      </c>
      <c r="H42" s="327" t="s">
        <v>666</v>
      </c>
      <c r="I42" s="324">
        <v>2</v>
      </c>
      <c r="J42" s="59">
        <f>cutts[[#This Row],[num]]-SUM(cutts[[#This Row],[num2]])</f>
        <v>3000</v>
      </c>
      <c r="K42" s="324"/>
      <c r="L42" s="21"/>
      <c r="M42" s="33">
        <v>3000</v>
      </c>
      <c r="N42" s="33"/>
      <c r="O42" s="33">
        <f>cutts[[#This Row],[num]]-cutts[[#This Row],[cutted]]</f>
        <v>0</v>
      </c>
      <c r="P42" s="33"/>
      <c r="Q42" s="317"/>
    </row>
    <row r="43" spans="1:18" ht="16.5">
      <c r="A43" s="1">
        <v>36</v>
      </c>
      <c r="B43" s="2" t="s">
        <v>253</v>
      </c>
      <c r="C43" s="1">
        <v>140010230</v>
      </c>
      <c r="D43" s="1">
        <v>3000</v>
      </c>
      <c r="E43" s="1">
        <v>300</v>
      </c>
      <c r="F43" s="1">
        <f>_xlfn.XLOOKUP(cutts[[#This Row],[cutId]],[1]!Table15678910111216182021[idd],[1]!Table15678910111216182021[id])</f>
        <v>26</v>
      </c>
      <c r="G43" s="1" t="e">
        <f>_xlfn.XLOOKUP(cutts[[#This Row],[cutId]],[1]!Table1567891011121618202124[idd],[1]!Table1567891011121618202124[id])</f>
        <v>#N/A</v>
      </c>
      <c r="H43" s="327" t="s">
        <v>669</v>
      </c>
      <c r="I43" s="324">
        <v>2</v>
      </c>
      <c r="J43" s="59">
        <f>cutts[[#This Row],[num]]-SUM(cutts[[#This Row],[num2]])</f>
        <v>3000</v>
      </c>
      <c r="K43" s="324"/>
      <c r="L43" s="21"/>
      <c r="M43" s="33">
        <v>3000</v>
      </c>
      <c r="N43" s="33"/>
      <c r="O43" s="33">
        <f>cutts[[#This Row],[num]]-cutts[[#This Row],[cutted]]</f>
        <v>0</v>
      </c>
      <c r="P43" s="33"/>
      <c r="Q43" s="317"/>
    </row>
    <row r="44" spans="1:18" ht="16.5">
      <c r="A44" s="1">
        <v>37</v>
      </c>
      <c r="B44" s="2" t="s">
        <v>253</v>
      </c>
      <c r="C44" s="1">
        <v>140010230</v>
      </c>
      <c r="D44" s="1">
        <v>3000</v>
      </c>
      <c r="E44" s="1">
        <v>300</v>
      </c>
      <c r="F44" s="1">
        <f>_xlfn.XLOOKUP(cutts[[#This Row],[cutId]],[1]!Table15678910111216182021[idd],[1]!Table15678910111216182021[id])</f>
        <v>27</v>
      </c>
      <c r="G44" s="1" t="e">
        <f>_xlfn.XLOOKUP(cutts[[#This Row],[cutId]],[1]!Table1567891011121618202124[idd],[1]!Table1567891011121618202124[id])</f>
        <v>#N/A</v>
      </c>
      <c r="H44" s="327" t="s">
        <v>670</v>
      </c>
      <c r="I44" s="324">
        <v>2</v>
      </c>
      <c r="J44" s="59">
        <f>cutts[[#This Row],[num]]-SUM(cutts[[#This Row],[num2]])</f>
        <v>3000</v>
      </c>
      <c r="K44" s="324"/>
      <c r="L44" s="21"/>
      <c r="M44" s="33">
        <v>3000</v>
      </c>
      <c r="N44" s="33"/>
      <c r="O44" s="33">
        <f>cutts[[#This Row],[num]]-cutts[[#This Row],[cutted]]</f>
        <v>0</v>
      </c>
      <c r="P44" s="33"/>
      <c r="Q44" s="317"/>
    </row>
    <row r="45" spans="1:18" ht="16.5">
      <c r="A45" s="1">
        <v>38</v>
      </c>
      <c r="B45" s="2" t="s">
        <v>253</v>
      </c>
      <c r="C45" s="1">
        <v>140010230</v>
      </c>
      <c r="D45" s="1">
        <v>3000</v>
      </c>
      <c r="E45" s="1">
        <v>300</v>
      </c>
      <c r="F45" s="1">
        <f>_xlfn.XLOOKUP(cutts[[#This Row],[cutId]],[1]!Table15678910111216182021[idd],[1]!Table15678910111216182021[id])</f>
        <v>28</v>
      </c>
      <c r="G45" s="1" t="e">
        <f>_xlfn.XLOOKUP(cutts[[#This Row],[cutId]],[1]!Table1567891011121618202124[idd],[1]!Table1567891011121618202124[id])</f>
        <v>#N/A</v>
      </c>
      <c r="H45" s="327" t="s">
        <v>671</v>
      </c>
      <c r="I45" s="324">
        <v>2</v>
      </c>
      <c r="J45" s="59">
        <f>cutts[[#This Row],[num]]-SUM(cutts[[#This Row],[num2]])</f>
        <v>3000</v>
      </c>
      <c r="K45" s="324"/>
      <c r="L45" s="21"/>
      <c r="M45" s="33">
        <v>3000</v>
      </c>
      <c r="N45" s="33"/>
      <c r="O45" s="33">
        <f>cutts[[#This Row],[num]]-cutts[[#This Row],[cutted]]</f>
        <v>0</v>
      </c>
      <c r="P45" s="33"/>
      <c r="Q45" s="317"/>
    </row>
    <row r="46" spans="1:18" ht="16.5">
      <c r="A46" s="1">
        <v>40</v>
      </c>
      <c r="B46" s="2" t="s">
        <v>668</v>
      </c>
      <c r="C46" s="1">
        <v>140310031</v>
      </c>
      <c r="D46" s="1">
        <v>513</v>
      </c>
      <c r="E46" s="1">
        <v>250</v>
      </c>
      <c r="F46" s="1">
        <f>_xlfn.XLOOKUP(cutts[[#This Row],[cutId]],[1]!Table15678910111216182021[idd],[1]!Table15678910111216182021[id])</f>
        <v>29</v>
      </c>
      <c r="G46" s="1" t="e">
        <f>_xlfn.XLOOKUP(cutts[[#This Row],[cutId]],[1]!Table1567891011121618202124[idd],[1]!Table1567891011121618202124[id])</f>
        <v>#N/A</v>
      </c>
      <c r="H46" s="327" t="s">
        <v>1031</v>
      </c>
      <c r="I46" s="324">
        <v>2</v>
      </c>
      <c r="J46" s="59">
        <f>cutts[[#This Row],[num]]-SUM(cutts[[#This Row],[num2]])</f>
        <v>513</v>
      </c>
      <c r="K46" s="324"/>
      <c r="L46" s="21"/>
      <c r="M46" s="33">
        <v>513</v>
      </c>
      <c r="N46" s="33"/>
      <c r="O46" s="33">
        <f>cutts[[#This Row],[num]]-cutts[[#This Row],[cutted]]</f>
        <v>0</v>
      </c>
      <c r="P46" s="33"/>
      <c r="Q46" s="317"/>
    </row>
    <row r="47" spans="1:18" ht="30">
      <c r="A47" s="1">
        <v>41</v>
      </c>
      <c r="B47" s="2" t="s">
        <v>668</v>
      </c>
      <c r="C47" s="1">
        <v>140010230</v>
      </c>
      <c r="D47" s="1">
        <v>3900</v>
      </c>
      <c r="E47" s="1">
        <v>300</v>
      </c>
      <c r="F47" s="1">
        <f>_xlfn.XLOOKUP(cutts[[#This Row],[cutId]],[1]!Table15678910111216182021[idd],[1]!Table15678910111216182021[id])</f>
        <v>30</v>
      </c>
      <c r="G47" s="1" t="e">
        <f>_xlfn.XLOOKUP(cutts[[#This Row],[cutId]],[1]!Table1567891011121618202124[idd],[1]!Table1567891011121618202124[id])</f>
        <v>#N/A</v>
      </c>
      <c r="H47" s="327" t="s">
        <v>1032</v>
      </c>
      <c r="I47" s="324">
        <v>2</v>
      </c>
      <c r="J47" s="59">
        <f>cutts[[#This Row],[num]]-SUM(cutts[[#This Row],[num2]])</f>
        <v>3900</v>
      </c>
      <c r="K47" s="324"/>
      <c r="L47" s="21"/>
      <c r="M47" s="33">
        <v>3900</v>
      </c>
      <c r="N47" s="33"/>
      <c r="O47" s="33">
        <f>cutts[[#This Row],[num]]-cutts[[#This Row],[cutted]]</f>
        <v>0</v>
      </c>
      <c r="P47" s="33"/>
      <c r="Q47" s="317"/>
    </row>
    <row r="48" spans="1:18" ht="16.5">
      <c r="A48" s="1">
        <v>42</v>
      </c>
      <c r="B48" s="2" t="s">
        <v>668</v>
      </c>
      <c r="C48" s="1">
        <v>140310058</v>
      </c>
      <c r="D48" s="1">
        <v>3000</v>
      </c>
      <c r="E48" s="1">
        <v>300</v>
      </c>
      <c r="F48" s="1">
        <f>_xlfn.XLOOKUP(cutts[[#This Row],[cutId]],[1]!Table15678910111216182021[idd],[1]!Table15678910111216182021[id])</f>
        <v>31</v>
      </c>
      <c r="G48" s="1" t="e">
        <f>_xlfn.XLOOKUP(cutts[[#This Row],[cutId]],[1]!Table1567891011121618202124[idd],[1]!Table1567891011121618202124[id])</f>
        <v>#N/A</v>
      </c>
      <c r="H48" s="327" t="s">
        <v>1043</v>
      </c>
      <c r="I48" s="324">
        <v>2</v>
      </c>
      <c r="J48" s="59">
        <f>cutts[[#This Row],[num]]-SUM(cutts[[#This Row],[num2]])</f>
        <v>3000</v>
      </c>
      <c r="K48" s="324"/>
      <c r="L48" s="21"/>
      <c r="M48" s="33">
        <v>3000</v>
      </c>
      <c r="N48" s="33"/>
      <c r="O48" s="33">
        <f>cutts[[#This Row],[num]]-cutts[[#This Row],[cutted]]</f>
        <v>0</v>
      </c>
      <c r="P48" s="33"/>
      <c r="Q48" s="317"/>
    </row>
    <row r="49" spans="1:17" ht="16.5">
      <c r="A49" s="1">
        <v>43</v>
      </c>
      <c r="B49" s="2" t="s">
        <v>278</v>
      </c>
      <c r="C49" s="1">
        <v>141320055</v>
      </c>
      <c r="D49" s="1">
        <v>3000</v>
      </c>
      <c r="E49" s="1">
        <v>500</v>
      </c>
      <c r="F49" s="1">
        <f>_xlfn.XLOOKUP(cutts[[#This Row],[cutId]],[1]!Table15678910111216182021[idd],[1]!Table15678910111216182021[id])</f>
        <v>32</v>
      </c>
      <c r="G49" s="1" t="e">
        <f>_xlfn.XLOOKUP(cutts[[#This Row],[cutId]],[1]!Table1567891011121618202124[idd],[1]!Table1567891011121618202124[id])</f>
        <v>#N/A</v>
      </c>
      <c r="H49" s="327" t="s">
        <v>1048</v>
      </c>
      <c r="I49" s="324">
        <v>2</v>
      </c>
      <c r="J49" s="59">
        <f>cutts[[#This Row],[num]]-SUM(cutts[[#This Row],[num2]])</f>
        <v>3000</v>
      </c>
      <c r="K49" s="324"/>
      <c r="L49" s="21"/>
      <c r="M49" s="33">
        <v>3000</v>
      </c>
      <c r="N49" s="33"/>
      <c r="O49" s="33">
        <f>cutts[[#This Row],[num]]-cutts[[#This Row],[cutted]]</f>
        <v>0</v>
      </c>
      <c r="P49" s="33"/>
      <c r="Q49" s="317"/>
    </row>
    <row r="50" spans="1:17" ht="16.5">
      <c r="A50" s="1">
        <v>44</v>
      </c>
      <c r="B50" s="2" t="s">
        <v>690</v>
      </c>
      <c r="C50" s="1">
        <v>141320055</v>
      </c>
      <c r="D50" s="1">
        <v>3000</v>
      </c>
      <c r="E50" s="1">
        <v>500</v>
      </c>
      <c r="F50" s="1">
        <f>_xlfn.XLOOKUP(cutts[[#This Row],[cutId]],[1]!Table15678910111216182021[idd],[1]!Table15678910111216182021[id])</f>
        <v>33</v>
      </c>
      <c r="G50" s="1" t="e">
        <f>_xlfn.XLOOKUP(cutts[[#This Row],[cutId]],[1]!Table1567891011121618202124[idd],[1]!Table1567891011121618202124[id])</f>
        <v>#N/A</v>
      </c>
      <c r="H50" s="327" t="s">
        <v>1050</v>
      </c>
      <c r="I50" s="324">
        <v>2</v>
      </c>
      <c r="J50" s="59">
        <f>cutts[[#This Row],[num]]-SUM(cutts[[#This Row],[num2]])</f>
        <v>3000</v>
      </c>
      <c r="K50" s="324"/>
      <c r="L50" s="21"/>
      <c r="M50" s="33">
        <v>3000</v>
      </c>
      <c r="N50" s="33"/>
      <c r="O50" s="33">
        <f>cutts[[#This Row],[num]]-cutts[[#This Row],[cutted]]</f>
        <v>0</v>
      </c>
      <c r="P50" s="33"/>
      <c r="Q50" s="317"/>
    </row>
    <row r="51" spans="1:17" ht="16.5">
      <c r="A51" s="1">
        <v>45</v>
      </c>
      <c r="B51" s="2" t="s">
        <v>690</v>
      </c>
      <c r="C51" s="1">
        <v>140030040</v>
      </c>
      <c r="D51" s="1">
        <v>3000</v>
      </c>
      <c r="E51" s="1">
        <v>300</v>
      </c>
      <c r="F51" s="1">
        <f>_xlfn.XLOOKUP(cutts[[#This Row],[cutId]],[1]!Table15678910111216182021[idd],[1]!Table15678910111216182021[id])</f>
        <v>34</v>
      </c>
      <c r="G51" s="1" t="e">
        <f>_xlfn.XLOOKUP(cutts[[#This Row],[cutId]],[1]!Table1567891011121618202124[idd],[1]!Table1567891011121618202124[id])</f>
        <v>#N/A</v>
      </c>
      <c r="H51" s="327" t="s">
        <v>1052</v>
      </c>
      <c r="I51" s="324" t="s">
        <v>1051</v>
      </c>
      <c r="J51" s="59">
        <f>cutts[[#This Row],[num]]-SUM(cutts[[#This Row],[num2]])</f>
        <v>3000</v>
      </c>
      <c r="K51" s="324"/>
      <c r="L51" s="21"/>
      <c r="M51" s="33">
        <v>3000</v>
      </c>
      <c r="N51" s="33"/>
      <c r="O51" s="33">
        <f>cutts[[#This Row],[num]]-cutts[[#This Row],[cutted]]</f>
        <v>0</v>
      </c>
      <c r="P51" s="33"/>
      <c r="Q51" s="317"/>
    </row>
    <row r="52" spans="1:17" ht="16.5">
      <c r="A52" s="1">
        <v>46</v>
      </c>
      <c r="B52" s="2" t="s">
        <v>690</v>
      </c>
      <c r="C52" s="1">
        <v>140030039</v>
      </c>
      <c r="D52" s="1">
        <v>600</v>
      </c>
      <c r="E52" s="1">
        <v>300</v>
      </c>
      <c r="F52" s="1">
        <f>_xlfn.XLOOKUP(cutts[[#This Row],[cutId]],[1]!Table15678910111216182021[idd],[1]!Table15678910111216182021[id])</f>
        <v>35</v>
      </c>
      <c r="G52" s="1" t="e">
        <f>_xlfn.XLOOKUP(cutts[[#This Row],[cutId]],[1]!Table1567891011121618202124[idd],[1]!Table1567891011121618202124[id])</f>
        <v>#N/A</v>
      </c>
      <c r="H52" s="327" t="s">
        <v>1056</v>
      </c>
      <c r="I52" s="324" t="s">
        <v>1051</v>
      </c>
      <c r="J52" s="59">
        <f>cutts[[#This Row],[num]]-SUM(cutts[[#This Row],[num2]])</f>
        <v>600</v>
      </c>
      <c r="K52" s="324"/>
      <c r="L52" s="21"/>
      <c r="M52" s="33">
        <v>600</v>
      </c>
      <c r="N52" s="33"/>
      <c r="O52" s="33">
        <f>cutts[[#This Row],[num]]-cutts[[#This Row],[cutted]]</f>
        <v>0</v>
      </c>
      <c r="P52" s="33"/>
      <c r="Q52" s="317"/>
    </row>
    <row r="53" spans="1:17" ht="16.5">
      <c r="A53" s="1">
        <v>47</v>
      </c>
      <c r="B53" s="2" t="s">
        <v>690</v>
      </c>
      <c r="C53" s="1">
        <v>140030039</v>
      </c>
      <c r="D53" s="169">
        <v>2400</v>
      </c>
      <c r="E53" s="169">
        <v>300</v>
      </c>
      <c r="F53" s="169">
        <f>_xlfn.XLOOKUP(cutts[[#This Row],[cutId]],[1]!Table15678910111216182021[idd],[1]!Table15678910111216182021[id])</f>
        <v>36</v>
      </c>
      <c r="G53" s="169" t="e">
        <f>_xlfn.XLOOKUP(cutts[[#This Row],[cutId]],[1]!Table1567891011121618202124[idd],[1]!Table1567891011121618202124[id])</f>
        <v>#N/A</v>
      </c>
      <c r="H53" s="329" t="s">
        <v>1057</v>
      </c>
      <c r="I53" s="324" t="s">
        <v>1051</v>
      </c>
      <c r="J53" s="59">
        <f>cutts[[#This Row],[num]]-SUM(cutts[[#This Row],[num2]])</f>
        <v>2400</v>
      </c>
      <c r="K53" s="324"/>
      <c r="L53" s="21"/>
      <c r="M53" s="33">
        <v>2400</v>
      </c>
      <c r="N53" s="33"/>
      <c r="O53" s="33">
        <f>cutts[[#This Row],[num]]-cutts[[#This Row],[cutted]]</f>
        <v>0</v>
      </c>
      <c r="P53" s="33"/>
      <c r="Q53" s="317"/>
    </row>
    <row r="54" spans="1:17" ht="16.5">
      <c r="A54" s="1">
        <v>48</v>
      </c>
      <c r="B54" s="2" t="s">
        <v>690</v>
      </c>
      <c r="C54" s="1">
        <v>141320055</v>
      </c>
      <c r="D54" s="1">
        <v>347</v>
      </c>
      <c r="E54" s="1">
        <v>500</v>
      </c>
      <c r="F54" s="1">
        <f>_xlfn.XLOOKUP(cutts[[#This Row],[cutId]],[1]!Table15678910111216182021[idd],[1]!Table15678910111216182021[id])</f>
        <v>37</v>
      </c>
      <c r="G54" s="1" t="e">
        <f>_xlfn.XLOOKUP(cutts[[#This Row],[cutId]],[1]!Table1567891011121618202124[idd],[1]!Table1567891011121618202124[id])</f>
        <v>#N/A</v>
      </c>
      <c r="H54" s="327" t="s">
        <v>1058</v>
      </c>
      <c r="I54" s="324">
        <v>2</v>
      </c>
      <c r="J54" s="59">
        <f>cutts[[#This Row],[num]]-SUM(cutts[[#This Row],[num2]])</f>
        <v>347</v>
      </c>
      <c r="K54" s="324"/>
      <c r="L54" s="21"/>
      <c r="M54" s="33">
        <v>347</v>
      </c>
      <c r="N54" s="33"/>
      <c r="O54" s="33">
        <f>cutts[[#This Row],[num]]-cutts[[#This Row],[cutted]]</f>
        <v>0</v>
      </c>
      <c r="P54" s="33"/>
      <c r="Q54" s="317"/>
    </row>
    <row r="55" spans="1:17" ht="16.5">
      <c r="A55" s="1">
        <v>49</v>
      </c>
      <c r="B55" s="2" t="s">
        <v>691</v>
      </c>
      <c r="C55" s="1">
        <v>140010117</v>
      </c>
      <c r="D55" s="1">
        <v>3000</v>
      </c>
      <c r="E55" s="1">
        <v>300</v>
      </c>
      <c r="F55" s="1">
        <f>_xlfn.XLOOKUP(cutts[[#This Row],[cutId]],[1]!Table15678910111216182021[idd],[1]!Table15678910111216182021[id])</f>
        <v>38</v>
      </c>
      <c r="G55" s="1" t="e">
        <f>_xlfn.XLOOKUP(cutts[[#This Row],[cutId]],[1]!Table1567891011121618202124[idd],[1]!Table1567891011121618202124[id])</f>
        <v>#N/A</v>
      </c>
      <c r="H55" s="327" t="s">
        <v>1059</v>
      </c>
      <c r="I55" s="324" t="s">
        <v>1051</v>
      </c>
      <c r="J55" s="59">
        <f>cutts[[#This Row],[num]]-SUM(cutts[[#This Row],[num2]])</f>
        <v>3000</v>
      </c>
      <c r="K55" s="324"/>
      <c r="L55" s="21"/>
      <c r="M55" s="33">
        <v>3000</v>
      </c>
      <c r="N55" s="33"/>
      <c r="O55" s="33">
        <f>cutts[[#This Row],[num]]-cutts[[#This Row],[cutted]]</f>
        <v>0</v>
      </c>
      <c r="P55" s="33"/>
      <c r="Q55" s="317"/>
    </row>
    <row r="56" spans="1:17" ht="16.5">
      <c r="A56" s="1">
        <v>50</v>
      </c>
      <c r="B56" s="2" t="s">
        <v>256</v>
      </c>
      <c r="C56" s="1">
        <v>140310058</v>
      </c>
      <c r="D56" s="171">
        <v>3000</v>
      </c>
      <c r="E56" s="171">
        <v>300</v>
      </c>
      <c r="F56" s="171">
        <f>_xlfn.XLOOKUP(cutts[[#This Row],[cutId]],[1]!Table15678910111216182021[idd],[1]!Table15678910111216182021[id])</f>
        <v>39</v>
      </c>
      <c r="G56" s="171" t="e">
        <f>_xlfn.XLOOKUP(cutts[[#This Row],[cutId]],[1]!Table1567891011121618202124[idd],[1]!Table1567891011121618202124[id])</f>
        <v>#N/A</v>
      </c>
      <c r="H56" s="330" t="s">
        <v>1063</v>
      </c>
      <c r="I56" s="324">
        <v>2</v>
      </c>
      <c r="J56" s="59">
        <f>cutts[[#This Row],[num]]-SUM(cutts[[#This Row],[num2]])</f>
        <v>3000</v>
      </c>
      <c r="K56" s="324"/>
      <c r="L56" s="21"/>
      <c r="M56" s="33">
        <v>3000</v>
      </c>
      <c r="N56" s="33"/>
      <c r="O56" s="33">
        <f>cutts[[#This Row],[num]]-cutts[[#This Row],[cutted]]</f>
        <v>0</v>
      </c>
      <c r="P56" s="33"/>
      <c r="Q56" s="317"/>
    </row>
    <row r="57" spans="1:17" ht="16.5">
      <c r="A57" s="1">
        <v>51</v>
      </c>
      <c r="B57" s="2" t="s">
        <v>695</v>
      </c>
      <c r="C57" s="1">
        <v>140020181</v>
      </c>
      <c r="D57" s="1">
        <v>3000</v>
      </c>
      <c r="E57" s="1">
        <v>300</v>
      </c>
      <c r="F57" s="1">
        <f>_xlfn.XLOOKUP(cutts[[#This Row],[cutId]],[1]!Table15678910111216182021[idd],[1]!Table15678910111216182021[id])</f>
        <v>40</v>
      </c>
      <c r="G57" s="1" t="e">
        <f>_xlfn.XLOOKUP(cutts[[#This Row],[cutId]],[1]!Table1567891011121618202124[idd],[1]!Table1567891011121618202124[id])</f>
        <v>#N/A</v>
      </c>
      <c r="H57" s="327" t="s">
        <v>1073</v>
      </c>
      <c r="I57" s="324">
        <v>3</v>
      </c>
      <c r="J57" s="59">
        <f>cutts[[#This Row],[num]]-SUM(cutts[[#This Row],[num2]])</f>
        <v>3000</v>
      </c>
      <c r="K57" s="324"/>
      <c r="L57" s="21"/>
      <c r="M57" s="33">
        <v>3000</v>
      </c>
      <c r="N57" s="33"/>
      <c r="O57" s="33">
        <f>cutts[[#This Row],[num]]-cutts[[#This Row],[cutted]]</f>
        <v>0</v>
      </c>
      <c r="P57" s="33"/>
      <c r="Q57" s="317"/>
    </row>
    <row r="58" spans="1:17" ht="16.5">
      <c r="A58" s="1">
        <v>52</v>
      </c>
      <c r="B58" s="2" t="s">
        <v>695</v>
      </c>
      <c r="C58" s="1">
        <v>140020181</v>
      </c>
      <c r="D58" s="1">
        <v>3000</v>
      </c>
      <c r="E58" s="1">
        <v>300</v>
      </c>
      <c r="F58" s="1">
        <f>_xlfn.XLOOKUP(cutts[[#This Row],[cutId]],[1]!Table15678910111216182021[idd],[1]!Table15678910111216182021[id])</f>
        <v>41</v>
      </c>
      <c r="G58" s="1" t="e">
        <f>_xlfn.XLOOKUP(cutts[[#This Row],[cutId]],[1]!Table1567891011121618202124[idd],[1]!Table1567891011121618202124[id])</f>
        <v>#N/A</v>
      </c>
      <c r="H58" s="327" t="s">
        <v>1074</v>
      </c>
      <c r="I58" s="324">
        <v>3</v>
      </c>
      <c r="J58" s="59">
        <f>cutts[[#This Row],[num]]-SUM(cutts[[#This Row],[num2]])</f>
        <v>3000</v>
      </c>
      <c r="K58" s="324"/>
      <c r="L58" s="21"/>
      <c r="M58" s="33">
        <v>3000</v>
      </c>
      <c r="N58" s="33"/>
      <c r="O58" s="33">
        <f>cutts[[#This Row],[num]]-cutts[[#This Row],[cutted]]</f>
        <v>0</v>
      </c>
      <c r="P58" s="33"/>
      <c r="Q58" s="317"/>
    </row>
    <row r="59" spans="1:17" ht="16.5">
      <c r="A59" s="1">
        <v>53</v>
      </c>
      <c r="B59" s="2" t="s">
        <v>254</v>
      </c>
      <c r="C59" s="1">
        <v>140020181</v>
      </c>
      <c r="D59" s="1">
        <v>3000</v>
      </c>
      <c r="E59" s="1">
        <v>300</v>
      </c>
      <c r="F59" s="1">
        <f>_xlfn.XLOOKUP(cutts[[#This Row],[cutId]],[1]!Table15678910111216182021[idd],[1]!Table15678910111216182021[id])</f>
        <v>42</v>
      </c>
      <c r="G59" s="1" t="e">
        <f>_xlfn.XLOOKUP(cutts[[#This Row],[cutId]],[1]!Table1567891011121618202124[idd],[1]!Table1567891011121618202124[id])</f>
        <v>#N/A</v>
      </c>
      <c r="H59" s="327" t="s">
        <v>1075</v>
      </c>
      <c r="I59" s="324">
        <v>3</v>
      </c>
      <c r="J59" s="59">
        <f>cutts[[#This Row],[num]]-SUM(cutts[[#This Row],[num2]])</f>
        <v>3000</v>
      </c>
      <c r="K59" s="324"/>
      <c r="L59" s="21"/>
      <c r="M59" s="33">
        <v>3000</v>
      </c>
      <c r="N59" s="33"/>
      <c r="O59" s="33">
        <f>cutts[[#This Row],[num]]-cutts[[#This Row],[cutted]]</f>
        <v>0</v>
      </c>
      <c r="P59" s="33"/>
      <c r="Q59" s="317"/>
    </row>
    <row r="60" spans="1:17" ht="16.5">
      <c r="A60" s="232">
        <v>54</v>
      </c>
      <c r="B60" s="233" t="s">
        <v>280</v>
      </c>
      <c r="C60" s="171">
        <v>140020181</v>
      </c>
      <c r="D60" s="171">
        <v>1000</v>
      </c>
      <c r="E60" s="171">
        <v>300</v>
      </c>
      <c r="F60" s="171">
        <f>_xlfn.XLOOKUP(cutts[[#This Row],[cutId]],[1]!Table15678910111216182021[idd],[1]!Table15678910111216182021[id])</f>
        <v>43</v>
      </c>
      <c r="G60" s="171" t="e">
        <f>_xlfn.XLOOKUP(cutts[[#This Row],[cutId]],[1]!Table1567891011121618202124[idd],[1]!Table1567891011121618202124[id])</f>
        <v>#N/A</v>
      </c>
      <c r="H60" s="330" t="s">
        <v>1077</v>
      </c>
      <c r="I60" s="324">
        <v>3</v>
      </c>
      <c r="J60" s="59">
        <f>cutts[[#This Row],[num]]-SUM(cutts[[#This Row],[num2]])</f>
        <v>1000</v>
      </c>
      <c r="K60" s="324"/>
      <c r="L60" s="21"/>
      <c r="M60" s="33">
        <v>1000</v>
      </c>
      <c r="N60" s="33"/>
      <c r="O60" s="33">
        <f>cutts[[#This Row],[num]]-cutts[[#This Row],[cutted]]</f>
        <v>0</v>
      </c>
      <c r="P60" s="33"/>
      <c r="Q60" s="317"/>
    </row>
    <row r="61" spans="1:17" ht="16.5">
      <c r="A61" s="1">
        <v>55</v>
      </c>
      <c r="B61" s="2" t="s">
        <v>698</v>
      </c>
      <c r="C61" s="1">
        <v>141320055</v>
      </c>
      <c r="D61" s="1">
        <v>3000</v>
      </c>
      <c r="E61" s="1">
        <v>500</v>
      </c>
      <c r="F61" s="1">
        <f>_xlfn.XLOOKUP(cutts[[#This Row],[cutId]],[1]!Table15678910111216182021[idd],[1]!Table15678910111216182021[id])</f>
        <v>44</v>
      </c>
      <c r="G61" s="1" t="e">
        <f>_xlfn.XLOOKUP(cutts[[#This Row],[cutId]],[1]!Table1567891011121618202124[idd],[1]!Table1567891011121618202124[id])</f>
        <v>#N/A</v>
      </c>
      <c r="H61" s="327" t="s">
        <v>1078</v>
      </c>
      <c r="I61" s="324">
        <v>2</v>
      </c>
      <c r="J61" s="59">
        <f>cutts[[#This Row],[num]]-SUM(cutts[[#This Row],[num2]])</f>
        <v>3000</v>
      </c>
      <c r="K61" s="324"/>
      <c r="L61" s="21"/>
      <c r="M61" s="33">
        <v>3000</v>
      </c>
      <c r="N61" s="33"/>
      <c r="O61" s="33">
        <f>cutts[[#This Row],[num]]-cutts[[#This Row],[cutted]]</f>
        <v>0</v>
      </c>
      <c r="P61" s="33"/>
      <c r="Q61" s="317"/>
    </row>
    <row r="62" spans="1:17" ht="16.5">
      <c r="A62" s="1">
        <v>56</v>
      </c>
      <c r="B62" s="2" t="s">
        <v>281</v>
      </c>
      <c r="C62" s="1">
        <v>141320055</v>
      </c>
      <c r="D62" s="1">
        <v>3000</v>
      </c>
      <c r="E62" s="1">
        <v>500</v>
      </c>
      <c r="F62" s="1">
        <f>_xlfn.XLOOKUP(cutts[[#This Row],[cutId]],[1]!Table15678910111216182021[idd],[1]!Table15678910111216182021[id])</f>
        <v>45</v>
      </c>
      <c r="G62" s="1" t="e">
        <f>_xlfn.XLOOKUP(cutts[[#This Row],[cutId]],[1]!Table1567891011121618202124[idd],[1]!Table1567891011121618202124[id])</f>
        <v>#N/A</v>
      </c>
      <c r="H62" s="327" t="s">
        <v>1079</v>
      </c>
      <c r="I62" s="324">
        <v>2</v>
      </c>
      <c r="J62" s="59">
        <f>cutts[[#This Row],[num]]-SUM(cutts[[#This Row],[num2]])</f>
        <v>3000</v>
      </c>
      <c r="K62" s="324"/>
      <c r="L62" s="21"/>
      <c r="M62" s="33">
        <v>3000</v>
      </c>
      <c r="N62" s="33"/>
      <c r="O62" s="33">
        <f>cutts[[#This Row],[num]]-cutts[[#This Row],[cutted]]</f>
        <v>0</v>
      </c>
      <c r="P62" s="33"/>
      <c r="Q62" s="317"/>
    </row>
    <row r="63" spans="1:17" ht="16.5">
      <c r="A63" s="1">
        <v>57</v>
      </c>
      <c r="B63" s="2" t="s">
        <v>255</v>
      </c>
      <c r="C63" s="1">
        <v>141320055</v>
      </c>
      <c r="D63" s="1">
        <v>3000</v>
      </c>
      <c r="E63" s="1">
        <v>500</v>
      </c>
      <c r="F63" s="1">
        <f>_xlfn.XLOOKUP(cutts[[#This Row],[cutId]],[1]!Table15678910111216182021[idd],[1]!Table15678910111216182021[id])</f>
        <v>46</v>
      </c>
      <c r="G63" s="1" t="e">
        <f>_xlfn.XLOOKUP(cutts[[#This Row],[cutId]],[1]!Table1567891011121618202124[idd],[1]!Table1567891011121618202124[id])</f>
        <v>#N/A</v>
      </c>
      <c r="H63" s="327" t="s">
        <v>1080</v>
      </c>
      <c r="I63" s="324">
        <v>2</v>
      </c>
      <c r="J63" s="59">
        <f>cutts[[#This Row],[num]]-SUM(cutts[[#This Row],[num2]])</f>
        <v>3000</v>
      </c>
      <c r="K63" s="324"/>
      <c r="L63" s="21"/>
      <c r="M63" s="33">
        <v>3000</v>
      </c>
      <c r="N63" s="33"/>
      <c r="O63" s="33">
        <f>cutts[[#This Row],[num]]-cutts[[#This Row],[cutted]]</f>
        <v>0</v>
      </c>
      <c r="P63" s="33"/>
      <c r="Q63" s="317"/>
    </row>
    <row r="64" spans="1:17" ht="16.5">
      <c r="A64" s="1">
        <v>58</v>
      </c>
      <c r="B64" s="2" t="s">
        <v>281</v>
      </c>
      <c r="C64" s="1">
        <v>140310071</v>
      </c>
      <c r="D64" s="1">
        <v>3000</v>
      </c>
      <c r="E64" s="1">
        <v>300</v>
      </c>
      <c r="F64" s="1">
        <f>_xlfn.XLOOKUP(cutts[[#This Row],[cutId]],[1]!Table15678910111216182021[idd],[1]!Table15678910111216182021[id])</f>
        <v>47</v>
      </c>
      <c r="G64" s="1" t="e">
        <f>_xlfn.XLOOKUP(cutts[[#This Row],[cutId]],[1]!Table1567891011121618202124[idd],[1]!Table1567891011121618202124[id])</f>
        <v>#N/A</v>
      </c>
      <c r="H64" s="327" t="s">
        <v>1081</v>
      </c>
      <c r="I64" s="324">
        <v>3</v>
      </c>
      <c r="J64" s="59">
        <f>cutts[[#This Row],[num]]-SUM(cutts[[#This Row],[num2]])</f>
        <v>3000</v>
      </c>
      <c r="K64" s="324"/>
      <c r="L64" s="21"/>
      <c r="M64" s="33">
        <v>3000</v>
      </c>
      <c r="N64" s="33"/>
      <c r="O64" s="33">
        <f>cutts[[#This Row],[num]]-cutts[[#This Row],[cutted]]</f>
        <v>0</v>
      </c>
      <c r="P64" s="33"/>
      <c r="Q64" s="317"/>
    </row>
    <row r="65" spans="1:17" ht="16.5">
      <c r="A65" s="1">
        <v>59</v>
      </c>
      <c r="B65" s="2" t="s">
        <v>255</v>
      </c>
      <c r="C65" s="1">
        <v>140310083</v>
      </c>
      <c r="D65" s="1">
        <v>3000</v>
      </c>
      <c r="E65" s="1">
        <v>300</v>
      </c>
      <c r="F65" s="1">
        <f>_xlfn.XLOOKUP(cutts[[#This Row],[cutId]],[1]!Table15678910111216182021[idd],[1]!Table15678910111216182021[id])</f>
        <v>48</v>
      </c>
      <c r="G65" s="1" t="e">
        <f>_xlfn.XLOOKUP(cutts[[#This Row],[cutId]],[1]!Table1567891011121618202124[idd],[1]!Table1567891011121618202124[id])</f>
        <v>#N/A</v>
      </c>
      <c r="H65" s="327" t="s">
        <v>1082</v>
      </c>
      <c r="I65" s="324">
        <v>3</v>
      </c>
      <c r="J65" s="59">
        <f>cutts[[#This Row],[num]]-SUM(cutts[[#This Row],[num2]])</f>
        <v>3000</v>
      </c>
      <c r="K65" s="324"/>
      <c r="L65" s="21"/>
      <c r="M65" s="33">
        <v>3000</v>
      </c>
      <c r="N65" s="33"/>
      <c r="O65" s="33">
        <f>cutts[[#This Row],[num]]-cutts[[#This Row],[cutted]]</f>
        <v>0</v>
      </c>
      <c r="P65" s="33"/>
      <c r="Q65" s="317"/>
    </row>
    <row r="66" spans="1:17" ht="16.5">
      <c r="A66" s="1">
        <v>60</v>
      </c>
      <c r="B66" s="2" t="s">
        <v>255</v>
      </c>
      <c r="C66" s="1">
        <v>140310058</v>
      </c>
      <c r="D66" s="1">
        <v>2000</v>
      </c>
      <c r="E66" s="1">
        <v>300</v>
      </c>
      <c r="F66" s="1">
        <f>_xlfn.XLOOKUP(cutts[[#This Row],[cutId]],[1]!Table15678910111216182021[idd],[1]!Table15678910111216182021[id])</f>
        <v>49</v>
      </c>
      <c r="G66" s="1" t="e">
        <f>_xlfn.XLOOKUP(cutts[[#This Row],[cutId]],[1]!Table1567891011121618202124[idd],[1]!Table1567891011121618202124[id])</f>
        <v>#N/A</v>
      </c>
      <c r="H66" s="327" t="s">
        <v>1083</v>
      </c>
      <c r="I66" s="324">
        <v>3</v>
      </c>
      <c r="J66" s="59">
        <f>cutts[[#This Row],[num]]-SUM(cutts[[#This Row],[num2]])</f>
        <v>2000</v>
      </c>
      <c r="K66" s="324"/>
      <c r="L66" s="21"/>
      <c r="M66" s="33">
        <v>2000</v>
      </c>
      <c r="N66" s="33"/>
      <c r="O66" s="33">
        <f>cutts[[#This Row],[num]]-cutts[[#This Row],[cutted]]</f>
        <v>0</v>
      </c>
      <c r="P66" s="33"/>
      <c r="Q66" s="317"/>
    </row>
    <row r="67" spans="1:17" ht="16.5">
      <c r="A67" s="1">
        <v>61</v>
      </c>
      <c r="B67" s="2" t="s">
        <v>281</v>
      </c>
      <c r="C67" s="1">
        <v>140310096</v>
      </c>
      <c r="D67" s="1">
        <v>2400</v>
      </c>
      <c r="E67" s="1">
        <v>300</v>
      </c>
      <c r="F67" s="1">
        <f>_xlfn.XLOOKUP(cutts[[#This Row],[cutId]],[1]!Table15678910111216182021[idd],[1]!Table15678910111216182021[id])</f>
        <v>50</v>
      </c>
      <c r="G67" s="1" t="e">
        <f>_xlfn.XLOOKUP(cutts[[#This Row],[cutId]],[1]!Table1567891011121618202124[idd],[1]!Table1567891011121618202124[id])</f>
        <v>#N/A</v>
      </c>
      <c r="H67" s="327" t="s">
        <v>1084</v>
      </c>
      <c r="I67" s="324">
        <v>3</v>
      </c>
      <c r="J67" s="59">
        <f>cutts[[#This Row],[num]]-SUM(cutts[[#This Row],[num2]])</f>
        <v>2400</v>
      </c>
      <c r="K67" s="324"/>
      <c r="L67" s="21"/>
      <c r="M67" s="33">
        <v>2400</v>
      </c>
      <c r="N67" s="33"/>
      <c r="O67" s="33">
        <f>cutts[[#This Row],[num]]-cutts[[#This Row],[cutted]]</f>
        <v>0</v>
      </c>
      <c r="P67" s="33"/>
      <c r="Q67" s="317"/>
    </row>
    <row r="68" spans="1:17" ht="16.5">
      <c r="A68" s="1">
        <v>62</v>
      </c>
      <c r="B68" s="2" t="s">
        <v>255</v>
      </c>
      <c r="C68" s="1">
        <v>140310007</v>
      </c>
      <c r="D68" s="1">
        <v>3000</v>
      </c>
      <c r="E68" s="1">
        <v>300</v>
      </c>
      <c r="F68" s="1">
        <f>_xlfn.XLOOKUP(cutts[[#This Row],[cutId]],[1]!Table15678910111216182021[idd],[1]!Table15678910111216182021[id])</f>
        <v>51</v>
      </c>
      <c r="G68" s="1" t="e">
        <f>_xlfn.XLOOKUP(cutts[[#This Row],[cutId]],[1]!Table1567891011121618202124[idd],[1]!Table1567891011121618202124[id])</f>
        <v>#N/A</v>
      </c>
      <c r="H68" s="327" t="s">
        <v>1085</v>
      </c>
      <c r="I68" s="324">
        <v>3</v>
      </c>
      <c r="J68" s="59">
        <f>cutts[[#This Row],[num]]-SUM(cutts[[#This Row],[num2]])</f>
        <v>3000</v>
      </c>
      <c r="K68" s="324"/>
      <c r="L68" s="21"/>
      <c r="M68" s="33">
        <v>3000</v>
      </c>
      <c r="N68" s="33"/>
      <c r="O68" s="33">
        <f>cutts[[#This Row],[num]]-cutts[[#This Row],[cutted]]</f>
        <v>0</v>
      </c>
      <c r="P68" s="33"/>
      <c r="Q68" s="317"/>
    </row>
    <row r="69" spans="1:17" ht="16.5">
      <c r="A69" s="1">
        <v>63</v>
      </c>
      <c r="B69" s="2" t="s">
        <v>699</v>
      </c>
      <c r="C69" s="1">
        <v>140310007</v>
      </c>
      <c r="D69" s="1">
        <v>3000</v>
      </c>
      <c r="E69" s="1">
        <v>300</v>
      </c>
      <c r="F69" s="1">
        <f>_xlfn.XLOOKUP(cutts[[#This Row],[cutId]],[1]!Table15678910111216182021[idd],[1]!Table15678910111216182021[id])</f>
        <v>52</v>
      </c>
      <c r="G69" s="1" t="e">
        <f>_xlfn.XLOOKUP(cutts[[#This Row],[cutId]],[1]!Table1567891011121618202124[idd],[1]!Table1567891011121618202124[id])</f>
        <v>#N/A</v>
      </c>
      <c r="H69" s="327" t="s">
        <v>1086</v>
      </c>
      <c r="I69" s="324">
        <v>3</v>
      </c>
      <c r="J69" s="59">
        <f>cutts[[#This Row],[num]]-SUM(cutts[[#This Row],[num2]])</f>
        <v>3000</v>
      </c>
      <c r="K69" s="324"/>
      <c r="L69" s="21"/>
      <c r="M69" s="33">
        <v>3000</v>
      </c>
      <c r="N69" s="33"/>
      <c r="O69" s="33">
        <f>cutts[[#This Row],[num]]-cutts[[#This Row],[cutted]]</f>
        <v>0</v>
      </c>
      <c r="P69" s="33"/>
      <c r="Q69" s="317"/>
    </row>
    <row r="70" spans="1:17" ht="16.5">
      <c r="A70" s="1">
        <v>64</v>
      </c>
      <c r="B70" s="2" t="s">
        <v>699</v>
      </c>
      <c r="C70" s="1">
        <v>140310071</v>
      </c>
      <c r="D70" s="1">
        <v>2400</v>
      </c>
      <c r="E70" s="1">
        <v>300</v>
      </c>
      <c r="F70" s="1">
        <f>_xlfn.XLOOKUP(cutts[[#This Row],[cutId]],[1]!Table15678910111216182021[idd],[1]!Table15678910111216182021[id])</f>
        <v>53</v>
      </c>
      <c r="G70" s="1" t="e">
        <f>_xlfn.XLOOKUP(cutts[[#This Row],[cutId]],[1]!Table1567891011121618202124[idd],[1]!Table1567891011121618202124[id])</f>
        <v>#N/A</v>
      </c>
      <c r="H70" s="327" t="s">
        <v>1088</v>
      </c>
      <c r="I70" s="324">
        <v>3</v>
      </c>
      <c r="J70" s="59">
        <f>cutts[[#This Row],[num]]-SUM(cutts[[#This Row],[num2]])</f>
        <v>2400</v>
      </c>
      <c r="K70" s="324"/>
      <c r="L70" s="21"/>
      <c r="M70" s="33">
        <v>2400</v>
      </c>
      <c r="N70" s="33"/>
      <c r="O70" s="33">
        <f>cutts[[#This Row],[num]]-cutts[[#This Row],[cutted]]</f>
        <v>0</v>
      </c>
      <c r="P70" s="33"/>
      <c r="Q70" s="317"/>
    </row>
    <row r="71" spans="1:17" ht="16.5">
      <c r="A71" s="1">
        <v>65</v>
      </c>
      <c r="B71" s="2" t="s">
        <v>699</v>
      </c>
      <c r="C71" s="1">
        <v>141320055</v>
      </c>
      <c r="D71" s="1">
        <v>2000</v>
      </c>
      <c r="E71" s="1">
        <v>500</v>
      </c>
      <c r="F71" s="1">
        <f>_xlfn.XLOOKUP(cutts[[#This Row],[cutId]],[1]!Table15678910111216182021[idd],[1]!Table15678910111216182021[id])</f>
        <v>54</v>
      </c>
      <c r="G71" s="1" t="e">
        <f>_xlfn.XLOOKUP(cutts[[#This Row],[cutId]],[1]!Table1567891011121618202124[idd],[1]!Table1567891011121618202124[id])</f>
        <v>#N/A</v>
      </c>
      <c r="H71" s="327" t="s">
        <v>1089</v>
      </c>
      <c r="I71" s="324">
        <v>2</v>
      </c>
      <c r="J71" s="59">
        <f>cutts[[#This Row],[num]]-SUM(cutts[[#This Row],[num2]])</f>
        <v>2000</v>
      </c>
      <c r="K71" s="324"/>
      <c r="L71" s="21"/>
      <c r="M71" s="33">
        <v>2000</v>
      </c>
      <c r="N71" s="33"/>
      <c r="O71" s="33">
        <f>cutts[[#This Row],[num]]-cutts[[#This Row],[cutted]]</f>
        <v>0</v>
      </c>
      <c r="P71" s="33"/>
      <c r="Q71" s="317"/>
    </row>
    <row r="72" spans="1:17" ht="30">
      <c r="A72" s="1">
        <v>66</v>
      </c>
      <c r="B72" s="2" t="s">
        <v>699</v>
      </c>
      <c r="C72" s="1">
        <v>141320055</v>
      </c>
      <c r="D72" s="1">
        <v>6000</v>
      </c>
      <c r="E72" s="1">
        <v>500</v>
      </c>
      <c r="F72" s="1">
        <f>_xlfn.XLOOKUP(cutts[[#This Row],[cutId]],[1]!Table15678910111216182021[idd],[1]!Table15678910111216182021[id])</f>
        <v>55</v>
      </c>
      <c r="G72" s="1" t="e">
        <f>_xlfn.XLOOKUP(cutts[[#This Row],[cutId]],[1]!Table1567891011121618202124[idd],[1]!Table1567891011121618202124[id])</f>
        <v>#N/A</v>
      </c>
      <c r="H72" s="327" t="s">
        <v>1090</v>
      </c>
      <c r="I72" s="324">
        <v>2</v>
      </c>
      <c r="J72" s="59">
        <f>cutts[[#This Row],[num]]-SUM(cutts[[#This Row],[num2]])</f>
        <v>6000</v>
      </c>
      <c r="K72" s="324"/>
      <c r="L72" s="21"/>
      <c r="M72" s="33">
        <v>6000</v>
      </c>
      <c r="N72" s="33"/>
      <c r="O72" s="33">
        <f>cutts[[#This Row],[num]]-cutts[[#This Row],[cutted]]</f>
        <v>0</v>
      </c>
      <c r="P72" s="33"/>
      <c r="Q72" s="317"/>
    </row>
    <row r="73" spans="1:17" ht="16.5">
      <c r="A73" s="1">
        <v>67</v>
      </c>
      <c r="B73" s="2" t="s">
        <v>700</v>
      </c>
      <c r="C73" s="1">
        <v>140310083</v>
      </c>
      <c r="D73" s="1">
        <v>1200</v>
      </c>
      <c r="E73" s="1">
        <v>300</v>
      </c>
      <c r="F73" s="1">
        <f>_xlfn.XLOOKUP(cutts[[#This Row],[cutId]],[1]!Table15678910111216182021[idd],[1]!Table15678910111216182021[id])</f>
        <v>56</v>
      </c>
      <c r="G73" s="1" t="e">
        <f>_xlfn.XLOOKUP(cutts[[#This Row],[cutId]],[1]!Table1567891011121618202124[idd],[1]!Table1567891011121618202124[id])</f>
        <v>#N/A</v>
      </c>
      <c r="H73" s="327" t="s">
        <v>1091</v>
      </c>
      <c r="I73" s="324">
        <v>3</v>
      </c>
      <c r="J73" s="59">
        <f>cutts[[#This Row],[num]]-SUM(cutts[[#This Row],[num2]])</f>
        <v>1200</v>
      </c>
      <c r="K73" s="324"/>
      <c r="L73" s="21"/>
      <c r="M73" s="33">
        <v>1200</v>
      </c>
      <c r="N73" s="33"/>
      <c r="O73" s="33">
        <f>cutts[[#This Row],[num]]-cutts[[#This Row],[cutted]]</f>
        <v>0</v>
      </c>
      <c r="P73" s="33"/>
      <c r="Q73" s="317"/>
    </row>
    <row r="74" spans="1:17" ht="16.5">
      <c r="A74" s="1">
        <v>68</v>
      </c>
      <c r="B74" s="2" t="s">
        <v>700</v>
      </c>
      <c r="C74" s="1">
        <v>140310058</v>
      </c>
      <c r="D74" s="1">
        <v>2000</v>
      </c>
      <c r="E74" s="1">
        <v>300</v>
      </c>
      <c r="F74" s="1">
        <f>_xlfn.XLOOKUP(cutts[[#This Row],[cutId]],[1]!Table15678910111216182021[idd],[1]!Table15678910111216182021[id])</f>
        <v>57</v>
      </c>
      <c r="G74" s="1" t="e">
        <f>_xlfn.XLOOKUP(cutts[[#This Row],[cutId]],[1]!Table1567891011121618202124[idd],[1]!Table1567891011121618202124[id])</f>
        <v>#N/A</v>
      </c>
      <c r="H74" s="327" t="s">
        <v>1097</v>
      </c>
      <c r="I74" s="324">
        <v>3</v>
      </c>
      <c r="J74" s="59">
        <f>cutts[[#This Row],[num]]-SUM(cutts[[#This Row],[num2]])</f>
        <v>2000</v>
      </c>
      <c r="K74" s="324"/>
      <c r="L74" s="21"/>
      <c r="M74" s="33">
        <v>2000</v>
      </c>
      <c r="N74" s="33"/>
      <c r="O74" s="33">
        <f>cutts[[#This Row],[num]]-cutts[[#This Row],[cutted]]</f>
        <v>0</v>
      </c>
      <c r="P74" s="33"/>
      <c r="Q74" s="317"/>
    </row>
    <row r="75" spans="1:17" ht="16.5">
      <c r="A75" s="240">
        <v>69</v>
      </c>
      <c r="B75" s="2" t="s">
        <v>704</v>
      </c>
      <c r="C75" s="1">
        <v>140310096</v>
      </c>
      <c r="D75" s="1">
        <v>1600</v>
      </c>
      <c r="E75" s="1">
        <v>300</v>
      </c>
      <c r="F75" s="1">
        <f>_xlfn.XLOOKUP(cutts[[#This Row],[cutId]],[1]!Table15678910111216182021[idd],[1]!Table15678910111216182021[id])</f>
        <v>58</v>
      </c>
      <c r="G75" s="1" t="e">
        <f>_xlfn.XLOOKUP(cutts[[#This Row],[cutId]],[1]!Table1567891011121618202124[idd],[1]!Table1567891011121618202124[id])</f>
        <v>#N/A</v>
      </c>
      <c r="H75" s="327" t="s">
        <v>1098</v>
      </c>
      <c r="I75" s="324">
        <v>3</v>
      </c>
      <c r="J75" s="59">
        <f>cutts[[#This Row],[num]]-SUM(cutts[[#This Row],[num2]])</f>
        <v>1600</v>
      </c>
      <c r="K75" s="324"/>
      <c r="L75" s="21"/>
      <c r="M75" s="33">
        <v>1600</v>
      </c>
      <c r="N75" s="33"/>
      <c r="O75" s="33">
        <f>cutts[[#This Row],[num]]-cutts[[#This Row],[cutted]]</f>
        <v>0</v>
      </c>
      <c r="P75" s="33"/>
      <c r="Q75" s="317"/>
    </row>
    <row r="76" spans="1:17" ht="16.5">
      <c r="A76" s="1">
        <v>70</v>
      </c>
      <c r="B76" s="2" t="s">
        <v>701</v>
      </c>
      <c r="C76" s="1">
        <v>141320055</v>
      </c>
      <c r="D76" s="1">
        <v>3000</v>
      </c>
      <c r="E76" s="1">
        <v>500</v>
      </c>
      <c r="F76" s="1">
        <f>_xlfn.XLOOKUP(cutts[[#This Row],[cutId]],[1]!Table15678910111216182021[idd],[1]!Table15678910111216182021[id])</f>
        <v>59</v>
      </c>
      <c r="G76" s="1" t="e">
        <f>_xlfn.XLOOKUP(cutts[[#This Row],[cutId]],[1]!Table1567891011121618202124[idd],[1]!Table1567891011121618202124[id])</f>
        <v>#N/A</v>
      </c>
      <c r="H76" s="327" t="s">
        <v>1099</v>
      </c>
      <c r="I76" s="324">
        <v>2</v>
      </c>
      <c r="J76" s="59">
        <f>cutts[[#This Row],[num]]-SUM(cutts[[#This Row],[num2]])</f>
        <v>3000</v>
      </c>
      <c r="K76" s="324"/>
      <c r="L76" s="21"/>
      <c r="M76" s="33">
        <v>3000</v>
      </c>
      <c r="N76" s="33"/>
      <c r="O76" s="33">
        <f>cutts[[#This Row],[num]]-cutts[[#This Row],[cutted]]</f>
        <v>0</v>
      </c>
      <c r="P76" s="33"/>
      <c r="Q76" s="317"/>
    </row>
    <row r="77" spans="1:17" ht="16.5">
      <c r="A77" s="1">
        <v>71</v>
      </c>
      <c r="B77" s="2" t="s">
        <v>701</v>
      </c>
      <c r="C77" s="1">
        <v>141320055</v>
      </c>
      <c r="D77" s="1">
        <v>3000</v>
      </c>
      <c r="E77" s="1">
        <v>500</v>
      </c>
      <c r="F77" s="1">
        <f>_xlfn.XLOOKUP(cutts[[#This Row],[cutId]],[1]!Table15678910111216182021[idd],[1]!Table15678910111216182021[id])</f>
        <v>60</v>
      </c>
      <c r="G77" s="1" t="e">
        <f>_xlfn.XLOOKUP(cutts[[#This Row],[cutId]],[1]!Table1567891011121618202124[idd],[1]!Table1567891011121618202124[id])</f>
        <v>#N/A</v>
      </c>
      <c r="H77" s="327" t="s">
        <v>1100</v>
      </c>
      <c r="I77" s="324">
        <v>2</v>
      </c>
      <c r="J77" s="59">
        <f>cutts[[#This Row],[num]]-SUM(cutts[[#This Row],[num2]])</f>
        <v>3000</v>
      </c>
      <c r="K77" s="324"/>
      <c r="L77" s="21"/>
      <c r="M77" s="33">
        <v>3000</v>
      </c>
      <c r="N77" s="33"/>
      <c r="O77" s="33">
        <f>cutts[[#This Row],[num]]-cutts[[#This Row],[cutted]]</f>
        <v>0</v>
      </c>
      <c r="P77" s="33"/>
      <c r="Q77" s="317"/>
    </row>
    <row r="78" spans="1:17" ht="16.5">
      <c r="A78" s="1">
        <v>72</v>
      </c>
      <c r="B78" s="2" t="s">
        <v>701</v>
      </c>
      <c r="C78" s="1">
        <v>140310071</v>
      </c>
      <c r="D78" s="1">
        <v>2700</v>
      </c>
      <c r="E78" s="1">
        <v>300</v>
      </c>
      <c r="F78" s="1">
        <f>_xlfn.XLOOKUP(cutts[[#This Row],[cutId]],[1]!Table15678910111216182021[idd],[1]!Table15678910111216182021[id])</f>
        <v>61</v>
      </c>
      <c r="G78" s="1" t="e">
        <f>_xlfn.XLOOKUP(cutts[[#This Row],[cutId]],[1]!Table1567891011121618202124[idd],[1]!Table1567891011121618202124[id])</f>
        <v>#N/A</v>
      </c>
      <c r="H78" s="327" t="s">
        <v>1101</v>
      </c>
      <c r="I78" s="324">
        <v>3</v>
      </c>
      <c r="J78" s="59">
        <f>cutts[[#This Row],[num]]-SUM(cutts[[#This Row],[num2]])</f>
        <v>2700</v>
      </c>
      <c r="K78" s="324"/>
      <c r="L78" s="21"/>
      <c r="M78" s="33">
        <v>2700</v>
      </c>
      <c r="N78" s="33"/>
      <c r="O78" s="33">
        <f>cutts[[#This Row],[num]]-cutts[[#This Row],[cutted]]</f>
        <v>0</v>
      </c>
      <c r="P78" s="33"/>
      <c r="Q78" s="317"/>
    </row>
    <row r="79" spans="1:17" ht="16.5">
      <c r="A79" s="1">
        <v>73</v>
      </c>
      <c r="B79" s="2" t="s">
        <v>701</v>
      </c>
      <c r="C79" s="1">
        <v>140310071</v>
      </c>
      <c r="D79" s="1">
        <v>2700</v>
      </c>
      <c r="E79" s="1">
        <v>300</v>
      </c>
      <c r="F79" s="1">
        <f>_xlfn.XLOOKUP(cutts[[#This Row],[cutId]],[1]!Table15678910111216182021[idd],[1]!Table15678910111216182021[id])</f>
        <v>62</v>
      </c>
      <c r="G79" s="1" t="e">
        <f>_xlfn.XLOOKUP(cutts[[#This Row],[cutId]],[1]!Table1567891011121618202124[idd],[1]!Table1567891011121618202124[id])</f>
        <v>#N/A</v>
      </c>
      <c r="H79" s="327" t="s">
        <v>1102</v>
      </c>
      <c r="I79" s="324">
        <v>3</v>
      </c>
      <c r="J79" s="59">
        <f>cutts[[#This Row],[num]]-SUM(cutts[[#This Row],[num2]])</f>
        <v>2700</v>
      </c>
      <c r="K79" s="324"/>
      <c r="L79" s="21"/>
      <c r="M79" s="33">
        <v>2700</v>
      </c>
      <c r="N79" s="33"/>
      <c r="O79" s="33">
        <f>cutts[[#This Row],[num]]-cutts[[#This Row],[cutted]]</f>
        <v>0</v>
      </c>
      <c r="P79" s="33"/>
      <c r="Q79" s="317"/>
    </row>
    <row r="80" spans="1:17" ht="16.5">
      <c r="A80" s="1">
        <v>74</v>
      </c>
      <c r="B80" s="2" t="s">
        <v>701</v>
      </c>
      <c r="C80" s="1">
        <v>140310071</v>
      </c>
      <c r="D80" s="1">
        <v>2700</v>
      </c>
      <c r="E80" s="1">
        <v>300</v>
      </c>
      <c r="F80" s="1">
        <f>_xlfn.XLOOKUP(cutts[[#This Row],[cutId]],[1]!Table15678910111216182021[idd],[1]!Table15678910111216182021[id])</f>
        <v>63</v>
      </c>
      <c r="G80" s="1" t="e">
        <f>_xlfn.XLOOKUP(cutts[[#This Row],[cutId]],[1]!Table1567891011121618202124[idd],[1]!Table1567891011121618202124[id])</f>
        <v>#N/A</v>
      </c>
      <c r="H80" s="327" t="s">
        <v>1103</v>
      </c>
      <c r="I80" s="324">
        <v>3</v>
      </c>
      <c r="J80" s="59">
        <f>cutts[[#This Row],[num]]-SUM(cutts[[#This Row],[num2]])</f>
        <v>2700</v>
      </c>
      <c r="K80" s="324"/>
      <c r="L80" s="21"/>
      <c r="M80" s="33">
        <v>2700</v>
      </c>
      <c r="N80" s="33"/>
      <c r="O80" s="33">
        <f>cutts[[#This Row],[num]]-cutts[[#This Row],[cutted]]</f>
        <v>0</v>
      </c>
      <c r="P80" s="33"/>
      <c r="Q80" s="317"/>
    </row>
    <row r="81" spans="1:17" ht="16.5">
      <c r="A81" s="1">
        <v>75</v>
      </c>
      <c r="B81" s="2" t="s">
        <v>703</v>
      </c>
      <c r="C81" s="1">
        <v>140010117</v>
      </c>
      <c r="D81" s="1">
        <v>2100</v>
      </c>
      <c r="E81" s="1">
        <v>300</v>
      </c>
      <c r="F81" s="1">
        <f>_xlfn.XLOOKUP(cutts[[#This Row],[cutId]],[1]!Table15678910111216182021[idd],[1]!Table15678910111216182021[id])</f>
        <v>64</v>
      </c>
      <c r="G81" s="1" t="e">
        <f>_xlfn.XLOOKUP(cutts[[#This Row],[cutId]],[1]!Table1567891011121618202124[idd],[1]!Table1567891011121618202124[id])</f>
        <v>#N/A</v>
      </c>
      <c r="H81" s="327" t="s">
        <v>1104</v>
      </c>
      <c r="I81" s="324">
        <v>3</v>
      </c>
      <c r="J81" s="59">
        <f>cutts[[#This Row],[num]]-SUM(cutts[[#This Row],[num2]])</f>
        <v>2100</v>
      </c>
      <c r="K81" s="324"/>
      <c r="L81" s="21"/>
      <c r="M81" s="33">
        <v>2100</v>
      </c>
      <c r="N81" s="33"/>
      <c r="O81" s="33">
        <f>cutts[[#This Row],[num]]-cutts[[#This Row],[cutted]]</f>
        <v>0</v>
      </c>
      <c r="P81" s="33"/>
      <c r="Q81" s="317"/>
    </row>
    <row r="82" spans="1:17" ht="16.5">
      <c r="A82" s="1">
        <v>76</v>
      </c>
      <c r="B82" s="2" t="s">
        <v>703</v>
      </c>
      <c r="C82" s="1">
        <v>140310083</v>
      </c>
      <c r="D82" s="1">
        <v>1800</v>
      </c>
      <c r="E82" s="1">
        <v>300</v>
      </c>
      <c r="F82" s="1">
        <f>_xlfn.XLOOKUP(cutts[[#This Row],[cutId]],[1]!Table15678910111216182021[idd],[1]!Table15678910111216182021[id])</f>
        <v>65</v>
      </c>
      <c r="G82" s="1" t="e">
        <f>_xlfn.XLOOKUP(cutts[[#This Row],[cutId]],[1]!Table1567891011121618202124[idd],[1]!Table1567891011121618202124[id])</f>
        <v>#N/A</v>
      </c>
      <c r="H82" s="327" t="s">
        <v>1105</v>
      </c>
      <c r="I82" s="324">
        <v>3</v>
      </c>
      <c r="J82" s="59">
        <f>cutts[[#This Row],[num]]-SUM(cutts[[#This Row],[num2]])</f>
        <v>1800</v>
      </c>
      <c r="K82" s="324"/>
      <c r="L82" s="21"/>
      <c r="M82" s="33">
        <v>1800</v>
      </c>
      <c r="N82" s="33"/>
      <c r="O82" s="33">
        <f>cutts[[#This Row],[num]]-cutts[[#This Row],[cutted]]</f>
        <v>0</v>
      </c>
      <c r="P82" s="33"/>
      <c r="Q82" s="317"/>
    </row>
    <row r="83" spans="1:17" ht="30">
      <c r="A83" s="1">
        <v>77</v>
      </c>
      <c r="B83" s="2" t="s">
        <v>703</v>
      </c>
      <c r="C83" s="1">
        <v>140310007</v>
      </c>
      <c r="D83" s="1">
        <v>4010</v>
      </c>
      <c r="E83" s="1">
        <v>300</v>
      </c>
      <c r="F83" s="1">
        <f>_xlfn.XLOOKUP(cutts[[#This Row],[cutId]],[1]!Table15678910111216182021[idd],[1]!Table15678910111216182021[id])</f>
        <v>66</v>
      </c>
      <c r="G83" s="1" t="e">
        <f>_xlfn.XLOOKUP(cutts[[#This Row],[cutId]],[1]!Table1567891011121618202124[idd],[1]!Table1567891011121618202124[id])</f>
        <v>#N/A</v>
      </c>
      <c r="H83" s="327" t="s">
        <v>1106</v>
      </c>
      <c r="I83" s="324">
        <v>3</v>
      </c>
      <c r="J83" s="59">
        <f>cutts[[#This Row],[num]]-SUM(cutts[[#This Row],[num2]])</f>
        <v>4010</v>
      </c>
      <c r="K83" s="324"/>
      <c r="L83" s="21"/>
      <c r="M83" s="33">
        <v>4010</v>
      </c>
      <c r="N83" s="33"/>
      <c r="O83" s="33">
        <f>cutts[[#This Row],[num]]-cutts[[#This Row],[cutted]]</f>
        <v>0</v>
      </c>
      <c r="P83" s="33"/>
      <c r="Q83" s="317"/>
    </row>
    <row r="84" spans="1:17" ht="16.5">
      <c r="A84" s="1">
        <v>78</v>
      </c>
      <c r="B84" s="2" t="s">
        <v>704</v>
      </c>
      <c r="C84" s="1">
        <v>140030039</v>
      </c>
      <c r="D84" s="1">
        <v>1500</v>
      </c>
      <c r="E84" s="1">
        <v>300</v>
      </c>
      <c r="F84" s="1">
        <f>_xlfn.XLOOKUP(cutts[[#This Row],[cutId]],[1]!Table15678910111216182021[idd],[1]!Table15678910111216182021[id])</f>
        <v>67</v>
      </c>
      <c r="G84" s="1" t="e">
        <f>_xlfn.XLOOKUP(cutts[[#This Row],[cutId]],[1]!Table1567891011121618202124[idd],[1]!Table1567891011121618202124[id])</f>
        <v>#N/A</v>
      </c>
      <c r="H84" s="327" t="s">
        <v>1108</v>
      </c>
      <c r="I84" s="324">
        <v>3</v>
      </c>
      <c r="J84" s="59">
        <f>cutts[[#This Row],[num]]-SUM(cutts[[#This Row],[num2]])</f>
        <v>1500</v>
      </c>
      <c r="K84" s="324"/>
      <c r="L84" s="21"/>
      <c r="M84" s="33">
        <v>1500</v>
      </c>
      <c r="N84" s="33"/>
      <c r="O84" s="33">
        <f>cutts[[#This Row],[num]]-cutts[[#This Row],[cutted]]</f>
        <v>0</v>
      </c>
      <c r="P84" s="33"/>
      <c r="Q84" s="317"/>
    </row>
    <row r="85" spans="1:17" ht="16.5">
      <c r="A85" s="1">
        <v>79</v>
      </c>
      <c r="B85" s="2" t="s">
        <v>704</v>
      </c>
      <c r="C85" s="1">
        <v>140030040</v>
      </c>
      <c r="D85" s="1">
        <v>1500</v>
      </c>
      <c r="E85" s="1">
        <v>300</v>
      </c>
      <c r="F85" s="1">
        <f>_xlfn.XLOOKUP(cutts[[#This Row],[cutId]],[1]!Table15678910111216182021[idd],[1]!Table15678910111216182021[id])</f>
        <v>68</v>
      </c>
      <c r="G85" s="1" t="e">
        <f>_xlfn.XLOOKUP(cutts[[#This Row],[cutId]],[1]!Table1567891011121618202124[idd],[1]!Table1567891011121618202124[id])</f>
        <v>#N/A</v>
      </c>
      <c r="H85" s="327" t="s">
        <v>1109</v>
      </c>
      <c r="I85" s="324">
        <v>3</v>
      </c>
      <c r="J85" s="59">
        <f>cutts[[#This Row],[num]]-SUM(cutts[[#This Row],[num2]])</f>
        <v>1500</v>
      </c>
      <c r="K85" s="324"/>
      <c r="L85" s="21"/>
      <c r="M85" s="33">
        <v>1500</v>
      </c>
      <c r="N85" s="33"/>
      <c r="O85" s="33">
        <f>cutts[[#This Row],[num]]-cutts[[#This Row],[cutted]]</f>
        <v>0</v>
      </c>
      <c r="P85" s="33"/>
      <c r="Q85" s="317"/>
    </row>
    <row r="86" spans="1:17" ht="16.5">
      <c r="A86" s="1">
        <v>80</v>
      </c>
      <c r="B86" s="2" t="s">
        <v>704</v>
      </c>
      <c r="C86" s="1">
        <v>140310083</v>
      </c>
      <c r="D86" s="1">
        <v>2400</v>
      </c>
      <c r="E86" s="1">
        <v>300</v>
      </c>
      <c r="F86" s="1">
        <f>_xlfn.XLOOKUP(cutts[[#This Row],[cutId]],[1]!Table15678910111216182021[idd],[1]!Table15678910111216182021[id])</f>
        <v>69</v>
      </c>
      <c r="G86" s="1" t="e">
        <f>_xlfn.XLOOKUP(cutts[[#This Row],[cutId]],[1]!Table1567891011121618202124[idd],[1]!Table1567891011121618202124[id])</f>
        <v>#N/A</v>
      </c>
      <c r="H86" s="327" t="s">
        <v>1110</v>
      </c>
      <c r="I86" s="324">
        <v>3</v>
      </c>
      <c r="J86" s="59">
        <f>cutts[[#This Row],[num]]-SUM(cutts[[#This Row],[num2]])</f>
        <v>2400</v>
      </c>
      <c r="K86" s="324"/>
      <c r="L86" s="21"/>
      <c r="M86" s="33">
        <v>2400</v>
      </c>
      <c r="N86" s="33"/>
      <c r="O86" s="33">
        <f>cutts[[#This Row],[num]]-cutts[[#This Row],[cutted]]</f>
        <v>0</v>
      </c>
      <c r="P86" s="33"/>
      <c r="Q86" s="317"/>
    </row>
    <row r="87" spans="1:17" ht="16.5">
      <c r="A87" s="1">
        <v>81</v>
      </c>
      <c r="B87" s="2" t="s">
        <v>704</v>
      </c>
      <c r="C87" s="1">
        <v>140010117</v>
      </c>
      <c r="D87" s="1">
        <v>1200</v>
      </c>
      <c r="E87" s="1">
        <v>300</v>
      </c>
      <c r="F87" s="1">
        <f>_xlfn.XLOOKUP(cutts[[#This Row],[cutId]],[1]!Table15678910111216182021[idd],[1]!Table15678910111216182021[id])</f>
        <v>70</v>
      </c>
      <c r="G87" s="1" t="e">
        <f>_xlfn.XLOOKUP(cutts[[#This Row],[cutId]],[1]!Table1567891011121618202124[idd],[1]!Table1567891011121618202124[id])</f>
        <v>#N/A</v>
      </c>
      <c r="H87" s="327" t="s">
        <v>1112</v>
      </c>
      <c r="I87" s="324">
        <v>3</v>
      </c>
      <c r="J87" s="59">
        <f>cutts[[#This Row],[num]]-SUM(cutts[[#This Row],[num2]])</f>
        <v>1200</v>
      </c>
      <c r="K87" s="324"/>
      <c r="L87" s="21"/>
      <c r="M87" s="33">
        <v>1200</v>
      </c>
      <c r="N87" s="33"/>
      <c r="O87" s="33">
        <f>cutts[[#This Row],[num]]-cutts[[#This Row],[cutted]]</f>
        <v>0</v>
      </c>
      <c r="P87" s="33"/>
      <c r="Q87" s="317"/>
    </row>
    <row r="88" spans="1:17" ht="16.5">
      <c r="A88" s="1">
        <v>82</v>
      </c>
      <c r="B88" s="2" t="s">
        <v>704</v>
      </c>
      <c r="C88" s="1">
        <v>140310071</v>
      </c>
      <c r="D88" s="1">
        <v>1500</v>
      </c>
      <c r="E88" s="1">
        <v>300</v>
      </c>
      <c r="F88" s="1">
        <f>_xlfn.XLOOKUP(cutts[[#This Row],[cutId]],[1]!Table15678910111216182021[idd],[1]!Table15678910111216182021[id])</f>
        <v>71</v>
      </c>
      <c r="G88" s="1" t="e">
        <f>_xlfn.XLOOKUP(cutts[[#This Row],[cutId]],[1]!Table1567891011121618202124[idd],[1]!Table1567891011121618202124[id])</f>
        <v>#N/A</v>
      </c>
      <c r="H88" s="327" t="s">
        <v>1113</v>
      </c>
      <c r="I88" s="324">
        <v>3</v>
      </c>
      <c r="J88" s="59">
        <f>cutts[[#This Row],[num]]-SUM(cutts[[#This Row],[num2]])</f>
        <v>1500</v>
      </c>
      <c r="K88" s="324"/>
      <c r="L88" s="21"/>
      <c r="M88" s="33">
        <v>1500</v>
      </c>
      <c r="N88" s="33"/>
      <c r="O88" s="33">
        <f>cutts[[#This Row],[num]]-cutts[[#This Row],[cutted]]</f>
        <v>0</v>
      </c>
      <c r="P88" s="33"/>
      <c r="Q88" s="317"/>
    </row>
    <row r="89" spans="1:17" ht="16.5">
      <c r="A89" s="1">
        <v>83</v>
      </c>
      <c r="B89" s="2" t="s">
        <v>706</v>
      </c>
      <c r="C89" s="1">
        <v>140310071</v>
      </c>
      <c r="D89" s="1">
        <v>3000</v>
      </c>
      <c r="E89" s="1">
        <v>300</v>
      </c>
      <c r="F89" s="1">
        <f>_xlfn.XLOOKUP(cutts[[#This Row],[cutId]],[1]!Table15678910111216182021[idd],[1]!Table15678910111216182021[id])</f>
        <v>72</v>
      </c>
      <c r="G89" s="1" t="e">
        <f>_xlfn.XLOOKUP(cutts[[#This Row],[cutId]],[1]!Table1567891011121618202124[idd],[1]!Table1567891011121618202124[id])</f>
        <v>#N/A</v>
      </c>
      <c r="H89" s="327" t="s">
        <v>1114</v>
      </c>
      <c r="I89" s="324">
        <v>3</v>
      </c>
      <c r="J89" s="59">
        <f>cutts[[#This Row],[num]]-SUM(cutts[[#This Row],[num2]])</f>
        <v>3000</v>
      </c>
      <c r="K89" s="324"/>
      <c r="L89" s="21"/>
      <c r="M89" s="33">
        <v>3000</v>
      </c>
      <c r="N89" s="33"/>
      <c r="O89" s="33">
        <f>cutts[[#This Row],[num]]-cutts[[#This Row],[cutted]]</f>
        <v>0</v>
      </c>
      <c r="P89" s="33"/>
      <c r="Q89" s="317"/>
    </row>
    <row r="90" spans="1:17" ht="16.5">
      <c r="A90" s="1">
        <v>84</v>
      </c>
      <c r="B90" s="2" t="s">
        <v>706</v>
      </c>
      <c r="C90" s="1">
        <v>140010117</v>
      </c>
      <c r="D90" s="1">
        <v>3000</v>
      </c>
      <c r="E90" s="1">
        <v>300</v>
      </c>
      <c r="F90" s="1">
        <f>_xlfn.XLOOKUP(cutts[[#This Row],[cutId]],[1]!Table15678910111216182021[idd],[1]!Table15678910111216182021[id])</f>
        <v>73</v>
      </c>
      <c r="G90" s="1" t="e">
        <f>_xlfn.XLOOKUP(cutts[[#This Row],[cutId]],[1]!Table1567891011121618202124[idd],[1]!Table1567891011121618202124[id])</f>
        <v>#N/A</v>
      </c>
      <c r="H90" s="327" t="s">
        <v>1115</v>
      </c>
      <c r="I90" s="324">
        <v>3</v>
      </c>
      <c r="J90" s="59">
        <f>cutts[[#This Row],[num]]-SUM(cutts[[#This Row],[num2]])</f>
        <v>3000</v>
      </c>
      <c r="K90" s="324"/>
      <c r="L90" s="21"/>
      <c r="M90" s="33">
        <v>3000</v>
      </c>
      <c r="N90" s="33"/>
      <c r="O90" s="33">
        <f>cutts[[#This Row],[num]]-cutts[[#This Row],[cutted]]</f>
        <v>0</v>
      </c>
      <c r="P90" s="33"/>
      <c r="Q90" s="317"/>
    </row>
    <row r="91" spans="1:17" ht="16.5">
      <c r="A91" s="1">
        <v>85</v>
      </c>
      <c r="B91" s="2" t="s">
        <v>707</v>
      </c>
      <c r="C91" s="1">
        <v>140310083</v>
      </c>
      <c r="D91" s="1">
        <v>2100</v>
      </c>
      <c r="E91" s="1">
        <v>300</v>
      </c>
      <c r="F91" s="1">
        <f>_xlfn.XLOOKUP(cutts[[#This Row],[cutId]],[1]!Table15678910111216182021[idd],[1]!Table15678910111216182021[id])</f>
        <v>74</v>
      </c>
      <c r="G91" s="1" t="e">
        <f>_xlfn.XLOOKUP(cutts[[#This Row],[cutId]],[1]!Table1567891011121618202124[idd],[1]!Table1567891011121618202124[id])</f>
        <v>#N/A</v>
      </c>
      <c r="H91" s="327" t="s">
        <v>1116</v>
      </c>
      <c r="I91" s="324">
        <v>3</v>
      </c>
      <c r="J91" s="59">
        <f>cutts[[#This Row],[num]]-SUM(cutts[[#This Row],[num2]])</f>
        <v>2100</v>
      </c>
      <c r="K91" s="324"/>
      <c r="L91" s="21"/>
      <c r="M91" s="33">
        <v>2100</v>
      </c>
      <c r="N91" s="33"/>
      <c r="O91" s="33">
        <f>cutts[[#This Row],[num]]-cutts[[#This Row],[cutted]]</f>
        <v>0</v>
      </c>
      <c r="P91" s="33"/>
      <c r="Q91" s="317"/>
    </row>
    <row r="92" spans="1:17" ht="16.5">
      <c r="A92" s="1">
        <v>86</v>
      </c>
      <c r="B92" s="2" t="s">
        <v>707</v>
      </c>
      <c r="C92" s="1">
        <v>140030039</v>
      </c>
      <c r="D92" s="1">
        <v>2100</v>
      </c>
      <c r="E92" s="1">
        <v>300</v>
      </c>
      <c r="F92" s="1">
        <f>_xlfn.XLOOKUP(cutts[[#This Row],[cutId]],[1]!Table15678910111216182021[idd],[1]!Table15678910111216182021[id])</f>
        <v>75</v>
      </c>
      <c r="G92" s="1" t="e">
        <f>_xlfn.XLOOKUP(cutts[[#This Row],[cutId]],[1]!Table1567891011121618202124[idd],[1]!Table1567891011121618202124[id])</f>
        <v>#N/A</v>
      </c>
      <c r="H92" s="327" t="s">
        <v>1117</v>
      </c>
      <c r="I92" s="324">
        <v>3</v>
      </c>
      <c r="J92" s="59">
        <f>cutts[[#This Row],[num]]-SUM(cutts[[#This Row],[num2]])</f>
        <v>2100</v>
      </c>
      <c r="K92" s="324"/>
      <c r="L92" s="21"/>
      <c r="M92" s="33">
        <v>2100</v>
      </c>
      <c r="N92" s="33"/>
      <c r="O92" s="33">
        <f>cutts[[#This Row],[num]]-cutts[[#This Row],[cutted]]</f>
        <v>0</v>
      </c>
      <c r="P92" s="33"/>
      <c r="Q92" s="317"/>
    </row>
    <row r="93" spans="1:17" ht="16.5">
      <c r="A93" s="1">
        <v>87</v>
      </c>
      <c r="B93" s="2" t="s">
        <v>707</v>
      </c>
      <c r="C93" s="1">
        <v>140030040</v>
      </c>
      <c r="D93" s="1">
        <v>2100</v>
      </c>
      <c r="E93" s="1">
        <v>300</v>
      </c>
      <c r="F93" s="1">
        <f>_xlfn.XLOOKUP(cutts[[#This Row],[cutId]],[1]!Table15678910111216182021[idd],[1]!Table15678910111216182021[id])</f>
        <v>76</v>
      </c>
      <c r="G93" s="1" t="e">
        <f>_xlfn.XLOOKUP(cutts[[#This Row],[cutId]],[1]!Table1567891011121618202124[idd],[1]!Table1567891011121618202124[id])</f>
        <v>#N/A</v>
      </c>
      <c r="H93" s="327" t="s">
        <v>1118</v>
      </c>
      <c r="I93" s="324">
        <v>3</v>
      </c>
      <c r="J93" s="59">
        <f>cutts[[#This Row],[num]]-SUM(cutts[[#This Row],[num2]])</f>
        <v>2100</v>
      </c>
      <c r="K93" s="324"/>
      <c r="L93" s="21"/>
      <c r="M93" s="33">
        <v>2100</v>
      </c>
      <c r="N93" s="33"/>
      <c r="O93" s="33">
        <f>cutts[[#This Row],[num]]-cutts[[#This Row],[cutted]]</f>
        <v>0</v>
      </c>
      <c r="P93" s="33"/>
      <c r="Q93" s="317"/>
    </row>
    <row r="94" spans="1:17" ht="30">
      <c r="A94" s="1">
        <v>88</v>
      </c>
      <c r="B94" s="2" t="s">
        <v>708</v>
      </c>
      <c r="C94" s="1">
        <v>140450027</v>
      </c>
      <c r="D94" s="1">
        <v>3410</v>
      </c>
      <c r="E94" s="1">
        <v>300</v>
      </c>
      <c r="F94" s="1">
        <f>_xlfn.XLOOKUP(cutts[[#This Row],[cutId]],[1]!Table15678910111216182021[idd],[1]!Table15678910111216182021[id])</f>
        <v>77</v>
      </c>
      <c r="G94" s="1" t="e">
        <f>_xlfn.XLOOKUP(cutts[[#This Row],[cutId]],[1]!Table1567891011121618202124[idd],[1]!Table1567891011121618202124[id])</f>
        <v>#N/A</v>
      </c>
      <c r="H94" s="327" t="s">
        <v>1120</v>
      </c>
      <c r="I94" s="324">
        <v>11</v>
      </c>
      <c r="J94" s="59">
        <f>cutts[[#This Row],[num]]-SUM(cutts[[#This Row],[num2]])</f>
        <v>3410</v>
      </c>
      <c r="K94" s="324"/>
      <c r="L94" s="21"/>
      <c r="M94" s="33">
        <v>3410</v>
      </c>
      <c r="N94" s="33"/>
      <c r="O94" s="33">
        <f>cutts[[#This Row],[num]]-cutts[[#This Row],[cutted]]</f>
        <v>0</v>
      </c>
      <c r="P94" s="33"/>
      <c r="Q94" s="317"/>
    </row>
    <row r="95" spans="1:17" ht="16.5">
      <c r="A95" s="1">
        <v>89</v>
      </c>
      <c r="B95" s="2" t="s">
        <v>708</v>
      </c>
      <c r="C95" s="1">
        <v>140450035</v>
      </c>
      <c r="D95" s="1">
        <v>808</v>
      </c>
      <c r="E95" s="1">
        <v>300</v>
      </c>
      <c r="F95" s="1">
        <f>_xlfn.XLOOKUP(cutts[[#This Row],[cutId]],[1]!Table15678910111216182021[idd],[1]!Table15678910111216182021[id])</f>
        <v>78</v>
      </c>
      <c r="G95" s="1" t="e">
        <f>_xlfn.XLOOKUP(cutts[[#This Row],[cutId]],[1]!Table1567891011121618202124[idd],[1]!Table1567891011121618202124[id])</f>
        <v>#N/A</v>
      </c>
      <c r="H95" s="327" t="s">
        <v>1121</v>
      </c>
      <c r="I95" s="324">
        <v>11</v>
      </c>
      <c r="J95" s="59">
        <f>cutts[[#This Row],[num]]-SUM(cutts[[#This Row],[num2]])</f>
        <v>808</v>
      </c>
      <c r="K95" s="324"/>
      <c r="L95" s="21"/>
      <c r="M95" s="33">
        <v>808</v>
      </c>
      <c r="N95" s="33"/>
      <c r="O95" s="33">
        <f>cutts[[#This Row],[num]]-cutts[[#This Row],[cutted]]</f>
        <v>0</v>
      </c>
      <c r="P95" s="33"/>
      <c r="Q95" s="317"/>
    </row>
    <row r="96" spans="1:17" ht="30">
      <c r="A96" s="1">
        <v>90</v>
      </c>
      <c r="B96" s="2" t="s">
        <v>709</v>
      </c>
      <c r="C96" s="1">
        <v>141320055</v>
      </c>
      <c r="D96" s="1">
        <v>8000</v>
      </c>
      <c r="E96" s="1">
        <v>500</v>
      </c>
      <c r="F96" s="1">
        <f>_xlfn.XLOOKUP(cutts[[#This Row],[cutId]],[1]!Table15678910111216182021[idd],[1]!Table15678910111216182021[id])</f>
        <v>79</v>
      </c>
      <c r="G96" s="1" t="e">
        <f>_xlfn.XLOOKUP(cutts[[#This Row],[cutId]],[1]!Table1567891011121618202124[idd],[1]!Table1567891011121618202124[id])</f>
        <v>#N/A</v>
      </c>
      <c r="H96" s="327" t="s">
        <v>1124</v>
      </c>
      <c r="I96" s="324">
        <v>2</v>
      </c>
      <c r="J96" s="59">
        <f>cutts[[#This Row],[num]]-SUM(cutts[[#This Row],[num2]])</f>
        <v>8000</v>
      </c>
      <c r="K96" s="324"/>
      <c r="L96" s="21"/>
      <c r="M96" s="33">
        <v>8000</v>
      </c>
      <c r="N96" s="33"/>
      <c r="O96" s="33">
        <f>cutts[[#This Row],[num]]-cutts[[#This Row],[cutted]]</f>
        <v>0</v>
      </c>
      <c r="P96" s="33"/>
      <c r="Q96" s="317"/>
    </row>
    <row r="97" spans="1:18" ht="16.5">
      <c r="A97" s="1">
        <v>91</v>
      </c>
      <c r="B97" s="2" t="s">
        <v>710</v>
      </c>
      <c r="C97" s="1">
        <v>140640007</v>
      </c>
      <c r="D97" s="1">
        <v>3000</v>
      </c>
      <c r="E97" s="1">
        <v>300</v>
      </c>
      <c r="F97" s="1">
        <f>_xlfn.XLOOKUP(cutts[[#This Row],[cutId]],[1]!Table15678910111216182021[idd],[1]!Table15678910111216182021[id])</f>
        <v>80</v>
      </c>
      <c r="G97" s="1" t="e">
        <f>_xlfn.XLOOKUP(cutts[[#This Row],[cutId]],[1]!Table1567891011121618202124[idd],[1]!Table1567891011121618202124[id])</f>
        <v>#N/A</v>
      </c>
      <c r="H97" s="327" t="s">
        <v>1125</v>
      </c>
      <c r="I97" s="324">
        <v>2</v>
      </c>
      <c r="J97" s="59">
        <f>cutts[[#This Row],[num]]-SUM(cutts[[#This Row],[num2]])</f>
        <v>3000</v>
      </c>
      <c r="K97" s="324"/>
      <c r="L97" s="21"/>
      <c r="M97" s="33">
        <v>3000</v>
      </c>
      <c r="N97" s="33"/>
      <c r="O97" s="33">
        <f>cutts[[#This Row],[num]]-cutts[[#This Row],[cutted]]</f>
        <v>0</v>
      </c>
      <c r="P97" s="33"/>
      <c r="Q97" s="317"/>
    </row>
    <row r="98" spans="1:18" ht="16.5">
      <c r="A98" s="1">
        <v>92</v>
      </c>
      <c r="B98" s="2" t="s">
        <v>710</v>
      </c>
      <c r="C98" s="1">
        <v>140310083</v>
      </c>
      <c r="D98" s="1">
        <v>3000</v>
      </c>
      <c r="E98" s="1">
        <v>300</v>
      </c>
      <c r="F98" s="1">
        <f>_xlfn.XLOOKUP(cutts[[#This Row],[cutId]],[1]!Table15678910111216182021[idd],[1]!Table15678910111216182021[id])</f>
        <v>81</v>
      </c>
      <c r="G98" s="1" t="e">
        <f>_xlfn.XLOOKUP(cutts[[#This Row],[cutId]],[1]!Table1567891011121618202124[idd],[1]!Table1567891011121618202124[id])</f>
        <v>#N/A</v>
      </c>
      <c r="H98" s="327" t="s">
        <v>1126</v>
      </c>
      <c r="I98" s="324">
        <v>3</v>
      </c>
      <c r="J98" s="59">
        <f>cutts[[#This Row],[num]]-SUM(cutts[[#This Row],[num2]])</f>
        <v>3000</v>
      </c>
      <c r="K98" s="324"/>
      <c r="L98" s="21"/>
      <c r="M98" s="33">
        <v>3000</v>
      </c>
      <c r="N98" s="33"/>
      <c r="O98" s="33">
        <f>cutts[[#This Row],[num]]-cutts[[#This Row],[cutted]]</f>
        <v>0</v>
      </c>
      <c r="P98" s="33"/>
      <c r="Q98" s="317"/>
    </row>
    <row r="99" spans="1:18" ht="16.5">
      <c r="A99" s="1">
        <v>93</v>
      </c>
      <c r="B99" s="2" t="s">
        <v>710</v>
      </c>
      <c r="C99" s="1">
        <v>140030040</v>
      </c>
      <c r="D99" s="1">
        <v>800</v>
      </c>
      <c r="E99" s="1">
        <v>300</v>
      </c>
      <c r="F99" s="1">
        <f>_xlfn.XLOOKUP(cutts[[#This Row],[cutId]],[1]!Table15678910111216182021[idd],[1]!Table15678910111216182021[id])</f>
        <v>82</v>
      </c>
      <c r="G99" s="1" t="e">
        <f>_xlfn.XLOOKUP(cutts[[#This Row],[cutId]],[1]!Table1567891011121618202124[idd],[1]!Table1567891011121618202124[id])</f>
        <v>#N/A</v>
      </c>
      <c r="H99" s="327" t="s">
        <v>1127</v>
      </c>
      <c r="I99" s="324">
        <v>3</v>
      </c>
      <c r="J99" s="59">
        <f>cutts[[#This Row],[num]]-SUM(cutts[[#This Row],[num2]])</f>
        <v>800</v>
      </c>
      <c r="K99" s="324"/>
      <c r="L99" s="21"/>
      <c r="M99" s="33">
        <v>800</v>
      </c>
      <c r="N99" s="33"/>
      <c r="O99" s="33">
        <f>cutts[[#This Row],[num]]-cutts[[#This Row],[cutted]]</f>
        <v>0</v>
      </c>
      <c r="P99" s="33"/>
      <c r="Q99" s="317"/>
    </row>
    <row r="100" spans="1:18" ht="16.5">
      <c r="A100" s="1">
        <v>94</v>
      </c>
      <c r="B100" s="2" t="s">
        <v>710</v>
      </c>
      <c r="C100" s="1">
        <v>140030039</v>
      </c>
      <c r="D100" s="1">
        <v>2700</v>
      </c>
      <c r="E100" s="1">
        <v>300</v>
      </c>
      <c r="F100" s="1">
        <f>_xlfn.XLOOKUP(cutts[[#This Row],[cutId]],[1]!Table15678910111216182021[idd],[1]!Table15678910111216182021[id])</f>
        <v>83</v>
      </c>
      <c r="G100" s="1" t="e">
        <f>_xlfn.XLOOKUP(cutts[[#This Row],[cutId]],[1]!Table1567891011121618202124[idd],[1]!Table1567891011121618202124[id])</f>
        <v>#N/A</v>
      </c>
      <c r="H100" s="327" t="s">
        <v>1128</v>
      </c>
      <c r="I100" s="324">
        <v>3</v>
      </c>
      <c r="J100" s="59">
        <f>cutts[[#This Row],[num]]-SUM(cutts[[#This Row],[num2]])</f>
        <v>2700</v>
      </c>
      <c r="K100" s="324"/>
      <c r="L100" s="21"/>
      <c r="M100" s="33">
        <v>2700</v>
      </c>
      <c r="N100" s="33"/>
      <c r="O100" s="33">
        <f>cutts[[#This Row],[num]]-cutts[[#This Row],[cutted]]</f>
        <v>0</v>
      </c>
      <c r="P100" s="33"/>
      <c r="Q100" s="317"/>
    </row>
    <row r="101" spans="1:18" ht="16.5">
      <c r="A101" s="1">
        <v>95</v>
      </c>
      <c r="B101" s="2" t="s">
        <v>711</v>
      </c>
      <c r="C101" s="1">
        <v>140010230</v>
      </c>
      <c r="D101" s="1">
        <v>1500</v>
      </c>
      <c r="E101" s="1">
        <v>300</v>
      </c>
      <c r="F101" s="1">
        <f>_xlfn.XLOOKUP(cutts[[#This Row],[cutId]],[1]!Table15678910111216182021[idd],[1]!Table15678910111216182021[id])</f>
        <v>84</v>
      </c>
      <c r="G101" s="1" t="e">
        <f>_xlfn.XLOOKUP(cutts[[#This Row],[cutId]],[1]!Table1567891011121618202124[idd],[1]!Table1567891011121618202124[id])</f>
        <v>#N/A</v>
      </c>
      <c r="H101" s="327" t="s">
        <v>1129</v>
      </c>
      <c r="I101" s="324">
        <v>3</v>
      </c>
      <c r="J101" s="59">
        <f>cutts[[#This Row],[num]]-SUM(cutts[[#This Row],[num2]])</f>
        <v>1500</v>
      </c>
      <c r="K101" s="324"/>
      <c r="L101" s="21"/>
      <c r="M101" s="33">
        <v>1500</v>
      </c>
      <c r="N101" s="33"/>
      <c r="O101" s="33">
        <f>cutts[[#This Row],[num]]-cutts[[#This Row],[cutted]]</f>
        <v>0</v>
      </c>
      <c r="P101" s="33"/>
      <c r="Q101" s="317"/>
    </row>
    <row r="102" spans="1:18" ht="16.5">
      <c r="A102" s="1">
        <v>96</v>
      </c>
      <c r="B102" s="2" t="s">
        <v>711</v>
      </c>
      <c r="C102" s="1">
        <v>140010255</v>
      </c>
      <c r="D102" s="1">
        <v>500</v>
      </c>
      <c r="E102" s="1">
        <v>300</v>
      </c>
      <c r="F102" s="1">
        <f>_xlfn.XLOOKUP(cutts[[#This Row],[cutId]],[1]!Table15678910111216182021[idd],[1]!Table15678910111216182021[id])</f>
        <v>85</v>
      </c>
      <c r="G102" s="1" t="e">
        <f>_xlfn.XLOOKUP(cutts[[#This Row],[cutId]],[1]!Table1567891011121618202124[idd],[1]!Table1567891011121618202124[id])</f>
        <v>#N/A</v>
      </c>
      <c r="H102" s="327" t="s">
        <v>1130</v>
      </c>
      <c r="I102" s="324">
        <v>3</v>
      </c>
      <c r="J102" s="59">
        <f>cutts[[#This Row],[num]]-SUM(cutts[[#This Row],[num2]])</f>
        <v>500</v>
      </c>
      <c r="K102" s="324"/>
      <c r="L102" s="21"/>
      <c r="M102" s="33">
        <v>500</v>
      </c>
      <c r="N102" s="33"/>
      <c r="O102" s="33">
        <f>cutts[[#This Row],[num]]-cutts[[#This Row],[cutted]]</f>
        <v>0</v>
      </c>
      <c r="P102" s="33"/>
      <c r="Q102" s="317"/>
    </row>
    <row r="103" spans="1:18" ht="16.5">
      <c r="A103" s="1">
        <v>97</v>
      </c>
      <c r="B103" s="2" t="s">
        <v>711</v>
      </c>
      <c r="C103" s="1">
        <v>140030039</v>
      </c>
      <c r="D103" s="1">
        <v>2010</v>
      </c>
      <c r="E103" s="1">
        <v>300</v>
      </c>
      <c r="F103" s="1">
        <f>_xlfn.XLOOKUP(cutts[[#This Row],[cutId]],[1]!Table15678910111216182021[idd],[1]!Table15678910111216182021[id])</f>
        <v>86</v>
      </c>
      <c r="G103" s="1" t="e">
        <f>_xlfn.XLOOKUP(cutts[[#This Row],[cutId]],[1]!Table1567891011121618202124[idd],[1]!Table1567891011121618202124[id])</f>
        <v>#N/A</v>
      </c>
      <c r="H103" s="327" t="s">
        <v>1131</v>
      </c>
      <c r="I103" s="324">
        <v>3</v>
      </c>
      <c r="J103" s="59">
        <f>cutts[[#This Row],[num]]-SUM(cutts[[#This Row],[num2]])</f>
        <v>2010</v>
      </c>
      <c r="K103" s="324"/>
      <c r="L103" s="21"/>
      <c r="M103" s="33">
        <v>2010</v>
      </c>
      <c r="N103" s="33"/>
      <c r="O103" s="33">
        <f>cutts[[#This Row],[num]]-cutts[[#This Row],[cutted]]</f>
        <v>0</v>
      </c>
      <c r="P103" s="33"/>
      <c r="Q103" s="317"/>
      <c r="R103" s="1">
        <f>cutts[[#This Row],[num]]/cutts[[#This Row],[size]]</f>
        <v>6.7</v>
      </c>
    </row>
    <row r="104" spans="1:18" ht="16.5">
      <c r="A104" s="1">
        <v>98</v>
      </c>
      <c r="B104" s="2" t="s">
        <v>711</v>
      </c>
      <c r="C104" s="1">
        <v>140310071</v>
      </c>
      <c r="D104" s="1">
        <v>3000</v>
      </c>
      <c r="E104" s="1">
        <v>300</v>
      </c>
      <c r="F104" s="1">
        <f>_xlfn.XLOOKUP(cutts[[#This Row],[cutId]],[1]!Table15678910111216182021[idd],[1]!Table15678910111216182021[id])</f>
        <v>87</v>
      </c>
      <c r="G104" s="1" t="e">
        <f>_xlfn.XLOOKUP(cutts[[#This Row],[cutId]],[1]!Table1567891011121618202124[idd],[1]!Table1567891011121618202124[id])</f>
        <v>#N/A</v>
      </c>
      <c r="H104" s="327" t="s">
        <v>1132</v>
      </c>
      <c r="I104" s="324">
        <v>3</v>
      </c>
      <c r="J104" s="59">
        <f>cutts[[#This Row],[num]]-SUM(cutts[[#This Row],[num2]])</f>
        <v>3000</v>
      </c>
      <c r="K104" s="324"/>
      <c r="L104" s="21"/>
      <c r="M104" s="33">
        <v>3000</v>
      </c>
      <c r="N104" s="33"/>
      <c r="O104" s="33">
        <f>cutts[[#This Row],[num]]-cutts[[#This Row],[cutted]]</f>
        <v>0</v>
      </c>
      <c r="P104" s="33"/>
      <c r="Q104" s="317"/>
      <c r="R104" s="1">
        <f>cutts[[#This Row],[num]]/cutts[[#This Row],[size]]+1</f>
        <v>11</v>
      </c>
    </row>
    <row r="105" spans="1:18" ht="16.5">
      <c r="A105" s="1">
        <v>99</v>
      </c>
      <c r="B105" s="2" t="s">
        <v>711</v>
      </c>
      <c r="C105" s="1">
        <v>140310083</v>
      </c>
      <c r="D105" s="1">
        <v>3000</v>
      </c>
      <c r="E105" s="1">
        <v>300</v>
      </c>
      <c r="F105" s="1">
        <f>_xlfn.XLOOKUP(cutts[[#This Row],[cutId]],[1]!Table15678910111216182021[idd],[1]!Table15678910111216182021[id])</f>
        <v>88</v>
      </c>
      <c r="G105" s="1" t="e">
        <f>_xlfn.XLOOKUP(cutts[[#This Row],[cutId]],[1]!Table1567891011121618202124[idd],[1]!Table1567891011121618202124[id])</f>
        <v>#N/A</v>
      </c>
      <c r="H105" s="327" t="s">
        <v>1133</v>
      </c>
      <c r="I105" s="324">
        <v>3</v>
      </c>
      <c r="J105" s="59">
        <f>cutts[[#This Row],[num]]-SUM(cutts[[#This Row],[num2]])</f>
        <v>3000</v>
      </c>
      <c r="K105" s="324"/>
      <c r="L105" s="21"/>
      <c r="M105" s="33">
        <v>3000</v>
      </c>
      <c r="N105" s="33"/>
      <c r="O105" s="33">
        <f>cutts[[#This Row],[num]]-cutts[[#This Row],[cutted]]</f>
        <v>0</v>
      </c>
      <c r="P105" s="33"/>
      <c r="Q105" s="317"/>
      <c r="R105" s="1">
        <f>cutts[[#This Row],[num]]/cutts[[#This Row],[size]]+1</f>
        <v>11</v>
      </c>
    </row>
    <row r="106" spans="1:18" ht="16.5">
      <c r="A106" s="1">
        <v>100</v>
      </c>
      <c r="B106" s="2" t="s">
        <v>711</v>
      </c>
      <c r="C106" s="1">
        <v>140010230</v>
      </c>
      <c r="D106" s="1">
        <v>1500</v>
      </c>
      <c r="E106" s="1">
        <v>300</v>
      </c>
      <c r="F106" s="1">
        <f>_xlfn.XLOOKUP(cutts[[#This Row],[cutId]],[1]!Table15678910111216182021[idd],[1]!Table15678910111216182021[id])</f>
        <v>89</v>
      </c>
      <c r="G106" s="1" t="e">
        <f>_xlfn.XLOOKUP(cutts[[#This Row],[cutId]],[1]!Table1567891011121618202124[idd],[1]!Table1567891011121618202124[id])</f>
        <v>#N/A</v>
      </c>
      <c r="H106" s="327" t="s">
        <v>1134</v>
      </c>
      <c r="I106" s="324">
        <v>3</v>
      </c>
      <c r="J106" s="59">
        <f>cutts[[#This Row],[num]]-SUM(cutts[[#This Row],[num2]])</f>
        <v>1500</v>
      </c>
      <c r="K106" s="324"/>
      <c r="L106" s="21"/>
      <c r="M106" s="33">
        <v>1500</v>
      </c>
      <c r="N106" s="33"/>
      <c r="O106" s="33">
        <f>cutts[[#This Row],[num]]-cutts[[#This Row],[cutted]]</f>
        <v>0</v>
      </c>
      <c r="P106" s="33"/>
      <c r="Q106" s="317"/>
      <c r="R106" s="1">
        <f>cutts[[#This Row],[num]]/cutts[[#This Row],[size]]+1</f>
        <v>6</v>
      </c>
    </row>
    <row r="107" spans="1:18" ht="16.5">
      <c r="A107" s="1">
        <v>101</v>
      </c>
      <c r="B107" s="2" t="s">
        <v>711</v>
      </c>
      <c r="C107" s="1">
        <v>141320055</v>
      </c>
      <c r="D107" s="1">
        <v>2653</v>
      </c>
      <c r="E107" s="1">
        <v>500</v>
      </c>
      <c r="F107" s="1">
        <f>_xlfn.XLOOKUP(cutts[[#This Row],[cutId]],[1]!Table15678910111216182021[idd],[1]!Table15678910111216182021[id])</f>
        <v>90</v>
      </c>
      <c r="G107" s="1" t="e">
        <f>_xlfn.XLOOKUP(cutts[[#This Row],[cutId]],[1]!Table1567891011121618202124[idd],[1]!Table1567891011121618202124[id])</f>
        <v>#N/A</v>
      </c>
      <c r="H107" s="327" t="s">
        <v>1135</v>
      </c>
      <c r="I107" s="324">
        <v>2</v>
      </c>
      <c r="J107" s="59">
        <f>cutts[[#This Row],[num]]-SUM(cutts[[#This Row],[num2]])</f>
        <v>2653</v>
      </c>
      <c r="K107" s="324"/>
      <c r="L107" s="21"/>
      <c r="M107" s="33">
        <v>2653</v>
      </c>
      <c r="N107" s="33"/>
      <c r="O107" s="33">
        <f>cutts[[#This Row],[num]]-cutts[[#This Row],[cutted]]</f>
        <v>0</v>
      </c>
      <c r="P107" s="33"/>
      <c r="Q107" s="317"/>
      <c r="R107" s="1">
        <f>cutts[[#This Row],[num]]/cutts[[#This Row],[size]]+1</f>
        <v>6.306</v>
      </c>
    </row>
    <row r="108" spans="1:18" ht="16.5">
      <c r="A108" s="1">
        <v>102</v>
      </c>
      <c r="B108" s="2" t="s">
        <v>712</v>
      </c>
      <c r="C108" s="1">
        <v>140310071</v>
      </c>
      <c r="D108" s="1">
        <v>3000</v>
      </c>
      <c r="E108" s="1">
        <v>300</v>
      </c>
      <c r="F108" s="1">
        <f>_xlfn.XLOOKUP(cutts[[#This Row],[cutId]],[1]!Table15678910111216182021[idd],[1]!Table15678910111216182021[id])</f>
        <v>91</v>
      </c>
      <c r="G108" s="1" t="e">
        <f>_xlfn.XLOOKUP(cutts[[#This Row],[cutId]],[1]!Table1567891011121618202124[idd],[1]!Table1567891011121618202124[id])</f>
        <v>#N/A</v>
      </c>
      <c r="H108" s="327" t="s">
        <v>1136</v>
      </c>
      <c r="I108" s="324">
        <v>3</v>
      </c>
      <c r="J108" s="59">
        <f>cutts[[#This Row],[num]]-SUM(cutts[[#This Row],[num2]])</f>
        <v>3000</v>
      </c>
      <c r="K108" s="324"/>
      <c r="L108" s="21"/>
      <c r="M108" s="33">
        <v>3000</v>
      </c>
      <c r="N108" s="33"/>
      <c r="O108" s="33">
        <f>cutts[[#This Row],[num]]-cutts[[#This Row],[cutted]]</f>
        <v>0</v>
      </c>
      <c r="P108" s="33"/>
      <c r="Q108" s="317"/>
    </row>
    <row r="109" spans="1:18" ht="16.5">
      <c r="A109" s="1">
        <v>103</v>
      </c>
      <c r="B109" s="2" t="s">
        <v>712</v>
      </c>
      <c r="C109" s="1">
        <v>140310083</v>
      </c>
      <c r="D109" s="1">
        <v>3000</v>
      </c>
      <c r="E109" s="1">
        <v>300</v>
      </c>
      <c r="F109" s="1">
        <f>_xlfn.XLOOKUP(cutts[[#This Row],[cutId]],[1]!Table15678910111216182021[idd],[1]!Table15678910111216182021[id])</f>
        <v>92</v>
      </c>
      <c r="G109" s="1" t="e">
        <f>_xlfn.XLOOKUP(cutts[[#This Row],[cutId]],[1]!Table1567891011121618202124[idd],[1]!Table1567891011121618202124[id])</f>
        <v>#N/A</v>
      </c>
      <c r="H109" s="327" t="s">
        <v>1137</v>
      </c>
      <c r="I109" s="324">
        <v>3</v>
      </c>
      <c r="J109" s="59">
        <f>cutts[[#This Row],[num]]-SUM(cutts[[#This Row],[num2]])</f>
        <v>3000</v>
      </c>
      <c r="K109" s="324"/>
      <c r="L109" s="21"/>
      <c r="M109" s="33">
        <v>3000</v>
      </c>
      <c r="N109" s="33"/>
      <c r="O109" s="33">
        <f>cutts[[#This Row],[num]]-cutts[[#This Row],[cutted]]</f>
        <v>0</v>
      </c>
      <c r="P109" s="33"/>
      <c r="Q109" s="317"/>
    </row>
    <row r="110" spans="1:18" ht="16.5">
      <c r="A110" s="1">
        <v>104</v>
      </c>
      <c r="B110" s="2" t="s">
        <v>713</v>
      </c>
      <c r="C110" s="1">
        <v>140010117</v>
      </c>
      <c r="D110" s="1">
        <v>2700</v>
      </c>
      <c r="E110" s="1">
        <v>300</v>
      </c>
      <c r="F110" s="1">
        <f>_xlfn.XLOOKUP(cutts[[#This Row],[cutId]],[1]!Table15678910111216182021[idd],[1]!Table15678910111216182021[id])</f>
        <v>93</v>
      </c>
      <c r="G110" s="1" t="e">
        <f>_xlfn.XLOOKUP(cutts[[#This Row],[cutId]],[1]!Table1567891011121618202124[idd],[1]!Table1567891011121618202124[id])</f>
        <v>#N/A</v>
      </c>
      <c r="H110" s="327" t="s">
        <v>1138</v>
      </c>
      <c r="I110" s="324">
        <v>3</v>
      </c>
      <c r="J110" s="59">
        <f>cutts[[#This Row],[num]]-SUM(cutts[[#This Row],[num2]])</f>
        <v>2700</v>
      </c>
      <c r="K110" s="324"/>
      <c r="L110" s="21"/>
      <c r="M110" s="33">
        <v>2700</v>
      </c>
      <c r="N110" s="33"/>
      <c r="O110" s="33">
        <f>cutts[[#This Row],[num]]-cutts[[#This Row],[cutted]]</f>
        <v>0</v>
      </c>
      <c r="P110" s="33"/>
      <c r="Q110" s="317"/>
    </row>
    <row r="111" spans="1:18" ht="16.5">
      <c r="A111" s="1">
        <v>105</v>
      </c>
      <c r="B111" s="2" t="s">
        <v>713</v>
      </c>
      <c r="C111" s="1">
        <v>140010117</v>
      </c>
      <c r="D111" s="1">
        <v>3000</v>
      </c>
      <c r="E111" s="1">
        <v>300</v>
      </c>
      <c r="F111" s="1">
        <f>_xlfn.XLOOKUP(cutts[[#This Row],[cutId]],[1]!Table15678910111216182021[idd],[1]!Table15678910111216182021[id])</f>
        <v>94</v>
      </c>
      <c r="G111" s="1" t="e">
        <f>_xlfn.XLOOKUP(cutts[[#This Row],[cutId]],[1]!Table1567891011121618202124[idd],[1]!Table1567891011121618202124[id])</f>
        <v>#N/A</v>
      </c>
      <c r="H111" s="327" t="s">
        <v>1139</v>
      </c>
      <c r="I111" s="324">
        <v>3</v>
      </c>
      <c r="J111" s="59">
        <f>cutts[[#This Row],[num]]-SUM(cutts[[#This Row],[num2]])</f>
        <v>3000</v>
      </c>
      <c r="K111" s="324"/>
      <c r="L111" s="21"/>
      <c r="M111" s="33">
        <v>3000</v>
      </c>
      <c r="N111" s="33"/>
      <c r="O111" s="33">
        <f>cutts[[#This Row],[num]]-cutts[[#This Row],[cutted]]</f>
        <v>0</v>
      </c>
      <c r="P111" s="33"/>
      <c r="Q111" s="317"/>
    </row>
    <row r="112" spans="1:18" ht="16.5">
      <c r="A112" s="1">
        <v>106</v>
      </c>
      <c r="B112" s="2" t="s">
        <v>714</v>
      </c>
      <c r="C112" s="1">
        <v>141320055</v>
      </c>
      <c r="D112" s="245">
        <v>5000</v>
      </c>
      <c r="E112" s="245">
        <v>500</v>
      </c>
      <c r="F112" s="245">
        <f>_xlfn.XLOOKUP(cutts[[#This Row],[cutId]],[1]!Table15678910111216182021[idd],[1]!Table15678910111216182021[id])</f>
        <v>95</v>
      </c>
      <c r="G112" s="245" t="e">
        <f>_xlfn.XLOOKUP(cutts[[#This Row],[cutId]],[1]!Table1567891011121618202124[idd],[1]!Table1567891011121618202124[id])</f>
        <v>#N/A</v>
      </c>
      <c r="H112" s="327" t="s">
        <v>1140</v>
      </c>
      <c r="I112" s="324">
        <v>2</v>
      </c>
      <c r="J112" s="59">
        <f>cutts[[#This Row],[num]]-SUM(cutts[[#This Row],[num2]])</f>
        <v>5000</v>
      </c>
      <c r="K112" s="324"/>
      <c r="L112" s="21"/>
      <c r="M112" s="33">
        <v>5000</v>
      </c>
      <c r="N112" s="33"/>
      <c r="O112" s="33">
        <f>cutts[[#This Row],[num]]-cutts[[#This Row],[cutted]]</f>
        <v>0</v>
      </c>
      <c r="P112" s="33"/>
      <c r="Q112" s="317"/>
    </row>
    <row r="113" spans="1:18" ht="16.5">
      <c r="A113" s="1">
        <v>107</v>
      </c>
      <c r="B113" s="2" t="s">
        <v>714</v>
      </c>
      <c r="C113" s="1">
        <v>140310083</v>
      </c>
      <c r="D113" s="245">
        <v>3000</v>
      </c>
      <c r="E113" s="245">
        <v>300</v>
      </c>
      <c r="F113" s="245">
        <f>_xlfn.XLOOKUP(cutts[[#This Row],[cutId]],[1]!Table15678910111216182021[idd],[1]!Table15678910111216182021[id])</f>
        <v>96</v>
      </c>
      <c r="G113" s="245" t="e">
        <f>_xlfn.XLOOKUP(cutts[[#This Row],[cutId]],[1]!Table1567891011121618202124[idd],[1]!Table1567891011121618202124[id])</f>
        <v>#N/A</v>
      </c>
      <c r="H113" s="327" t="s">
        <v>1141</v>
      </c>
      <c r="I113" s="324">
        <v>3</v>
      </c>
      <c r="J113" s="59">
        <f>cutts[[#This Row],[num]]-SUM(cutts[[#This Row],[num2]])</f>
        <v>3000</v>
      </c>
      <c r="K113" s="324"/>
      <c r="L113" s="21"/>
      <c r="M113" s="33">
        <v>3000</v>
      </c>
      <c r="N113" s="33"/>
      <c r="O113" s="33">
        <f>cutts[[#This Row],[num]]-cutts[[#This Row],[cutted]]</f>
        <v>0</v>
      </c>
      <c r="P113" s="33"/>
      <c r="Q113" s="317"/>
    </row>
    <row r="114" spans="1:18" ht="16.5">
      <c r="A114" s="1">
        <v>108</v>
      </c>
      <c r="B114" s="2" t="s">
        <v>714</v>
      </c>
      <c r="C114" s="1">
        <v>140640007</v>
      </c>
      <c r="D114" s="245">
        <v>1500</v>
      </c>
      <c r="E114" s="245">
        <v>300</v>
      </c>
      <c r="F114" s="245">
        <f>_xlfn.XLOOKUP(cutts[[#This Row],[cutId]],[1]!Table15678910111216182021[idd],[1]!Table15678910111216182021[id])</f>
        <v>97</v>
      </c>
      <c r="G114" s="245" t="e">
        <f>_xlfn.XLOOKUP(cutts[[#This Row],[cutId]],[1]!Table1567891011121618202124[idd],[1]!Table1567891011121618202124[id])</f>
        <v>#N/A</v>
      </c>
      <c r="H114" s="327" t="s">
        <v>1142</v>
      </c>
      <c r="I114" s="324">
        <v>2</v>
      </c>
      <c r="J114" s="59">
        <f>cutts[[#This Row],[num]]-SUM(cutts[[#This Row],[num2]])</f>
        <v>1500</v>
      </c>
      <c r="K114" s="324"/>
      <c r="L114" s="21"/>
      <c r="M114" s="33">
        <v>1500</v>
      </c>
      <c r="N114" s="33"/>
      <c r="O114" s="33">
        <f>cutts[[#This Row],[num]]-cutts[[#This Row],[cutted]]</f>
        <v>0</v>
      </c>
      <c r="P114" s="33"/>
      <c r="Q114" s="317"/>
    </row>
    <row r="115" spans="1:18" ht="30">
      <c r="A115" s="1">
        <v>109</v>
      </c>
      <c r="B115" s="2" t="s">
        <v>717</v>
      </c>
      <c r="C115" s="1">
        <v>140310071</v>
      </c>
      <c r="D115" s="245">
        <v>6000</v>
      </c>
      <c r="E115" s="245">
        <v>300</v>
      </c>
      <c r="F115" s="245">
        <f>_xlfn.XLOOKUP(cutts[[#This Row],[cutId]],[1]!Table15678910111216182021[idd],[1]!Table15678910111216182021[id])</f>
        <v>98</v>
      </c>
      <c r="G115" s="245" t="e">
        <f>_xlfn.XLOOKUP(cutts[[#This Row],[cutId]],[1]!Table1567891011121618202124[idd],[1]!Table1567891011121618202124[id])</f>
        <v>#N/A</v>
      </c>
      <c r="H115" s="327" t="s">
        <v>1143</v>
      </c>
      <c r="I115" s="324">
        <v>3</v>
      </c>
      <c r="J115" s="59">
        <f>cutts[[#This Row],[num]]-SUM(cutts[[#This Row],[num2]])</f>
        <v>6000</v>
      </c>
      <c r="K115" s="324"/>
      <c r="L115" s="21"/>
      <c r="M115" s="33">
        <v>6000</v>
      </c>
      <c r="N115" s="33"/>
      <c r="O115" s="33">
        <f>cutts[[#This Row],[num]]-cutts[[#This Row],[cutted]]</f>
        <v>0</v>
      </c>
      <c r="P115" s="33"/>
      <c r="Q115" s="317"/>
    </row>
    <row r="116" spans="1:18" ht="16.5">
      <c r="A116" s="1">
        <v>110</v>
      </c>
      <c r="B116" s="2" t="s">
        <v>717</v>
      </c>
      <c r="C116" s="1">
        <v>140640007</v>
      </c>
      <c r="D116" s="245">
        <v>1500</v>
      </c>
      <c r="E116" s="245">
        <v>300</v>
      </c>
      <c r="F116" s="245">
        <f>_xlfn.XLOOKUP(cutts[[#This Row],[cutId]],[1]!Table15678910111216182021[idd],[1]!Table15678910111216182021[id])</f>
        <v>99</v>
      </c>
      <c r="G116" s="245" t="e">
        <f>_xlfn.XLOOKUP(cutts[[#This Row],[cutId]],[1]!Table1567891011121618202124[idd],[1]!Table1567891011121618202124[id])</f>
        <v>#N/A</v>
      </c>
      <c r="H116" s="327" t="s">
        <v>1144</v>
      </c>
      <c r="I116" s="324">
        <v>2</v>
      </c>
      <c r="J116" s="59">
        <f>cutts[[#This Row],[num]]-SUM(cutts[[#This Row],[num2]])</f>
        <v>1500</v>
      </c>
      <c r="K116" s="324"/>
      <c r="L116" s="21"/>
      <c r="M116" s="33">
        <v>1500</v>
      </c>
      <c r="N116" s="33"/>
      <c r="O116" s="33">
        <f>cutts[[#This Row],[num]]-cutts[[#This Row],[cutted]]</f>
        <v>0</v>
      </c>
      <c r="P116" s="33"/>
      <c r="Q116" s="317"/>
    </row>
    <row r="117" spans="1:18" ht="16.5">
      <c r="A117" s="1">
        <v>111</v>
      </c>
      <c r="B117" s="2" t="s">
        <v>718</v>
      </c>
      <c r="C117" s="1">
        <v>140310071</v>
      </c>
      <c r="D117" s="1">
        <v>3000</v>
      </c>
      <c r="E117" s="1">
        <v>300</v>
      </c>
      <c r="F117" s="1">
        <f>_xlfn.XLOOKUP(cutts[[#This Row],[cutId]],[1]!Table15678910111216182021[idd],[1]!Table15678910111216182021[id])</f>
        <v>100</v>
      </c>
      <c r="G117" s="1" t="e">
        <f>_xlfn.XLOOKUP(cutts[[#This Row],[cutId]],[1]!Table1567891011121618202124[idd],[1]!Table1567891011121618202124[id])</f>
        <v>#N/A</v>
      </c>
      <c r="H117" s="327" t="s">
        <v>1145</v>
      </c>
      <c r="I117" s="324">
        <v>3</v>
      </c>
      <c r="J117" s="59">
        <f>cutts[[#This Row],[num]]-SUM(cutts[[#This Row],[num2]])</f>
        <v>3000</v>
      </c>
      <c r="K117" s="324"/>
      <c r="L117" s="21"/>
      <c r="M117" s="33">
        <v>3000</v>
      </c>
      <c r="N117" s="33"/>
      <c r="O117" s="33">
        <f>cutts[[#This Row],[num]]-cutts[[#This Row],[cutted]]</f>
        <v>0</v>
      </c>
      <c r="P117" s="33"/>
      <c r="Q117" s="317"/>
    </row>
    <row r="118" spans="1:18" ht="16.5">
      <c r="A118" s="1">
        <v>112</v>
      </c>
      <c r="B118" s="2" t="s">
        <v>719</v>
      </c>
      <c r="C118" s="1">
        <v>140640007</v>
      </c>
      <c r="D118" s="1">
        <v>1500</v>
      </c>
      <c r="E118" s="1">
        <v>300</v>
      </c>
      <c r="F118" s="1">
        <f>_xlfn.XLOOKUP(cutts[[#This Row],[cutId]],[1]!Table15678910111216182021[idd],[1]!Table15678910111216182021[id])</f>
        <v>101</v>
      </c>
      <c r="G118" s="1" t="e">
        <f>_xlfn.XLOOKUP(cutts[[#This Row],[cutId]],[1]!Table1567891011121618202124[idd],[1]!Table1567891011121618202124[id])</f>
        <v>#N/A</v>
      </c>
      <c r="H118" s="327" t="s">
        <v>1146</v>
      </c>
      <c r="I118" s="324">
        <v>2</v>
      </c>
      <c r="J118" s="59">
        <f>cutts[[#This Row],[num]]-SUM(cutts[[#This Row],[num2]])</f>
        <v>1500</v>
      </c>
      <c r="K118" s="324"/>
      <c r="L118" s="21"/>
      <c r="M118" s="33">
        <v>1500</v>
      </c>
      <c r="N118" s="33"/>
      <c r="O118" s="33">
        <f>cutts[[#This Row],[num]]-cutts[[#This Row],[cutted]]</f>
        <v>0</v>
      </c>
      <c r="P118" s="33"/>
      <c r="Q118" s="317"/>
    </row>
    <row r="119" spans="1:18" ht="16.5">
      <c r="A119" s="1">
        <v>113</v>
      </c>
      <c r="B119" s="2" t="s">
        <v>709</v>
      </c>
      <c r="C119" s="1">
        <v>141320055</v>
      </c>
      <c r="D119" s="1">
        <v>5000</v>
      </c>
      <c r="E119" s="1">
        <v>500</v>
      </c>
      <c r="F119" s="1">
        <f>_xlfn.XLOOKUP(cutts[[#This Row],[cutId]],[1]!Table15678910111216182021[idd],[1]!Table15678910111216182021[id])</f>
        <v>102</v>
      </c>
      <c r="G119" s="1" t="e">
        <f>_xlfn.XLOOKUP(cutts[[#This Row],[cutId]],[1]!Table1567891011121618202124[idd],[1]!Table1567891011121618202124[id])</f>
        <v>#N/A</v>
      </c>
      <c r="H119" s="327" t="s">
        <v>1147</v>
      </c>
      <c r="I119" s="324">
        <v>2</v>
      </c>
      <c r="J119" s="59">
        <f>cutts[[#This Row],[num]]-SUM(cutts[[#This Row],[num2]])</f>
        <v>5000</v>
      </c>
      <c r="K119" s="324"/>
      <c r="L119" s="21"/>
      <c r="M119" s="33">
        <v>5000</v>
      </c>
      <c r="N119" s="33"/>
      <c r="O119" s="33">
        <f>cutts[[#This Row],[num]]-cutts[[#This Row],[cutted]]</f>
        <v>0</v>
      </c>
      <c r="P119" s="33"/>
      <c r="Q119" s="317"/>
    </row>
    <row r="120" spans="1:18" ht="16.5">
      <c r="A120" s="1">
        <v>114</v>
      </c>
      <c r="B120" s="2" t="s">
        <v>719</v>
      </c>
      <c r="C120" s="1">
        <v>140640007</v>
      </c>
      <c r="D120" s="1">
        <v>1500</v>
      </c>
      <c r="E120" s="1">
        <v>300</v>
      </c>
      <c r="F120" s="1">
        <f>_xlfn.XLOOKUP(cutts[[#This Row],[cutId]],[1]!Table15678910111216182021[idd],[1]!Table15678910111216182021[id])</f>
        <v>103</v>
      </c>
      <c r="G120" s="1" t="e">
        <f>_xlfn.XLOOKUP(cutts[[#This Row],[cutId]],[1]!Table1567891011121618202124[idd],[1]!Table1567891011121618202124[id])</f>
        <v>#N/A</v>
      </c>
      <c r="H120" s="327" t="s">
        <v>1149</v>
      </c>
      <c r="I120" s="324">
        <v>2</v>
      </c>
      <c r="J120" s="59">
        <f>cutts[[#This Row],[num]]-SUM(cutts[[#This Row],[num2]])</f>
        <v>1500</v>
      </c>
      <c r="K120" s="324"/>
      <c r="L120" s="21"/>
      <c r="M120" s="33">
        <v>1500</v>
      </c>
      <c r="N120" s="33"/>
      <c r="O120" s="33">
        <f>cutts[[#This Row],[num]]-cutts[[#This Row],[cutted]]</f>
        <v>0</v>
      </c>
      <c r="P120" s="33"/>
      <c r="Q120" s="317"/>
    </row>
    <row r="121" spans="1:18" ht="16.5">
      <c r="A121" s="1">
        <v>115</v>
      </c>
      <c r="B121" s="2" t="s">
        <v>727</v>
      </c>
      <c r="C121" s="1">
        <v>141320055</v>
      </c>
      <c r="D121" s="1">
        <v>3000</v>
      </c>
      <c r="E121" s="1">
        <v>500</v>
      </c>
      <c r="F121" s="1">
        <f>_xlfn.XLOOKUP(cutts[[#This Row],[cutId]],[1]!Table15678910111216182021[idd],[1]!Table15678910111216182021[id])</f>
        <v>104</v>
      </c>
      <c r="G121" s="1" t="e">
        <f>_xlfn.XLOOKUP(cutts[[#This Row],[cutId]],[1]!Table1567891011121618202124[idd],[1]!Table1567891011121618202124[id])</f>
        <v>#N/A</v>
      </c>
      <c r="H121" s="327" t="s">
        <v>1155</v>
      </c>
      <c r="I121" s="324">
        <v>2</v>
      </c>
      <c r="J121" s="59">
        <f>cutts[[#This Row],[num]]-SUM(cutts[[#This Row],[num2]])</f>
        <v>3000</v>
      </c>
      <c r="K121" s="324"/>
      <c r="L121" s="21"/>
      <c r="M121" s="33">
        <v>3000</v>
      </c>
      <c r="N121" s="33"/>
      <c r="O121" s="33">
        <f>cutts[[#This Row],[num]]-cutts[[#This Row],[cutted]]</f>
        <v>0</v>
      </c>
      <c r="P121" s="33"/>
      <c r="Q121" s="317"/>
    </row>
    <row r="122" spans="1:18" ht="30">
      <c r="A122" s="1">
        <v>116</v>
      </c>
      <c r="B122" s="2" t="s">
        <v>725</v>
      </c>
      <c r="C122" s="1">
        <v>140310071</v>
      </c>
      <c r="D122" s="1">
        <v>6000</v>
      </c>
      <c r="E122" s="1">
        <v>300</v>
      </c>
      <c r="F122" s="1">
        <f>_xlfn.XLOOKUP(cutts[[#This Row],[cutId]],[1]!Table15678910111216182021[idd],[1]!Table15678910111216182021[id])</f>
        <v>105</v>
      </c>
      <c r="G122" s="1" t="e">
        <f>_xlfn.XLOOKUP(cutts[[#This Row],[cutId]],[1]!Table1567891011121618202124[idd],[1]!Table1567891011121618202124[id])</f>
        <v>#N/A</v>
      </c>
      <c r="H122" s="327" t="s">
        <v>1153</v>
      </c>
      <c r="I122" s="324">
        <v>3</v>
      </c>
      <c r="J122" s="59">
        <f>cutts[[#This Row],[num]]-SUM(cutts[[#This Row],[num2]])</f>
        <v>6000</v>
      </c>
      <c r="K122" s="324"/>
      <c r="L122" s="21"/>
      <c r="M122" s="33">
        <v>6000</v>
      </c>
      <c r="N122" s="33"/>
      <c r="O122" s="33">
        <f>cutts[[#This Row],[num]]-cutts[[#This Row],[cutted]]</f>
        <v>0</v>
      </c>
      <c r="P122" s="33"/>
      <c r="Q122" s="317"/>
    </row>
    <row r="123" spans="1:18" ht="16.5">
      <c r="A123" s="1">
        <v>117</v>
      </c>
      <c r="B123" s="2" t="s">
        <v>727</v>
      </c>
      <c r="C123" s="1">
        <v>140010117</v>
      </c>
      <c r="D123" s="1">
        <v>2000</v>
      </c>
      <c r="E123" s="1">
        <v>300</v>
      </c>
      <c r="F123" s="1">
        <f>_xlfn.XLOOKUP(cutts[[#This Row],[cutId]],[1]!Table15678910111216182021[idd],[1]!Table15678910111216182021[id])</f>
        <v>106</v>
      </c>
      <c r="G123" s="1" t="e">
        <f>_xlfn.XLOOKUP(cutts[[#This Row],[cutId]],[1]!Table1567891011121618202124[idd],[1]!Table1567891011121618202124[id])</f>
        <v>#N/A</v>
      </c>
      <c r="H123" s="327" t="s">
        <v>1156</v>
      </c>
      <c r="I123" s="324">
        <v>4</v>
      </c>
      <c r="J123" s="59">
        <f>cutts[[#This Row],[num]]-SUM(cutts[[#This Row],[num2]])</f>
        <v>2000</v>
      </c>
      <c r="K123" s="324"/>
      <c r="L123" s="21"/>
      <c r="M123" s="33">
        <v>2000</v>
      </c>
      <c r="N123" s="33"/>
      <c r="O123" s="33">
        <f>cutts[[#This Row],[num]]-cutts[[#This Row],[cutted]]</f>
        <v>0</v>
      </c>
      <c r="P123" s="33"/>
      <c r="Q123" s="317"/>
    </row>
    <row r="124" spans="1:18" ht="16.5">
      <c r="A124" s="1">
        <v>117.1</v>
      </c>
      <c r="B124" s="2" t="s">
        <v>727</v>
      </c>
      <c r="C124" s="1">
        <v>141320055</v>
      </c>
      <c r="D124" s="1">
        <v>-6900</v>
      </c>
      <c r="F124" s="1" t="e">
        <f>_xlfn.XLOOKUP(cutts[[#This Row],[cutId]],[1]!Table15678910111216182021[idd],[1]!Table15678910111216182021[id])</f>
        <v>#N/A</v>
      </c>
      <c r="G124" s="1" t="e">
        <f>_xlfn.XLOOKUP(cutts[[#This Row],[cutId]],[1]!Table1567891011121618202124[idd],[1]!Table1567891011121618202124[id])</f>
        <v>#N/A</v>
      </c>
      <c r="H124" s="327"/>
      <c r="I124" s="324">
        <v>2</v>
      </c>
      <c r="J124" s="59">
        <f>cutts[[#This Row],[num]]-SUM(cutts[[#This Row],[num2]])</f>
        <v>-6900</v>
      </c>
      <c r="K124" s="324"/>
      <c r="L124" s="21"/>
      <c r="M124" s="33">
        <v>-6900</v>
      </c>
      <c r="N124" s="33"/>
      <c r="O124" s="33">
        <f>cutts[[#This Row],[num]]-cutts[[#This Row],[cutted]]</f>
        <v>0</v>
      </c>
      <c r="P124" s="33"/>
      <c r="Q124" s="317"/>
      <c r="R124" s="1" t="s">
        <v>1158</v>
      </c>
    </row>
    <row r="125" spans="1:18" ht="16.5">
      <c r="A125" s="1">
        <v>117.2</v>
      </c>
      <c r="B125" s="2" t="s">
        <v>727</v>
      </c>
      <c r="C125" s="1">
        <v>140530039</v>
      </c>
      <c r="D125" s="1">
        <v>6900</v>
      </c>
      <c r="F125" s="1" t="e">
        <f>_xlfn.XLOOKUP(cutts[[#This Row],[cutId]],[1]!Table15678910111216182021[idd],[1]!Table15678910111216182021[id])</f>
        <v>#N/A</v>
      </c>
      <c r="G125" s="1" t="e">
        <f>_xlfn.XLOOKUP(cutts[[#This Row],[cutId]],[1]!Table1567891011121618202124[idd],[1]!Table1567891011121618202124[id])</f>
        <v>#N/A</v>
      </c>
      <c r="H125" s="327"/>
      <c r="I125" s="324">
        <v>3</v>
      </c>
      <c r="J125" s="59">
        <f>cutts[[#This Row],[num]]-SUM(cutts[[#This Row],[num2]])</f>
        <v>6900</v>
      </c>
      <c r="K125" s="324"/>
      <c r="L125" s="21"/>
      <c r="M125" s="33">
        <v>6900</v>
      </c>
      <c r="N125" s="33"/>
      <c r="O125" s="33">
        <f>cutts[[#This Row],[num]]-cutts[[#This Row],[cutted]]</f>
        <v>0</v>
      </c>
      <c r="P125" s="33"/>
      <c r="Q125" s="317"/>
      <c r="R125" s="1" t="s">
        <v>1159</v>
      </c>
    </row>
    <row r="126" spans="1:18" ht="16.5">
      <c r="A126" s="1">
        <v>118</v>
      </c>
      <c r="B126" s="2" t="s">
        <v>727</v>
      </c>
      <c r="C126" s="1">
        <v>140010255</v>
      </c>
      <c r="D126" s="1">
        <v>500</v>
      </c>
      <c r="E126" s="1">
        <v>500</v>
      </c>
      <c r="F126" s="1" t="e">
        <f>_xlfn.XLOOKUP(cutts[[#This Row],[cutId]],[1]!Table15678910111216182021[idd],[1]!Table15678910111216182021[id])</f>
        <v>#N/A</v>
      </c>
      <c r="G126" s="1" t="e">
        <f>_xlfn.XLOOKUP(cutts[[#This Row],[cutId]],[1]!Table1567891011121618202124[idd],[1]!Table1567891011121618202124[id])</f>
        <v>#N/A</v>
      </c>
      <c r="H126" s="327" t="s">
        <v>1160</v>
      </c>
      <c r="I126" s="324">
        <v>4</v>
      </c>
      <c r="J126" s="59">
        <f>cutts[[#This Row],[num]]-SUM(cutts[[#This Row],[num2]])</f>
        <v>500</v>
      </c>
      <c r="K126" s="324"/>
      <c r="L126" s="21"/>
      <c r="M126" s="33">
        <v>500</v>
      </c>
      <c r="N126" s="33"/>
      <c r="O126" s="33">
        <f>cutts[[#This Row],[num]]-cutts[[#This Row],[cutted]]</f>
        <v>0</v>
      </c>
      <c r="P126" s="33"/>
      <c r="Q126" s="317"/>
    </row>
    <row r="127" spans="1:18" ht="16.5">
      <c r="A127" s="1">
        <v>119</v>
      </c>
      <c r="B127" s="2" t="s">
        <v>727</v>
      </c>
      <c r="C127" s="1">
        <v>140010230</v>
      </c>
      <c r="D127" s="1">
        <v>300</v>
      </c>
      <c r="E127" s="1">
        <v>300</v>
      </c>
      <c r="F127" s="1">
        <f>_xlfn.XLOOKUP(cutts[[#This Row],[cutId]],[1]!Table15678910111216182021[idd],[1]!Table15678910111216182021[id])</f>
        <v>107</v>
      </c>
      <c r="G127" s="1" t="e">
        <f>_xlfn.XLOOKUP(cutts[[#This Row],[cutId]],[1]!Table1567891011121618202124[idd],[1]!Table1567891011121618202124[id])</f>
        <v>#N/A</v>
      </c>
      <c r="H127" s="327" t="s">
        <v>1161</v>
      </c>
      <c r="I127" s="324">
        <v>4</v>
      </c>
      <c r="J127" s="59">
        <f>cutts[[#This Row],[num]]-SUM(cutts[[#This Row],[num2]])</f>
        <v>300</v>
      </c>
      <c r="K127" s="324"/>
      <c r="L127" s="21"/>
      <c r="M127" s="33">
        <v>300</v>
      </c>
      <c r="N127" s="33"/>
      <c r="O127" s="33">
        <f>cutts[[#This Row],[num]]-cutts[[#This Row],[cutted]]</f>
        <v>0</v>
      </c>
      <c r="P127" s="33"/>
      <c r="Q127" s="317"/>
    </row>
    <row r="128" spans="1:18" ht="30">
      <c r="A128" s="1">
        <v>120</v>
      </c>
      <c r="B128" s="2" t="s">
        <v>727</v>
      </c>
      <c r="C128" s="1">
        <v>140310071</v>
      </c>
      <c r="D128" s="1">
        <v>6000</v>
      </c>
      <c r="E128" s="1">
        <v>300</v>
      </c>
      <c r="F128" s="1">
        <f>_xlfn.XLOOKUP(cutts[[#This Row],[cutId]],[1]!Table15678910111216182021[idd],[1]!Table15678910111216182021[id])</f>
        <v>108</v>
      </c>
      <c r="G128" s="1" t="e">
        <f>_xlfn.XLOOKUP(cutts[[#This Row],[cutId]],[1]!Table1567891011121618202124[idd],[1]!Table1567891011121618202124[id])</f>
        <v>#N/A</v>
      </c>
      <c r="H128" s="327" t="s">
        <v>1162</v>
      </c>
      <c r="I128" s="324">
        <v>3</v>
      </c>
      <c r="J128" s="59">
        <f>cutts[[#This Row],[num]]-SUM(cutts[[#This Row],[num2]])</f>
        <v>6000</v>
      </c>
      <c r="K128" s="324"/>
      <c r="L128" s="21"/>
      <c r="M128" s="33">
        <v>6000</v>
      </c>
      <c r="N128" s="33"/>
      <c r="O128" s="33">
        <f>cutts[[#This Row],[num]]-cutts[[#This Row],[cutted]]</f>
        <v>0</v>
      </c>
      <c r="P128" s="33"/>
      <c r="Q128" s="317"/>
    </row>
    <row r="129" spans="1:18" ht="16.5">
      <c r="A129" s="1">
        <v>121</v>
      </c>
      <c r="B129" s="2" t="s">
        <v>727</v>
      </c>
      <c r="C129" s="1">
        <v>140010230</v>
      </c>
      <c r="D129" s="1">
        <v>3000</v>
      </c>
      <c r="E129" s="1">
        <v>300</v>
      </c>
      <c r="F129" s="1">
        <f>_xlfn.XLOOKUP(cutts[[#This Row],[cutId]],[1]!Table15678910111216182021[idd],[1]!Table15678910111216182021[id])</f>
        <v>109</v>
      </c>
      <c r="G129" s="1" t="e">
        <f>_xlfn.XLOOKUP(cutts[[#This Row],[cutId]],[1]!Table1567891011121618202124[idd],[1]!Table1567891011121618202124[id])</f>
        <v>#N/A</v>
      </c>
      <c r="H129" s="327" t="s">
        <v>1164</v>
      </c>
      <c r="I129" s="324">
        <v>4</v>
      </c>
      <c r="J129" s="59">
        <f>cutts[[#This Row],[num]]-SUM(cutts[[#This Row],[num2]])</f>
        <v>3000</v>
      </c>
      <c r="K129" s="324"/>
      <c r="L129" s="21"/>
      <c r="M129" s="33">
        <v>3000</v>
      </c>
      <c r="N129" s="33"/>
      <c r="O129" s="33">
        <f>cutts[[#This Row],[num]]-cutts[[#This Row],[cutted]]</f>
        <v>0</v>
      </c>
      <c r="P129" s="33"/>
      <c r="Q129" s="317"/>
    </row>
    <row r="130" spans="1:18" ht="16.5">
      <c r="A130" s="1">
        <v>122</v>
      </c>
      <c r="B130" s="2" t="s">
        <v>727</v>
      </c>
      <c r="C130" s="1">
        <v>140640007</v>
      </c>
      <c r="D130" s="1">
        <v>3000</v>
      </c>
      <c r="E130" s="1">
        <v>300</v>
      </c>
      <c r="F130" s="1">
        <f>_xlfn.XLOOKUP(cutts[[#This Row],[cutId]],[1]!Table15678910111216182021[idd],[1]!Table15678910111216182021[id])</f>
        <v>110</v>
      </c>
      <c r="G130" s="1" t="e">
        <f>_xlfn.XLOOKUP(cutts[[#This Row],[cutId]],[1]!Table1567891011121618202124[idd],[1]!Table1567891011121618202124[id])</f>
        <v>#N/A</v>
      </c>
      <c r="H130" s="327" t="s">
        <v>1165</v>
      </c>
      <c r="I130" s="324">
        <v>2</v>
      </c>
      <c r="J130" s="59">
        <f>cutts[[#This Row],[num]]-SUM(cutts[[#This Row],[num2]])</f>
        <v>3000</v>
      </c>
      <c r="K130" s="324"/>
      <c r="L130" s="21"/>
      <c r="M130" s="33">
        <v>3000</v>
      </c>
      <c r="N130" s="33"/>
      <c r="O130" s="33">
        <f>cutts[[#This Row],[num]]-cutts[[#This Row],[cutted]]</f>
        <v>0</v>
      </c>
      <c r="P130" s="33"/>
      <c r="Q130" s="317"/>
    </row>
    <row r="131" spans="1:18" ht="16.5">
      <c r="A131" s="1">
        <v>122.1</v>
      </c>
      <c r="B131" s="2" t="s">
        <v>728</v>
      </c>
      <c r="C131" s="1">
        <v>141320055</v>
      </c>
      <c r="D131" s="1">
        <v>-3100</v>
      </c>
      <c r="F131" s="1" t="e">
        <f>_xlfn.XLOOKUP(cutts[[#This Row],[cutId]],[1]!Table15678910111216182021[idd],[1]!Table15678910111216182021[id])</f>
        <v>#N/A</v>
      </c>
      <c r="G131" s="1" t="e">
        <f>_xlfn.XLOOKUP(cutts[[#This Row],[cutId]],[1]!Table1567891011121618202124[idd],[1]!Table1567891011121618202124[id])</f>
        <v>#N/A</v>
      </c>
      <c r="H131" s="327"/>
      <c r="I131" s="324">
        <v>2</v>
      </c>
      <c r="J131" s="59">
        <f>cutts[[#This Row],[num]]-SUM(cutts[[#This Row],[num2]])</f>
        <v>-3100</v>
      </c>
      <c r="K131" s="324"/>
      <c r="L131" s="21"/>
      <c r="M131" s="33">
        <v>-3100</v>
      </c>
      <c r="N131" s="33"/>
      <c r="O131" s="33">
        <f>cutts[[#This Row],[num]]-cutts[[#This Row],[cutted]]</f>
        <v>0</v>
      </c>
      <c r="P131" s="33"/>
      <c r="Q131" s="317"/>
      <c r="R131" s="1" t="s">
        <v>1158</v>
      </c>
    </row>
    <row r="132" spans="1:18" ht="16.5">
      <c r="A132" s="1">
        <v>122.2</v>
      </c>
      <c r="B132" s="2" t="s">
        <v>728</v>
      </c>
      <c r="C132" s="1">
        <v>140530039</v>
      </c>
      <c r="D132" s="1">
        <v>3100</v>
      </c>
      <c r="F132" s="1" t="e">
        <f>_xlfn.XLOOKUP(cutts[[#This Row],[cutId]],[1]!Table15678910111216182021[idd],[1]!Table15678910111216182021[id])</f>
        <v>#N/A</v>
      </c>
      <c r="G132" s="1" t="e">
        <f>_xlfn.XLOOKUP(cutts[[#This Row],[cutId]],[1]!Table1567891011121618202124[idd],[1]!Table1567891011121618202124[id])</f>
        <v>#N/A</v>
      </c>
      <c r="H132" s="327"/>
      <c r="I132" s="324">
        <v>3</v>
      </c>
      <c r="J132" s="59">
        <f>cutts[[#This Row],[num]]-SUM(cutts[[#This Row],[num2]])</f>
        <v>3100</v>
      </c>
      <c r="K132" s="324"/>
      <c r="L132" s="21"/>
      <c r="M132" s="33">
        <v>3100</v>
      </c>
      <c r="N132" s="33"/>
      <c r="O132" s="33">
        <f>cutts[[#This Row],[num]]-cutts[[#This Row],[cutted]]</f>
        <v>0</v>
      </c>
      <c r="P132" s="33"/>
      <c r="Q132" s="317"/>
      <c r="R132" s="1" t="s">
        <v>1159</v>
      </c>
    </row>
    <row r="133" spans="1:18" ht="16.5">
      <c r="A133" s="1">
        <v>123</v>
      </c>
      <c r="B133" s="2" t="s">
        <v>739</v>
      </c>
      <c r="C133" s="1">
        <v>140030039</v>
      </c>
      <c r="D133" s="1">
        <v>3000</v>
      </c>
      <c r="E133" s="1">
        <v>300</v>
      </c>
      <c r="F133" s="1">
        <f>_xlfn.XLOOKUP(cutts[[#This Row],[cutId]],[1]!Table15678910111216182021[idd],[1]!Table15678910111216182021[id])</f>
        <v>111</v>
      </c>
      <c r="G133" s="1" t="e">
        <f>_xlfn.XLOOKUP(cutts[[#This Row],[cutId]],[1]!Table1567891011121618202124[idd],[1]!Table1567891011121618202124[id])</f>
        <v>#N/A</v>
      </c>
      <c r="H133" s="327" t="s">
        <v>1165</v>
      </c>
      <c r="I133" s="324">
        <v>4</v>
      </c>
      <c r="J133" s="59">
        <f>cutts[[#This Row],[num]]-SUM(cutts[[#This Row],[num2]])</f>
        <v>3000</v>
      </c>
      <c r="K133" s="324"/>
      <c r="L133" s="21"/>
      <c r="M133" s="33">
        <v>3000</v>
      </c>
      <c r="N133" s="33"/>
      <c r="O133" s="33">
        <f>cutts[[#This Row],[num]]-cutts[[#This Row],[cutted]]</f>
        <v>0</v>
      </c>
      <c r="P133" s="33"/>
      <c r="Q133" s="317"/>
    </row>
    <row r="134" spans="1:18" ht="16.5">
      <c r="A134" s="1">
        <v>124</v>
      </c>
      <c r="B134" s="2" t="s">
        <v>739</v>
      </c>
      <c r="C134" s="1">
        <v>140030040</v>
      </c>
      <c r="D134" s="1">
        <v>3000</v>
      </c>
      <c r="E134" s="1">
        <v>300</v>
      </c>
      <c r="F134" s="1">
        <f>_xlfn.XLOOKUP(cutts[[#This Row],[cutId]],[1]!Table15678910111216182021[idd],[1]!Table15678910111216182021[id])</f>
        <v>112</v>
      </c>
      <c r="G134" s="1" t="e">
        <f>_xlfn.XLOOKUP(cutts[[#This Row],[cutId]],[1]!Table1567891011121618202124[idd],[1]!Table1567891011121618202124[id])</f>
        <v>#N/A</v>
      </c>
      <c r="H134" s="327" t="s">
        <v>1170</v>
      </c>
      <c r="I134" s="324">
        <v>4</v>
      </c>
      <c r="J134" s="59">
        <f>cutts[[#This Row],[num]]-SUM(cutts[[#This Row],[num2]])</f>
        <v>3000</v>
      </c>
      <c r="K134" s="324"/>
      <c r="L134" s="21"/>
      <c r="M134" s="33">
        <v>3000</v>
      </c>
      <c r="N134" s="33"/>
      <c r="O134" s="33">
        <f>cutts[[#This Row],[num]]-cutts[[#This Row],[cutted]]</f>
        <v>0</v>
      </c>
      <c r="P134" s="33"/>
      <c r="Q134" s="317"/>
    </row>
    <row r="135" spans="1:18" ht="16.5">
      <c r="A135" s="1">
        <v>125</v>
      </c>
      <c r="B135" s="2" t="s">
        <v>740</v>
      </c>
      <c r="C135" s="1">
        <v>140550019</v>
      </c>
      <c r="D135" s="1">
        <v>2000</v>
      </c>
      <c r="E135" s="1">
        <v>300</v>
      </c>
      <c r="F135" s="1">
        <f>_xlfn.XLOOKUP(cutts[[#This Row],[cutId]],[1]!Table15678910111216182021[idd],[1]!Table15678910111216182021[id])</f>
        <v>113</v>
      </c>
      <c r="G135" s="1" t="e">
        <f>_xlfn.XLOOKUP(cutts[[#This Row],[cutId]],[1]!Table1567891011121618202124[idd],[1]!Table1567891011121618202124[id])</f>
        <v>#N/A</v>
      </c>
      <c r="H135" s="327" t="s">
        <v>1171</v>
      </c>
      <c r="I135" s="324">
        <v>10</v>
      </c>
      <c r="J135" s="59">
        <f>cutts[[#This Row],[num]]-SUM(cutts[[#This Row],[num2]])</f>
        <v>2000</v>
      </c>
      <c r="K135" s="324"/>
      <c r="L135" s="21"/>
      <c r="M135" s="33">
        <v>2000</v>
      </c>
      <c r="N135" s="33"/>
      <c r="O135" s="33">
        <f>cutts[[#This Row],[num]]-cutts[[#This Row],[cutted]]</f>
        <v>0</v>
      </c>
      <c r="P135" s="33"/>
      <c r="Q135" s="317"/>
    </row>
    <row r="136" spans="1:18" ht="30">
      <c r="A136" s="1">
        <v>126</v>
      </c>
      <c r="B136" s="2" t="s">
        <v>740</v>
      </c>
      <c r="C136" s="1">
        <v>140310071</v>
      </c>
      <c r="D136" s="1">
        <v>5000</v>
      </c>
      <c r="E136" s="1">
        <v>300</v>
      </c>
      <c r="F136" s="1">
        <f>_xlfn.XLOOKUP(cutts[[#This Row],[cutId]],[1]!Table15678910111216182021[idd],[1]!Table15678910111216182021[id])</f>
        <v>114</v>
      </c>
      <c r="G136" s="1" t="e">
        <f>_xlfn.XLOOKUP(cutts[[#This Row],[cutId]],[1]!Table1567891011121618202124[idd],[1]!Table1567891011121618202124[id])</f>
        <v>#N/A</v>
      </c>
      <c r="H136" s="327" t="s">
        <v>1172</v>
      </c>
      <c r="I136" s="324">
        <v>3</v>
      </c>
      <c r="J136" s="59">
        <f>cutts[[#This Row],[num]]-SUM(cutts[[#This Row],[num2]])</f>
        <v>5000</v>
      </c>
      <c r="K136" s="324"/>
      <c r="L136" s="21"/>
      <c r="M136" s="33">
        <v>5000</v>
      </c>
      <c r="N136" s="33"/>
      <c r="O136" s="33">
        <f>cutts[[#This Row],[num]]-cutts[[#This Row],[cutted]]</f>
        <v>0</v>
      </c>
      <c r="P136" s="33"/>
      <c r="Q136" s="317"/>
    </row>
    <row r="137" spans="1:18" ht="30">
      <c r="A137" s="1">
        <v>127</v>
      </c>
      <c r="B137" s="2" t="s">
        <v>740</v>
      </c>
      <c r="C137" s="1">
        <v>140030040</v>
      </c>
      <c r="D137" s="1">
        <v>3300</v>
      </c>
      <c r="E137" s="1">
        <v>300</v>
      </c>
      <c r="F137" s="1">
        <f>_xlfn.XLOOKUP(cutts[[#This Row],[cutId]],[1]!Table15678910111216182021[idd],[1]!Table15678910111216182021[id])</f>
        <v>115</v>
      </c>
      <c r="G137" s="1" t="e">
        <f>_xlfn.XLOOKUP(cutts[[#This Row],[cutId]],[1]!Table1567891011121618202124[idd],[1]!Table1567891011121618202124[id])</f>
        <v>#N/A</v>
      </c>
      <c r="H137" s="327" t="s">
        <v>1173</v>
      </c>
      <c r="I137" s="324">
        <v>4</v>
      </c>
      <c r="J137" s="59">
        <f>cutts[[#This Row],[num]]-SUM(cutts[[#This Row],[num2]])</f>
        <v>3300</v>
      </c>
      <c r="K137" s="324"/>
      <c r="L137" s="21"/>
      <c r="M137" s="33">
        <v>3300</v>
      </c>
      <c r="N137" s="33"/>
      <c r="O137" s="33">
        <f>cutts[[#This Row],[num]]-cutts[[#This Row],[cutted]]</f>
        <v>0</v>
      </c>
      <c r="P137" s="33"/>
      <c r="Q137" s="317"/>
    </row>
    <row r="138" spans="1:18" ht="45">
      <c r="A138" s="1">
        <v>128</v>
      </c>
      <c r="B138" s="2" t="s">
        <v>741</v>
      </c>
      <c r="C138" s="1">
        <v>140550019</v>
      </c>
      <c r="D138" s="1">
        <v>6870</v>
      </c>
      <c r="E138" s="1">
        <v>300</v>
      </c>
      <c r="F138" s="1">
        <f>_xlfn.XLOOKUP(cutts[[#This Row],[cutId]],[1]!Table15678910111216182021[idd],[1]!Table15678910111216182021[id])</f>
        <v>116</v>
      </c>
      <c r="G138" s="1" t="e">
        <f>_xlfn.XLOOKUP(cutts[[#This Row],[cutId]],[1]!Table1567891011121618202124[idd],[1]!Table1567891011121618202124[id])</f>
        <v>#N/A</v>
      </c>
      <c r="H138" s="327" t="s">
        <v>1174</v>
      </c>
      <c r="I138" s="324">
        <v>10</v>
      </c>
      <c r="J138" s="59">
        <f>cutts[[#This Row],[num]]-SUM(cutts[[#This Row],[num2]])</f>
        <v>6870</v>
      </c>
      <c r="K138" s="324"/>
      <c r="L138" s="21"/>
      <c r="M138" s="33">
        <v>6870</v>
      </c>
      <c r="N138" s="33"/>
      <c r="O138" s="33">
        <f>cutts[[#This Row],[num]]-cutts[[#This Row],[cutted]]</f>
        <v>0</v>
      </c>
      <c r="P138" s="33"/>
      <c r="Q138" s="317"/>
    </row>
    <row r="139" spans="1:18" ht="30">
      <c r="A139" s="1">
        <v>129</v>
      </c>
      <c r="B139" s="2" t="s">
        <v>741</v>
      </c>
      <c r="C139" s="1">
        <v>141320055</v>
      </c>
      <c r="D139" s="1">
        <v>8000</v>
      </c>
      <c r="E139" s="1">
        <v>500</v>
      </c>
      <c r="F139" s="1">
        <f>_xlfn.XLOOKUP(cutts[[#This Row],[cutId]],[1]!Table15678910111216182021[idd],[1]!Table15678910111216182021[id])</f>
        <v>117</v>
      </c>
      <c r="G139" s="1" t="e">
        <f>_xlfn.XLOOKUP(cutts[[#This Row],[cutId]],[1]!Table1567891011121618202124[idd],[1]!Table1567891011121618202124[id])</f>
        <v>#N/A</v>
      </c>
      <c r="H139" s="327" t="s">
        <v>1175</v>
      </c>
      <c r="I139" s="324">
        <v>3</v>
      </c>
      <c r="J139" s="59">
        <f>cutts[[#This Row],[num]]-SUM(cutts[[#This Row],[num2]])</f>
        <v>6000</v>
      </c>
      <c r="K139" s="324">
        <v>2</v>
      </c>
      <c r="L139" s="21">
        <v>2000</v>
      </c>
      <c r="M139" s="33">
        <v>8000</v>
      </c>
      <c r="N139" s="33"/>
      <c r="O139" s="33">
        <f>cutts[[#This Row],[num]]-cutts[[#This Row],[cutted]]</f>
        <v>0</v>
      </c>
      <c r="P139" s="33"/>
      <c r="Q139" s="317"/>
    </row>
    <row r="140" spans="1:18" ht="30">
      <c r="A140" s="1">
        <v>130</v>
      </c>
      <c r="B140" s="2" t="s">
        <v>742</v>
      </c>
      <c r="C140" s="1">
        <v>140640007</v>
      </c>
      <c r="D140" s="1">
        <v>3005</v>
      </c>
      <c r="E140" s="1">
        <v>300</v>
      </c>
      <c r="F140" s="1">
        <f>_xlfn.XLOOKUP(cutts[[#This Row],[cutId]],[1]!Table15678910111216182021[idd],[1]!Table15678910111216182021[id])</f>
        <v>119</v>
      </c>
      <c r="G140" s="1" t="e">
        <f>_xlfn.XLOOKUP(cutts[[#This Row],[cutId]],[1]!Table1567891011121618202124[idd],[1]!Table1567891011121618202124[id])</f>
        <v>#N/A</v>
      </c>
      <c r="H140" s="327" t="s">
        <v>1178</v>
      </c>
      <c r="I140" s="324">
        <v>2</v>
      </c>
      <c r="J140" s="59">
        <f>cutts[[#This Row],[num]]-SUM(cutts[[#This Row],[num2]])</f>
        <v>3005</v>
      </c>
      <c r="K140" s="324"/>
      <c r="L140" s="21"/>
      <c r="M140" s="33">
        <v>3005</v>
      </c>
      <c r="N140" s="33"/>
      <c r="O140" s="33">
        <f>cutts[[#This Row],[num]]-cutts[[#This Row],[cutted]]</f>
        <v>0</v>
      </c>
      <c r="P140" s="33"/>
      <c r="Q140" s="317"/>
    </row>
    <row r="141" spans="1:18" ht="16.5">
      <c r="A141" s="1">
        <v>131</v>
      </c>
      <c r="B141" s="2" t="s">
        <v>742</v>
      </c>
      <c r="C141" s="1">
        <v>140030039</v>
      </c>
      <c r="D141" s="1">
        <v>2200</v>
      </c>
      <c r="E141" s="1">
        <v>300</v>
      </c>
      <c r="F141" s="1">
        <f>_xlfn.XLOOKUP(cutts[[#This Row],[cutId]],[1]!Table15678910111216182021[idd],[1]!Table15678910111216182021[id])</f>
        <v>120</v>
      </c>
      <c r="G141" s="1" t="e">
        <f>_xlfn.XLOOKUP(cutts[[#This Row],[cutId]],[1]!Table1567891011121618202124[idd],[1]!Table1567891011121618202124[id])</f>
        <v>#N/A</v>
      </c>
      <c r="H141" s="327" t="s">
        <v>1179</v>
      </c>
      <c r="I141" s="324">
        <v>4</v>
      </c>
      <c r="J141" s="59">
        <f>cutts[[#This Row],[num]]-SUM(cutts[[#This Row],[num2]])</f>
        <v>2200</v>
      </c>
      <c r="K141" s="324"/>
      <c r="L141" s="21"/>
      <c r="M141" s="33">
        <v>2200</v>
      </c>
      <c r="N141" s="33"/>
      <c r="O141" s="33">
        <f>cutts[[#This Row],[num]]-cutts[[#This Row],[cutted]]</f>
        <v>0</v>
      </c>
      <c r="P141" s="33"/>
      <c r="Q141" s="317"/>
    </row>
    <row r="142" spans="1:18" ht="30">
      <c r="A142" s="1">
        <v>132</v>
      </c>
      <c r="B142" s="2" t="s">
        <v>745</v>
      </c>
      <c r="C142" s="1">
        <v>140310083</v>
      </c>
      <c r="D142" s="1">
        <v>6000</v>
      </c>
      <c r="E142" s="1">
        <v>300</v>
      </c>
      <c r="F142" s="1">
        <f>_xlfn.XLOOKUP(cutts[[#This Row],[cutId]],[1]!Table15678910111216182021[idd],[1]!Table15678910111216182021[id])</f>
        <v>121</v>
      </c>
      <c r="G142" s="1" t="e">
        <f>_xlfn.XLOOKUP(cutts[[#This Row],[cutId]],[1]!Table1567891011121618202124[idd],[1]!Table1567891011121618202124[id])</f>
        <v>#N/A</v>
      </c>
      <c r="H142" s="327" t="s">
        <v>1180</v>
      </c>
      <c r="I142" s="324">
        <v>3</v>
      </c>
      <c r="J142" s="59">
        <f>cutts[[#This Row],[num]]-SUM(cutts[[#This Row],[num2]])</f>
        <v>6000</v>
      </c>
      <c r="K142" s="324"/>
      <c r="L142" s="21"/>
      <c r="M142" s="33">
        <v>6000</v>
      </c>
      <c r="N142" s="33"/>
      <c r="O142" s="33">
        <f>cutts[[#This Row],[num]]-cutts[[#This Row],[cutted]]</f>
        <v>0</v>
      </c>
      <c r="P142" s="33"/>
      <c r="Q142" s="317"/>
    </row>
    <row r="143" spans="1:18" ht="16.5">
      <c r="A143" s="1">
        <v>133</v>
      </c>
      <c r="B143" s="2" t="s">
        <v>745</v>
      </c>
      <c r="C143" s="1">
        <v>140530039</v>
      </c>
      <c r="D143" s="1">
        <v>3000</v>
      </c>
      <c r="E143" s="1">
        <v>500</v>
      </c>
      <c r="F143" s="1">
        <f>_xlfn.XLOOKUP(cutts[[#This Row],[cutId]],[1]!Table15678910111216182021[idd],[1]!Table15678910111216182021[id])</f>
        <v>122</v>
      </c>
      <c r="G143" s="1" t="e">
        <f>_xlfn.XLOOKUP(cutts[[#This Row],[cutId]],[1]!Table1567891011121618202124[idd],[1]!Table1567891011121618202124[id])</f>
        <v>#N/A</v>
      </c>
      <c r="H143" s="327" t="s">
        <v>1181</v>
      </c>
      <c r="I143" s="324">
        <v>3</v>
      </c>
      <c r="J143" s="59">
        <f>cutts[[#This Row],[num]]-SUM(cutts[[#This Row],[num2]])</f>
        <v>3000</v>
      </c>
      <c r="K143" s="324"/>
      <c r="L143" s="21"/>
      <c r="M143" s="33">
        <v>3000</v>
      </c>
      <c r="N143" s="33"/>
      <c r="O143" s="33">
        <f>cutts[[#This Row],[num]]-cutts[[#This Row],[cutted]]</f>
        <v>0</v>
      </c>
      <c r="P143" s="33"/>
      <c r="Q143" s="317"/>
    </row>
    <row r="144" spans="1:18" ht="16.5">
      <c r="A144" s="1">
        <v>134</v>
      </c>
      <c r="B144" s="2" t="s">
        <v>745</v>
      </c>
      <c r="C144" s="1">
        <v>140450047</v>
      </c>
      <c r="D144" s="1">
        <v>500</v>
      </c>
      <c r="E144" s="1">
        <v>500</v>
      </c>
      <c r="F144" s="1">
        <f>_xlfn.XLOOKUP(cutts[[#This Row],[cutId]],[1]!Table15678910111216182021[idd],[1]!Table15678910111216182021[id])</f>
        <v>123</v>
      </c>
      <c r="G144" s="1" t="e">
        <f>_xlfn.XLOOKUP(cutts[[#This Row],[cutId]],[1]!Table1567891011121618202124[idd],[1]!Table1567891011121618202124[id])</f>
        <v>#N/A</v>
      </c>
      <c r="H144" s="327" t="s">
        <v>1184</v>
      </c>
      <c r="I144" s="324">
        <v>4</v>
      </c>
      <c r="J144" s="59">
        <f>cutts[[#This Row],[num]]-SUM(cutts[[#This Row],[num2]])</f>
        <v>500</v>
      </c>
      <c r="K144" s="324"/>
      <c r="L144" s="21"/>
      <c r="M144" s="33">
        <v>500</v>
      </c>
      <c r="N144" s="33"/>
      <c r="O144" s="33">
        <f>cutts[[#This Row],[num]]-cutts[[#This Row],[cutted]]</f>
        <v>0</v>
      </c>
      <c r="P144" s="33"/>
      <c r="Q144" s="317"/>
    </row>
    <row r="145" spans="1:18" ht="16.5">
      <c r="A145" s="1">
        <v>135</v>
      </c>
      <c r="B145" s="2" t="s">
        <v>746</v>
      </c>
      <c r="C145" s="1">
        <v>140310083</v>
      </c>
      <c r="D145" s="1">
        <v>1500</v>
      </c>
      <c r="E145" s="1">
        <v>300</v>
      </c>
      <c r="F145" s="1">
        <f>_xlfn.XLOOKUP(cutts[[#This Row],[cutId]],[1]!Table15678910111216182021[idd],[1]!Table15678910111216182021[id])</f>
        <v>124</v>
      </c>
      <c r="G145" s="1" t="e">
        <f>_xlfn.XLOOKUP(cutts[[#This Row],[cutId]],[1]!Table1567891011121618202124[idd],[1]!Table1567891011121618202124[id])</f>
        <v>#N/A</v>
      </c>
      <c r="H145" s="327" t="s">
        <v>1185</v>
      </c>
      <c r="I145" s="324">
        <v>3</v>
      </c>
      <c r="J145" s="59">
        <f>cutts[[#This Row],[num]]-SUM(cutts[[#This Row],[num2]])</f>
        <v>1500</v>
      </c>
      <c r="K145" s="324"/>
      <c r="L145" s="21"/>
      <c r="M145" s="33">
        <v>1500</v>
      </c>
      <c r="N145" s="33"/>
      <c r="O145" s="33">
        <f>cutts[[#This Row],[num]]-cutts[[#This Row],[cutted]]</f>
        <v>0</v>
      </c>
      <c r="P145" s="33"/>
      <c r="Q145" s="317"/>
    </row>
    <row r="146" spans="1:18" ht="30">
      <c r="A146" s="1">
        <v>136</v>
      </c>
      <c r="B146" s="2" t="s">
        <v>747</v>
      </c>
      <c r="C146" s="1">
        <v>140310071</v>
      </c>
      <c r="D146" s="1">
        <v>6000</v>
      </c>
      <c r="E146" s="1">
        <v>300</v>
      </c>
      <c r="F146" s="1">
        <f>_xlfn.XLOOKUP(cutts[[#This Row],[cutId]],[1]!Table15678910111216182021[idd],[1]!Table15678910111216182021[id])</f>
        <v>125</v>
      </c>
      <c r="G146" s="1" t="e">
        <f>_xlfn.XLOOKUP(cutts[[#This Row],[cutId]],[1]!Table1567891011121618202124[idd],[1]!Table1567891011121618202124[id])</f>
        <v>#N/A</v>
      </c>
      <c r="H146" s="327" t="s">
        <v>1186</v>
      </c>
      <c r="I146" s="324">
        <v>3</v>
      </c>
      <c r="J146" s="59">
        <f>cutts[[#This Row],[num]]-SUM(cutts[[#This Row],[num2]])</f>
        <v>6000</v>
      </c>
      <c r="K146" s="324"/>
      <c r="L146" s="21"/>
      <c r="M146" s="33">
        <v>6000</v>
      </c>
      <c r="N146" s="33"/>
      <c r="O146" s="33">
        <f>cutts[[#This Row],[num]]-cutts[[#This Row],[cutted]]</f>
        <v>0</v>
      </c>
      <c r="P146" s="33"/>
      <c r="Q146" s="317"/>
    </row>
    <row r="147" spans="1:18" ht="16.5">
      <c r="A147" s="1">
        <v>137</v>
      </c>
      <c r="B147" s="2" t="s">
        <v>747</v>
      </c>
      <c r="C147" s="1">
        <v>141320055</v>
      </c>
      <c r="D147" s="1">
        <v>5000</v>
      </c>
      <c r="E147" s="1">
        <v>500</v>
      </c>
      <c r="F147" s="1">
        <f>_xlfn.XLOOKUP(cutts[[#This Row],[cutId]],[1]!Table15678910111216182021[idd],[1]!Table15678910111216182021[id])</f>
        <v>126</v>
      </c>
      <c r="G147" s="1" t="e">
        <f>_xlfn.XLOOKUP(cutts[[#This Row],[cutId]],[1]!Table1567891011121618202124[idd],[1]!Table1567891011121618202124[id])</f>
        <v>#N/A</v>
      </c>
      <c r="H147" s="327" t="s">
        <v>1187</v>
      </c>
      <c r="I147" s="324">
        <v>3</v>
      </c>
      <c r="J147" s="59">
        <f>cutts[[#This Row],[num]]-SUM(cutts[[#This Row],[num2]])</f>
        <v>5000</v>
      </c>
      <c r="K147" s="324"/>
      <c r="L147" s="21"/>
      <c r="M147" s="33">
        <v>5000</v>
      </c>
      <c r="N147" s="33"/>
      <c r="O147" s="33">
        <f>cutts[[#This Row],[num]]-cutts[[#This Row],[cutted]]</f>
        <v>0</v>
      </c>
      <c r="P147" s="33"/>
      <c r="Q147" s="317"/>
    </row>
    <row r="148" spans="1:18" ht="16.5">
      <c r="A148" s="1">
        <v>138</v>
      </c>
      <c r="B148" s="2" t="s">
        <v>748</v>
      </c>
      <c r="C148" s="1">
        <v>140550019</v>
      </c>
      <c r="E148" s="1">
        <v>300</v>
      </c>
      <c r="F148" s="1" t="e">
        <f>_xlfn.XLOOKUP(cutts[[#This Row],[cutId]],[1]!Table15678910111216182021[idd],[1]!Table15678910111216182021[id])</f>
        <v>#N/A</v>
      </c>
      <c r="G148" s="1">
        <f>_xlfn.XLOOKUP(cutts[[#This Row],[cutId]],[1]!Table1567891011121618202124[idd],[1]!Table1567891011121618202124[id])</f>
        <v>18</v>
      </c>
      <c r="H148" s="327" t="s">
        <v>1189</v>
      </c>
      <c r="I148" s="324"/>
      <c r="J148" s="59">
        <f>cutts[[#This Row],[num]]-SUM(cutts[[#This Row],[num2]])</f>
        <v>0</v>
      </c>
      <c r="K148" s="324"/>
      <c r="L148" s="21"/>
      <c r="M148" s="33"/>
      <c r="N148" s="33"/>
      <c r="O148" s="33">
        <f>cutts[[#This Row],[num]]-cutts[[#This Row],[cutted]]</f>
        <v>0</v>
      </c>
      <c r="P148" s="33"/>
      <c r="Q148" s="317"/>
      <c r="R148" s="1" t="s">
        <v>1188</v>
      </c>
    </row>
    <row r="149" spans="1:18" ht="16.5">
      <c r="A149" s="1">
        <v>139</v>
      </c>
      <c r="B149" s="2" t="s">
        <v>749</v>
      </c>
      <c r="C149" s="1">
        <v>140310007</v>
      </c>
      <c r="D149" s="1">
        <v>3000</v>
      </c>
      <c r="E149" s="1">
        <v>300</v>
      </c>
      <c r="F149" s="1">
        <f>_xlfn.XLOOKUP(cutts[[#This Row],[cutId]],[1]!Table15678910111216182021[idd],[1]!Table15678910111216182021[id])</f>
        <v>127</v>
      </c>
      <c r="G149" s="1" t="e">
        <f>_xlfn.XLOOKUP(cutts[[#This Row],[cutId]],[1]!Table1567891011121618202124[idd],[1]!Table1567891011121618202124[id])</f>
        <v>#N/A</v>
      </c>
      <c r="H149" s="327" t="s">
        <v>1190</v>
      </c>
      <c r="I149" s="324">
        <v>4</v>
      </c>
      <c r="J149" s="59">
        <f>cutts[[#This Row],[num]]-SUM(cutts[[#This Row],[num2]])</f>
        <v>3000</v>
      </c>
      <c r="K149" s="324"/>
      <c r="L149" s="21"/>
      <c r="M149" s="33">
        <v>3000</v>
      </c>
      <c r="N149" s="33"/>
      <c r="O149" s="33">
        <f>cutts[[#This Row],[num]]-cutts[[#This Row],[cutted]]</f>
        <v>0</v>
      </c>
      <c r="P149" s="33"/>
      <c r="Q149" s="317"/>
    </row>
    <row r="150" spans="1:18" ht="16.5">
      <c r="A150" s="1">
        <v>140</v>
      </c>
      <c r="B150" s="2" t="s">
        <v>754</v>
      </c>
      <c r="C150" s="1">
        <v>140310071</v>
      </c>
      <c r="D150" s="1">
        <v>300</v>
      </c>
      <c r="E150" s="1">
        <v>300</v>
      </c>
      <c r="F150" s="1" t="e">
        <f>_xlfn.XLOOKUP(cutts[[#This Row],[cutId]],[1]!Table15678910111216182021[idd],[1]!Table15678910111216182021[id])</f>
        <v>#N/A</v>
      </c>
      <c r="G150" s="1">
        <f>_xlfn.XLOOKUP(cutts[[#This Row],[cutId]],[1]!Table1567891011121618202124[idd],[1]!Table1567891011121618202124[id])</f>
        <v>19</v>
      </c>
      <c r="H150" s="327" t="s">
        <v>1191</v>
      </c>
      <c r="I150" s="324"/>
      <c r="J150" s="59">
        <f>cutts[[#This Row],[num]]-SUM(cutts[[#This Row],[num2]])</f>
        <v>300</v>
      </c>
      <c r="K150" s="324"/>
      <c r="L150" s="21"/>
      <c r="M150" s="33">
        <v>300</v>
      </c>
      <c r="N150" s="33"/>
      <c r="O150" s="33">
        <f>cutts[[#This Row],[num]]-cutts[[#This Row],[cutted]]</f>
        <v>0</v>
      </c>
      <c r="P150" s="33"/>
      <c r="Q150" s="317"/>
      <c r="R150" s="1" t="s">
        <v>1188</v>
      </c>
    </row>
    <row r="151" spans="1:18" ht="16.5">
      <c r="A151" s="1">
        <v>141</v>
      </c>
      <c r="B151" s="2" t="s">
        <v>755</v>
      </c>
      <c r="C151" s="1">
        <v>141320055</v>
      </c>
      <c r="D151" s="1">
        <v>4000</v>
      </c>
      <c r="E151" s="1">
        <v>500</v>
      </c>
      <c r="F151" s="1">
        <f>_xlfn.XLOOKUP(cutts[[#This Row],[cutId]],[1]!Table15678910111216182021[idd],[1]!Table15678910111216182021[id])</f>
        <v>128</v>
      </c>
      <c r="G151" s="1" t="e">
        <f>_xlfn.XLOOKUP(cutts[[#This Row],[cutId]],[1]!Table1567891011121618202124[idd],[1]!Table1567891011121618202124[id])</f>
        <v>#N/A</v>
      </c>
      <c r="H151" s="327" t="s">
        <v>1192</v>
      </c>
      <c r="I151" s="324">
        <v>3</v>
      </c>
      <c r="J151" s="59">
        <f>cutts[[#This Row],[num]]-SUM(cutts[[#This Row],[num2]])</f>
        <v>4000</v>
      </c>
      <c r="K151" s="324"/>
      <c r="L151" s="21"/>
      <c r="M151" s="33">
        <v>4000</v>
      </c>
      <c r="N151" s="33"/>
      <c r="O151" s="33">
        <f>cutts[[#This Row],[num]]-cutts[[#This Row],[cutted]]</f>
        <v>0</v>
      </c>
      <c r="P151" s="33"/>
      <c r="Q151" s="317"/>
    </row>
    <row r="152" spans="1:18" ht="30">
      <c r="A152" s="1">
        <v>142</v>
      </c>
      <c r="B152" s="2" t="s">
        <v>755</v>
      </c>
      <c r="C152" s="1">
        <v>140010230</v>
      </c>
      <c r="D152" s="1">
        <v>5700</v>
      </c>
      <c r="E152" s="1">
        <v>300</v>
      </c>
      <c r="F152" s="1">
        <f>_xlfn.XLOOKUP(cutts[[#This Row],[cutId]],[1]!Table15678910111216182021[idd],[1]!Table15678910111216182021[id])</f>
        <v>129</v>
      </c>
      <c r="G152" s="1" t="e">
        <f>_xlfn.XLOOKUP(cutts[[#This Row],[cutId]],[1]!Table1567891011121618202124[idd],[1]!Table1567891011121618202124[id])</f>
        <v>#N/A</v>
      </c>
      <c r="H152" s="327" t="s">
        <v>1193</v>
      </c>
      <c r="I152" s="324">
        <v>4</v>
      </c>
      <c r="J152" s="59">
        <f>cutts[[#This Row],[num]]-SUM(cutts[[#This Row],[num2]])</f>
        <v>5700</v>
      </c>
      <c r="K152" s="324"/>
      <c r="L152" s="21"/>
      <c r="M152" s="33">
        <v>5700</v>
      </c>
      <c r="N152" s="33"/>
      <c r="O152" s="33">
        <f>cutts[[#This Row],[num]]-cutts[[#This Row],[cutted]]</f>
        <v>0</v>
      </c>
      <c r="P152" s="33"/>
      <c r="Q152" s="317"/>
    </row>
    <row r="153" spans="1:18" ht="45">
      <c r="A153" s="1">
        <v>143</v>
      </c>
      <c r="B153" s="2" t="s">
        <v>756</v>
      </c>
      <c r="C153" s="1">
        <v>140310007</v>
      </c>
      <c r="D153" s="1">
        <v>7000</v>
      </c>
      <c r="E153" s="1">
        <v>300</v>
      </c>
      <c r="F153" s="1">
        <f>_xlfn.XLOOKUP(cutts[[#This Row],[cutId]],[1]!Table15678910111216182021[idd],[1]!Table15678910111216182021[id])</f>
        <v>130</v>
      </c>
      <c r="G153" s="1" t="e">
        <f>_xlfn.XLOOKUP(cutts[[#This Row],[cutId]],[1]!Table1567891011121618202124[idd],[1]!Table1567891011121618202124[id])</f>
        <v>#N/A</v>
      </c>
      <c r="H153" s="327" t="s">
        <v>1194</v>
      </c>
      <c r="I153" s="324">
        <v>4</v>
      </c>
      <c r="J153" s="59">
        <f>cutts[[#This Row],[num]]-SUM(cutts[[#This Row],[num2]])</f>
        <v>7000</v>
      </c>
      <c r="K153" s="324"/>
      <c r="L153" s="21"/>
      <c r="M153" s="33">
        <v>7000</v>
      </c>
      <c r="N153" s="33"/>
      <c r="O153" s="33">
        <f>cutts[[#This Row],[num]]-cutts[[#This Row],[cutted]]</f>
        <v>0</v>
      </c>
      <c r="P153" s="33"/>
      <c r="Q153" s="317"/>
    </row>
    <row r="154" spans="1:18" ht="16.5">
      <c r="A154" s="1">
        <v>144</v>
      </c>
      <c r="B154" s="2" t="s">
        <v>759</v>
      </c>
      <c r="C154" s="1">
        <v>140450047</v>
      </c>
      <c r="D154" s="1">
        <v>50</v>
      </c>
      <c r="E154" s="1">
        <v>300</v>
      </c>
      <c r="F154" s="1">
        <f>_xlfn.XLOOKUP(cutts[[#This Row],[cutId]],[1]!Table15678910111216182021[idd],[1]!Table15678910111216182021[id])</f>
        <v>131</v>
      </c>
      <c r="G154" s="1" t="e">
        <f>_xlfn.XLOOKUP(cutts[[#This Row],[cutId]],[1]!Table1567891011121618202124[idd],[1]!Table1567891011121618202124[id])</f>
        <v>#N/A</v>
      </c>
      <c r="H154" s="327">
        <v>51.659722222222221</v>
      </c>
      <c r="I154" s="324">
        <v>4</v>
      </c>
      <c r="J154" s="59">
        <f>cutts[[#This Row],[num]]-SUM(cutts[[#This Row],[num2]])</f>
        <v>50</v>
      </c>
      <c r="K154" s="324"/>
      <c r="L154" s="21"/>
      <c r="M154" s="33">
        <v>50</v>
      </c>
      <c r="N154" s="33"/>
      <c r="O154" s="33">
        <f>cutts[[#This Row],[num]]-cutts[[#This Row],[cutted]]</f>
        <v>0</v>
      </c>
      <c r="P154" s="33"/>
      <c r="Q154" s="317"/>
    </row>
    <row r="155" spans="1:18" ht="30">
      <c r="A155" s="1">
        <v>145</v>
      </c>
      <c r="B155" s="2" t="s">
        <v>759</v>
      </c>
      <c r="C155" s="1">
        <v>140530039</v>
      </c>
      <c r="D155" s="1">
        <v>7000</v>
      </c>
      <c r="E155" s="1">
        <v>500</v>
      </c>
      <c r="F155" s="1">
        <f>_xlfn.XLOOKUP(cutts[[#This Row],[cutId]],[1]!Table15678910111216182021[idd],[1]!Table15678910111216182021[id])</f>
        <v>132</v>
      </c>
      <c r="G155" s="1" t="e">
        <f>_xlfn.XLOOKUP(cutts[[#This Row],[cutId]],[1]!Table1567891011121618202124[idd],[1]!Table1567891011121618202124[id])</f>
        <v>#N/A</v>
      </c>
      <c r="H155" s="327" t="s">
        <v>1195</v>
      </c>
      <c r="I155" s="324">
        <v>3</v>
      </c>
      <c r="J155" s="59">
        <f>cutts[[#This Row],[num]]-SUM(cutts[[#This Row],[num2]])</f>
        <v>7000</v>
      </c>
      <c r="K155" s="324"/>
      <c r="L155" s="21"/>
      <c r="M155" s="33">
        <v>7000</v>
      </c>
      <c r="N155" s="33"/>
      <c r="O155" s="33">
        <f>cutts[[#This Row],[num]]-cutts[[#This Row],[cutted]]</f>
        <v>0</v>
      </c>
      <c r="P155" s="33"/>
      <c r="Q155" s="317"/>
    </row>
    <row r="156" spans="1:18" ht="16.5">
      <c r="A156" s="1">
        <v>146</v>
      </c>
      <c r="B156" s="2" t="s">
        <v>760</v>
      </c>
      <c r="C156" s="1">
        <v>140310071</v>
      </c>
      <c r="D156" s="1">
        <v>1200</v>
      </c>
      <c r="E156" s="1">
        <v>300</v>
      </c>
      <c r="F156" s="1" t="e">
        <f>_xlfn.XLOOKUP(cutts[[#This Row],[cutId]],[1]!Table15678910111216182021[idd],[1]!Table15678910111216182021[id])</f>
        <v>#N/A</v>
      </c>
      <c r="G156" s="1">
        <f>_xlfn.XLOOKUP(cutts[[#This Row],[cutId]],[1]!Table1567891011121618202124[idd],[1]!Table1567891011121618202124[id])</f>
        <v>20</v>
      </c>
      <c r="H156" s="331" t="s">
        <v>1197</v>
      </c>
      <c r="I156" s="324"/>
      <c r="J156" s="59">
        <f>cutts[[#This Row],[num]]-SUM(cutts[[#This Row],[num2]])</f>
        <v>1200</v>
      </c>
      <c r="K156" s="324"/>
      <c r="L156" s="21"/>
      <c r="M156" s="33">
        <v>1200</v>
      </c>
      <c r="N156" s="33"/>
      <c r="O156" s="33">
        <f>cutts[[#This Row],[num]]-cutts[[#This Row],[cutted]]</f>
        <v>0</v>
      </c>
      <c r="P156" s="33"/>
      <c r="Q156" s="317"/>
      <c r="R156" s="1" t="s">
        <v>1188</v>
      </c>
    </row>
    <row r="157" spans="1:18" ht="16.5">
      <c r="A157" s="1">
        <v>147</v>
      </c>
      <c r="B157" s="2" t="s">
        <v>761</v>
      </c>
      <c r="C157" s="1">
        <v>140310031</v>
      </c>
      <c r="D157" s="1">
        <v>1500</v>
      </c>
      <c r="E157" s="1">
        <v>300</v>
      </c>
      <c r="F157" s="1">
        <f>_xlfn.XLOOKUP(cutts[[#This Row],[cutId]],[1]!Table15678910111216182021[idd],[1]!Table15678910111216182021[id])</f>
        <v>133</v>
      </c>
      <c r="G157" s="1" t="e">
        <f>_xlfn.XLOOKUP(cutts[[#This Row],[cutId]],[1]!Table1567891011121618202124[idd],[1]!Table1567891011121618202124[id])</f>
        <v>#N/A</v>
      </c>
      <c r="H157" s="327" t="s">
        <v>1196</v>
      </c>
      <c r="I157" s="324">
        <v>4</v>
      </c>
      <c r="J157" s="59">
        <f>cutts[[#This Row],[num]]-SUM(cutts[[#This Row],[num2]])</f>
        <v>1500</v>
      </c>
      <c r="K157" s="324"/>
      <c r="L157" s="21"/>
      <c r="M157" s="33">
        <v>1500</v>
      </c>
      <c r="N157" s="33"/>
      <c r="O157" s="33">
        <f>cutts[[#This Row],[num]]-cutts[[#This Row],[cutted]]</f>
        <v>0</v>
      </c>
      <c r="P157" s="33"/>
      <c r="Q157" s="317"/>
    </row>
    <row r="158" spans="1:18" ht="30">
      <c r="A158" s="1">
        <v>148</v>
      </c>
      <c r="B158" s="2" t="s">
        <v>762</v>
      </c>
      <c r="C158" s="1">
        <v>140310007</v>
      </c>
      <c r="D158" s="1">
        <v>6000</v>
      </c>
      <c r="E158" s="1">
        <v>300</v>
      </c>
      <c r="F158" s="1">
        <f>_xlfn.XLOOKUP(cutts[[#This Row],[cutId]],[1]!Table15678910111216182021[idd],[1]!Table15678910111216182021[id])</f>
        <v>134</v>
      </c>
      <c r="G158" s="1" t="e">
        <f>_xlfn.XLOOKUP(cutts[[#This Row],[cutId]],[1]!Table1567891011121618202124[idd],[1]!Table1567891011121618202124[id])</f>
        <v>#N/A</v>
      </c>
      <c r="H158" s="327" t="s">
        <v>1198</v>
      </c>
      <c r="I158" s="324">
        <v>4</v>
      </c>
      <c r="J158" s="59">
        <f>cutts[[#This Row],[num]]-SUM(cutts[[#This Row],[num2]])</f>
        <v>6000</v>
      </c>
      <c r="K158" s="324"/>
      <c r="L158" s="21"/>
      <c r="M158" s="33">
        <v>6000</v>
      </c>
      <c r="N158" s="33"/>
      <c r="O158" s="33">
        <f>cutts[[#This Row],[num]]-cutts[[#This Row],[cutted]]</f>
        <v>0</v>
      </c>
      <c r="P158" s="33"/>
      <c r="Q158" s="317"/>
    </row>
    <row r="159" spans="1:18" ht="16.5">
      <c r="A159" s="1">
        <v>149</v>
      </c>
      <c r="B159" s="2" t="s">
        <v>762</v>
      </c>
      <c r="C159" s="1">
        <v>140450047</v>
      </c>
      <c r="D159" s="1">
        <v>100</v>
      </c>
      <c r="E159" s="1">
        <v>100</v>
      </c>
      <c r="F159" s="1">
        <f>_xlfn.XLOOKUP(cutts[[#This Row],[cutId]],[1]!Table15678910111216182021[idd],[1]!Table15678910111216182021[id])</f>
        <v>135</v>
      </c>
      <c r="G159" s="1" t="e">
        <f>_xlfn.XLOOKUP(cutts[[#This Row],[cutId]],[1]!Table1567891011121618202124[idd],[1]!Table1567891011121618202124[id])</f>
        <v>#N/A</v>
      </c>
      <c r="H159" s="327" t="s">
        <v>1199</v>
      </c>
      <c r="I159" s="324">
        <v>4</v>
      </c>
      <c r="J159" s="59">
        <f>cutts[[#This Row],[num]]-SUM(cutts[[#This Row],[num2]])</f>
        <v>100</v>
      </c>
      <c r="K159" s="324"/>
      <c r="L159" s="21"/>
      <c r="M159" s="33">
        <v>119</v>
      </c>
      <c r="N159" s="33"/>
      <c r="O159" s="33">
        <f>cutts[[#This Row],[num]]-cutts[[#This Row],[cutted]]</f>
        <v>-19</v>
      </c>
      <c r="P159" s="33"/>
      <c r="Q159" s="317"/>
    </row>
    <row r="160" spans="1:18" ht="16.5">
      <c r="A160" s="1">
        <v>150</v>
      </c>
      <c r="B160" s="2" t="s">
        <v>763</v>
      </c>
      <c r="C160" s="1">
        <v>140310071</v>
      </c>
      <c r="D160" s="1">
        <v>1200</v>
      </c>
      <c r="E160" s="1">
        <v>300</v>
      </c>
      <c r="F160" s="1" t="e">
        <f>_xlfn.XLOOKUP(cutts[[#This Row],[cutId]],[1]!Table15678910111216182021[idd],[1]!Table15678910111216182021[id])</f>
        <v>#N/A</v>
      </c>
      <c r="G160" s="1">
        <f>_xlfn.XLOOKUP(cutts[[#This Row],[cutId]],[1]!Table1567891011121618202124[idd],[1]!Table1567891011121618202124[id])</f>
        <v>21</v>
      </c>
      <c r="H160" s="327" t="s">
        <v>1200</v>
      </c>
      <c r="I160" s="324" t="s">
        <v>122</v>
      </c>
      <c r="J160" s="59">
        <f>cutts[[#This Row],[num]]-SUM(cutts[[#This Row],[num2]])</f>
        <v>1200</v>
      </c>
      <c r="K160" s="324"/>
      <c r="L160" s="21"/>
      <c r="M160" s="33">
        <v>1200</v>
      </c>
      <c r="N160" s="33"/>
      <c r="O160" s="33">
        <f>cutts[[#This Row],[num]]-cutts[[#This Row],[cutted]]</f>
        <v>0</v>
      </c>
      <c r="P160" s="33"/>
      <c r="Q160" s="317"/>
      <c r="R160" s="1" t="s">
        <v>1188</v>
      </c>
    </row>
    <row r="161" spans="1:18" ht="16.5">
      <c r="A161" s="1">
        <v>151</v>
      </c>
      <c r="B161" s="2" t="s">
        <v>766</v>
      </c>
      <c r="C161" s="1">
        <v>140310007</v>
      </c>
      <c r="D161" s="1">
        <v>3000</v>
      </c>
      <c r="E161" s="1">
        <v>300</v>
      </c>
      <c r="F161" s="1">
        <f>_xlfn.XLOOKUP(cutts[[#This Row],[cutId]],[1]!Table15678910111216182021[idd],[1]!Table15678910111216182021[id])</f>
        <v>136</v>
      </c>
      <c r="G161" s="1" t="e">
        <f>_xlfn.XLOOKUP(cutts[[#This Row],[cutId]],[1]!Table1567891011121618202124[idd],[1]!Table1567891011121618202124[id])</f>
        <v>#N/A</v>
      </c>
      <c r="H161" s="327" t="s">
        <v>1201</v>
      </c>
      <c r="I161" s="324">
        <v>4</v>
      </c>
      <c r="J161" s="59">
        <f>cutts[[#This Row],[num]]-SUM(cutts[[#This Row],[num2]])</f>
        <v>3000</v>
      </c>
      <c r="K161" s="324"/>
      <c r="L161" s="21"/>
      <c r="M161" s="33">
        <v>3000</v>
      </c>
      <c r="N161" s="33"/>
      <c r="O161" s="33">
        <f>cutts[[#This Row],[num]]-cutts[[#This Row],[cutted]]</f>
        <v>0</v>
      </c>
      <c r="P161" s="33"/>
      <c r="Q161" s="317"/>
    </row>
    <row r="162" spans="1:18" ht="16.5">
      <c r="A162" s="1">
        <v>152</v>
      </c>
      <c r="B162" s="2" t="s">
        <v>767</v>
      </c>
      <c r="C162" s="1">
        <v>140310007</v>
      </c>
      <c r="D162" s="1">
        <v>3000</v>
      </c>
      <c r="E162" s="1">
        <v>300</v>
      </c>
      <c r="F162" s="1">
        <f>_xlfn.XLOOKUP(cutts[[#This Row],[cutId]],[1]!Table15678910111216182021[idd],[1]!Table15678910111216182021[id])</f>
        <v>137</v>
      </c>
      <c r="G162" s="1" t="e">
        <f>_xlfn.XLOOKUP(cutts[[#This Row],[cutId]],[1]!Table1567891011121618202124[idd],[1]!Table1567891011121618202124[id])</f>
        <v>#N/A</v>
      </c>
      <c r="H162" s="327" t="s">
        <v>1202</v>
      </c>
      <c r="I162" s="324">
        <v>4</v>
      </c>
      <c r="J162" s="59">
        <f>cutts[[#This Row],[num]]-SUM(cutts[[#This Row],[num2]])</f>
        <v>3000</v>
      </c>
      <c r="K162" s="324"/>
      <c r="L162" s="21"/>
      <c r="M162" s="33">
        <v>3000</v>
      </c>
      <c r="N162" s="33"/>
      <c r="O162" s="33">
        <f>cutts[[#This Row],[num]]-cutts[[#This Row],[cutted]]</f>
        <v>0</v>
      </c>
      <c r="P162" s="33"/>
      <c r="Q162" s="317"/>
    </row>
    <row r="163" spans="1:18" ht="16.5">
      <c r="A163" s="1">
        <v>153</v>
      </c>
      <c r="B163" s="2" t="s">
        <v>767</v>
      </c>
      <c r="C163" s="1">
        <v>140310071</v>
      </c>
      <c r="D163" s="1">
        <v>3000</v>
      </c>
      <c r="E163" s="1">
        <v>300</v>
      </c>
      <c r="F163" s="1">
        <f>_xlfn.XLOOKUP(cutts[[#This Row],[cutId]],[1]!Table15678910111216182021[idd],[1]!Table15678910111216182021[id])</f>
        <v>138</v>
      </c>
      <c r="G163" s="1" t="e">
        <f>_xlfn.XLOOKUP(cutts[[#This Row],[cutId]],[1]!Table1567891011121618202124[idd],[1]!Table1567891011121618202124[id])</f>
        <v>#N/A</v>
      </c>
      <c r="H163" s="327" t="s">
        <v>1203</v>
      </c>
      <c r="I163" s="324">
        <v>3</v>
      </c>
      <c r="J163" s="59">
        <f>cutts[[#This Row],[num]]-SUM(cutts[[#This Row],[num2]])</f>
        <v>3000</v>
      </c>
      <c r="K163" s="324"/>
      <c r="L163" s="21"/>
      <c r="M163" s="33">
        <v>3000</v>
      </c>
      <c r="N163" s="33"/>
      <c r="O163" s="33">
        <f>cutts[[#This Row],[num]]-cutts[[#This Row],[cutted]]</f>
        <v>0</v>
      </c>
      <c r="P163" s="33"/>
      <c r="Q163" s="317"/>
    </row>
    <row r="164" spans="1:18" ht="45">
      <c r="A164" s="1">
        <v>154</v>
      </c>
      <c r="B164" s="2" t="s">
        <v>769</v>
      </c>
      <c r="C164" s="1">
        <v>140310031</v>
      </c>
      <c r="D164" s="1">
        <v>7000</v>
      </c>
      <c r="E164" s="1">
        <v>300</v>
      </c>
      <c r="F164" s="1">
        <f>_xlfn.XLOOKUP(cutts[[#This Row],[cutId]],[1]!Table15678910111216182021[idd],[1]!Table15678910111216182021[id])</f>
        <v>139</v>
      </c>
      <c r="G164" s="1" t="e">
        <f>_xlfn.XLOOKUP(cutts[[#This Row],[cutId]],[1]!Table1567891011121618202124[idd],[1]!Table1567891011121618202124[id])</f>
        <v>#N/A</v>
      </c>
      <c r="H164" s="327" t="s">
        <v>1209</v>
      </c>
      <c r="I164" s="324">
        <v>4</v>
      </c>
      <c r="J164" s="59">
        <f>cutts[[#This Row],[num]]-SUM(cutts[[#This Row],[num2]])</f>
        <v>7000</v>
      </c>
      <c r="K164" s="324"/>
      <c r="L164" s="21"/>
      <c r="M164" s="33">
        <v>7000</v>
      </c>
      <c r="N164" s="33"/>
      <c r="O164" s="33">
        <f>cutts[[#This Row],[num]]-cutts[[#This Row],[cutted]]</f>
        <v>0</v>
      </c>
      <c r="P164" s="33"/>
      <c r="Q164" s="317"/>
    </row>
    <row r="165" spans="1:18" ht="16.5">
      <c r="A165" s="1">
        <v>155</v>
      </c>
      <c r="B165" s="2" t="s">
        <v>773</v>
      </c>
      <c r="C165" s="1">
        <v>140450047</v>
      </c>
      <c r="D165" s="1">
        <v>100</v>
      </c>
      <c r="E165" s="1">
        <v>300</v>
      </c>
      <c r="F165" s="1">
        <f>_xlfn.XLOOKUP(cutts[[#This Row],[cutId]],[1]!Table15678910111216182021[idd],[1]!Table15678910111216182021[id])</f>
        <v>140</v>
      </c>
      <c r="G165" s="1" t="e">
        <f>_xlfn.XLOOKUP(cutts[[#This Row],[cutId]],[1]!Table1567891011121618202124[idd],[1]!Table1567891011121618202124[id])</f>
        <v>#N/A</v>
      </c>
      <c r="H165" s="327" t="s">
        <v>1212</v>
      </c>
      <c r="I165" s="324">
        <v>4</v>
      </c>
      <c r="J165" s="59">
        <f>cutts[[#This Row],[num]]-SUM(cutts[[#This Row],[num2]])</f>
        <v>100</v>
      </c>
      <c r="K165" s="324"/>
      <c r="L165" s="21"/>
      <c r="M165" s="33">
        <v>100</v>
      </c>
      <c r="N165" s="33"/>
      <c r="O165" s="33">
        <f>cutts[[#This Row],[num]]-cutts[[#This Row],[cutted]]</f>
        <v>0</v>
      </c>
      <c r="P165" s="33"/>
      <c r="Q165" s="317"/>
    </row>
    <row r="166" spans="1:18" ht="16.5">
      <c r="A166" s="1">
        <v>156</v>
      </c>
      <c r="B166" s="2" t="s">
        <v>773</v>
      </c>
      <c r="C166" s="1">
        <v>140450047</v>
      </c>
      <c r="D166" s="1">
        <v>300</v>
      </c>
      <c r="E166" s="1">
        <v>300</v>
      </c>
      <c r="F166" s="1">
        <f>_xlfn.XLOOKUP(cutts[[#This Row],[cutId]],[1]!Table15678910111216182021[idd],[1]!Table15678910111216182021[id])</f>
        <v>141</v>
      </c>
      <c r="G166" s="1" t="e">
        <f>_xlfn.XLOOKUP(cutts[[#This Row],[cutId]],[1]!Table1567891011121618202124[idd],[1]!Table1567891011121618202124[id])</f>
        <v>#N/A</v>
      </c>
      <c r="H166" s="327" t="s">
        <v>1257</v>
      </c>
      <c r="I166" s="324">
        <v>4</v>
      </c>
      <c r="J166" s="59">
        <f>cutts[[#This Row],[num]]-SUM(cutts[[#This Row],[num2]])</f>
        <v>300</v>
      </c>
      <c r="K166" s="324"/>
      <c r="L166" s="21"/>
      <c r="M166" s="33">
        <v>300</v>
      </c>
      <c r="N166" s="33"/>
      <c r="O166" s="33">
        <f>cutts[[#This Row],[num]]-cutts[[#This Row],[cutted]]</f>
        <v>0</v>
      </c>
      <c r="P166" s="33"/>
      <c r="Q166" s="317"/>
    </row>
    <row r="167" spans="1:18" ht="16.5">
      <c r="A167" s="1">
        <v>157</v>
      </c>
      <c r="B167" s="2" t="s">
        <v>773</v>
      </c>
      <c r="C167" s="1">
        <v>140310007</v>
      </c>
      <c r="D167" s="1">
        <v>1500</v>
      </c>
      <c r="E167" s="1">
        <v>300</v>
      </c>
      <c r="F167" s="1">
        <f>_xlfn.XLOOKUP(cutts[[#This Row],[cutId]],[1]!Table15678910111216182021[idd],[1]!Table15678910111216182021[id])</f>
        <v>142</v>
      </c>
      <c r="G167" s="1" t="e">
        <f>_xlfn.XLOOKUP(cutts[[#This Row],[cutId]],[1]!Table1567891011121618202124[idd],[1]!Table1567891011121618202124[id])</f>
        <v>#N/A</v>
      </c>
      <c r="H167" s="327" t="s">
        <v>1249</v>
      </c>
      <c r="I167" s="324">
        <v>4</v>
      </c>
      <c r="J167" s="59">
        <f>cutts[[#This Row],[num]]-SUM(cutts[[#This Row],[num2]])</f>
        <v>1500</v>
      </c>
      <c r="K167" s="324"/>
      <c r="L167" s="21"/>
      <c r="M167" s="33">
        <v>1500</v>
      </c>
      <c r="N167" s="33"/>
      <c r="O167" s="33">
        <f>cutts[[#This Row],[num]]-cutts[[#This Row],[cutted]]</f>
        <v>0</v>
      </c>
      <c r="P167" s="33"/>
      <c r="Q167" s="317"/>
    </row>
    <row r="168" spans="1:18" ht="16.5">
      <c r="A168" s="1">
        <v>158</v>
      </c>
      <c r="B168" s="2" t="s">
        <v>773</v>
      </c>
      <c r="C168" s="1">
        <v>140450047</v>
      </c>
      <c r="D168" s="1">
        <v>500</v>
      </c>
      <c r="E168" s="1">
        <v>100</v>
      </c>
      <c r="F168" s="1">
        <f>_xlfn.XLOOKUP(cutts[[#This Row],[cutId]],[1]!Table15678910111216182021[idd],[1]!Table15678910111216182021[id])</f>
        <v>143</v>
      </c>
      <c r="G168" s="1" t="e">
        <f>_xlfn.XLOOKUP(cutts[[#This Row],[cutId]],[1]!Table1567891011121618202124[idd],[1]!Table1567891011121618202124[id])</f>
        <v>#N/A</v>
      </c>
      <c r="H168" s="327" t="s">
        <v>1258</v>
      </c>
      <c r="I168" s="324">
        <v>4</v>
      </c>
      <c r="J168" s="59">
        <f>cutts[[#This Row],[num]]-SUM(cutts[[#This Row],[num2]])</f>
        <v>500</v>
      </c>
      <c r="K168" s="324"/>
      <c r="L168" s="21"/>
      <c r="M168" s="33">
        <v>500</v>
      </c>
      <c r="N168" s="33"/>
      <c r="O168" s="33">
        <f>cutts[[#This Row],[num]]-cutts[[#This Row],[cutted]]</f>
        <v>0</v>
      </c>
      <c r="P168" s="33"/>
      <c r="Q168" s="317" t="s">
        <v>1267</v>
      </c>
    </row>
    <row r="169" spans="1:18" ht="16.5">
      <c r="A169" s="1">
        <v>159</v>
      </c>
      <c r="B169" s="2" t="s">
        <v>775</v>
      </c>
      <c r="C169" s="1">
        <v>140450047</v>
      </c>
      <c r="D169" s="1">
        <v>1000</v>
      </c>
      <c r="E169" s="1">
        <v>300</v>
      </c>
      <c r="F169" s="1">
        <f>_xlfn.XLOOKUP(cutts[[#This Row],[cutId]],[1]!Table15678910111216182021[idd],[1]!Table15678910111216182021[id])</f>
        <v>144</v>
      </c>
      <c r="G169" s="1" t="e">
        <f>_xlfn.XLOOKUP(cutts[[#This Row],[cutId]],[1]!Table1567891011121618202124[idd],[1]!Table1567891011121618202124[id])</f>
        <v>#N/A</v>
      </c>
      <c r="H169" s="327" t="s">
        <v>1259</v>
      </c>
      <c r="I169" s="324">
        <v>4</v>
      </c>
      <c r="J169" s="59">
        <f>cutts[[#This Row],[num]]-SUM(cutts[[#This Row],[num2]])</f>
        <v>1000</v>
      </c>
      <c r="K169" s="324"/>
      <c r="L169" s="21"/>
      <c r="M169" s="33">
        <v>1000</v>
      </c>
      <c r="N169" s="33"/>
      <c r="O169" s="33">
        <f>cutts[[#This Row],[num]]-cutts[[#This Row],[cutted]]</f>
        <v>0</v>
      </c>
      <c r="P169" s="33"/>
      <c r="Q169" s="317"/>
    </row>
    <row r="170" spans="1:18" ht="16.5">
      <c r="A170" s="1">
        <v>160</v>
      </c>
      <c r="B170" s="2" t="s">
        <v>776</v>
      </c>
      <c r="C170" s="1">
        <v>140310071</v>
      </c>
      <c r="D170" s="1">
        <v>3000</v>
      </c>
      <c r="E170" s="1">
        <v>300</v>
      </c>
      <c r="F170" s="1">
        <f>_xlfn.XLOOKUP(cutts[[#This Row],[cutId]],[1]!Table15678910111216182021[idd],[1]!Table15678910111216182021[id])</f>
        <v>145</v>
      </c>
      <c r="G170" s="1" t="e">
        <f>_xlfn.XLOOKUP(cutts[[#This Row],[cutId]],[1]!Table1567891011121618202124[idd],[1]!Table1567891011121618202124[id])</f>
        <v>#N/A</v>
      </c>
      <c r="H170" s="327" t="s">
        <v>1266</v>
      </c>
      <c r="I170" s="324">
        <v>3</v>
      </c>
      <c r="J170" s="59">
        <f>cutts[[#This Row],[num]]-SUM(cutts[[#This Row],[num2]])</f>
        <v>3000</v>
      </c>
      <c r="K170" s="324"/>
      <c r="L170" s="21"/>
      <c r="M170" s="33">
        <v>3000</v>
      </c>
      <c r="N170" s="33"/>
      <c r="O170" s="33">
        <f>cutts[[#This Row],[num]]-cutts[[#This Row],[cutted]]</f>
        <v>0</v>
      </c>
      <c r="P170" s="33"/>
      <c r="Q170" s="317"/>
    </row>
    <row r="171" spans="1:18" ht="16.5">
      <c r="A171" s="1">
        <v>161</v>
      </c>
      <c r="B171" s="2" t="s">
        <v>776</v>
      </c>
      <c r="C171" s="1">
        <v>140310007</v>
      </c>
      <c r="D171" s="1">
        <v>1500</v>
      </c>
      <c r="E171" s="1">
        <v>300</v>
      </c>
      <c r="F171" s="1">
        <f>_xlfn.XLOOKUP(cutts[[#This Row],[cutId]],[1]!Table15678910111216182021[idd],[1]!Table15678910111216182021[id])</f>
        <v>146</v>
      </c>
      <c r="G171" s="1" t="e">
        <f>_xlfn.XLOOKUP(cutts[[#This Row],[cutId]],[1]!Table1567891011121618202124[idd],[1]!Table1567891011121618202124[id])</f>
        <v>#N/A</v>
      </c>
      <c r="H171" s="327" t="s">
        <v>1268</v>
      </c>
      <c r="I171" s="324">
        <v>4</v>
      </c>
      <c r="J171" s="59">
        <f>cutts[[#This Row],[num]]-SUM(cutts[[#This Row],[num2]])</f>
        <v>1500</v>
      </c>
      <c r="K171" s="324"/>
      <c r="L171" s="21"/>
      <c r="M171" s="33">
        <v>1500</v>
      </c>
      <c r="N171" s="33"/>
      <c r="O171" s="33">
        <f>cutts[[#This Row],[num]]-cutts[[#This Row],[cutted]]</f>
        <v>0</v>
      </c>
      <c r="P171" s="33"/>
      <c r="Q171" s="317"/>
    </row>
    <row r="172" spans="1:18" ht="16.5">
      <c r="A172" s="1">
        <v>162</v>
      </c>
      <c r="B172" s="2" t="s">
        <v>777</v>
      </c>
      <c r="C172" s="1">
        <v>140310071</v>
      </c>
      <c r="E172" s="1">
        <v>300</v>
      </c>
      <c r="F172" s="1">
        <f>_xlfn.XLOOKUP(cutts[[#This Row],[cutId]],[1]!Table15678910111216182021[idd],[1]!Table15678910111216182021[id])</f>
        <v>147</v>
      </c>
      <c r="G172" s="1" t="e">
        <f>_xlfn.XLOOKUP(cutts[[#This Row],[cutId]],[1]!Table1567891011121618202124[idd],[1]!Table1567891011121618202124[id])</f>
        <v>#N/A</v>
      </c>
      <c r="H172" s="327"/>
      <c r="I172" s="324">
        <v>3</v>
      </c>
      <c r="J172" s="59">
        <f>cutts[[#This Row],[num]]-SUM(cutts[[#This Row],[num2]])</f>
        <v>0</v>
      </c>
      <c r="K172" s="324"/>
      <c r="L172" s="21"/>
      <c r="M172" s="33"/>
      <c r="N172" s="33"/>
      <c r="O172" s="33">
        <f>cutts[[#This Row],[num]]-cutts[[#This Row],[cutted]]</f>
        <v>0</v>
      </c>
      <c r="P172" s="33"/>
      <c r="Q172" s="317" t="s">
        <v>1277</v>
      </c>
      <c r="R172" s="1" t="s">
        <v>1361</v>
      </c>
    </row>
    <row r="173" spans="1:18" ht="16.5">
      <c r="A173" s="1">
        <v>163</v>
      </c>
      <c r="B173" s="2" t="s">
        <v>777</v>
      </c>
      <c r="C173" s="1">
        <v>140310007</v>
      </c>
      <c r="D173" s="1">
        <v>3000</v>
      </c>
      <c r="E173" s="1">
        <v>300</v>
      </c>
      <c r="F173" s="1">
        <f>_xlfn.XLOOKUP(cutts[[#This Row],[cutId]],[1]!Table15678910111216182021[idd],[1]!Table15678910111216182021[id])</f>
        <v>148</v>
      </c>
      <c r="G173" s="1" t="e">
        <f>_xlfn.XLOOKUP(cutts[[#This Row],[cutId]],[1]!Table1567891011121618202124[idd],[1]!Table1567891011121618202124[id])</f>
        <v>#N/A</v>
      </c>
      <c r="H173" s="327" t="s">
        <v>1269</v>
      </c>
      <c r="I173" s="324">
        <v>4</v>
      </c>
      <c r="J173" s="59">
        <f>cutts[[#This Row],[num]]-SUM(cutts[[#This Row],[num2]])</f>
        <v>3000</v>
      </c>
      <c r="K173" s="324"/>
      <c r="L173" s="21"/>
      <c r="M173" s="33">
        <v>3000</v>
      </c>
      <c r="N173" s="33"/>
      <c r="O173" s="33">
        <f>cutts[[#This Row],[num]]-cutts[[#This Row],[cutted]]</f>
        <v>0</v>
      </c>
      <c r="P173" s="33"/>
      <c r="Q173" s="317" t="s">
        <v>1270</v>
      </c>
    </row>
    <row r="174" spans="1:18" ht="16.5">
      <c r="A174" s="1">
        <v>164</v>
      </c>
      <c r="B174" s="2" t="s">
        <v>777</v>
      </c>
      <c r="C174" s="1">
        <v>140530039</v>
      </c>
      <c r="D174" s="1">
        <v>100</v>
      </c>
      <c r="E174" s="1">
        <v>500</v>
      </c>
      <c r="F174" s="1">
        <f>_xlfn.XLOOKUP(cutts[[#This Row],[cutId]],[1]!Table15678910111216182021[idd],[1]!Table15678910111216182021[id])</f>
        <v>149</v>
      </c>
      <c r="G174" s="1" t="e">
        <f>_xlfn.XLOOKUP(cutts[[#This Row],[cutId]],[1]!Table1567891011121618202124[idd],[1]!Table1567891011121618202124[id])</f>
        <v>#N/A</v>
      </c>
      <c r="H174" s="327" t="s">
        <v>1278</v>
      </c>
      <c r="I174" s="324">
        <v>3</v>
      </c>
      <c r="J174" s="59">
        <f>cutts[[#This Row],[num]]-SUM(cutts[[#This Row],[num2]])</f>
        <v>100</v>
      </c>
      <c r="K174" s="324"/>
      <c r="L174" s="21"/>
      <c r="M174" s="33">
        <v>104</v>
      </c>
      <c r="N174" s="33"/>
      <c r="O174" s="33">
        <f>cutts[[#This Row],[num]]-cutts[[#This Row],[cutted]]</f>
        <v>-4</v>
      </c>
      <c r="P174" s="33"/>
      <c r="Q174" s="319">
        <v>0.125</v>
      </c>
    </row>
    <row r="175" spans="1:18" ht="16.5">
      <c r="A175" s="1">
        <v>165</v>
      </c>
      <c r="B175" s="2" t="s">
        <v>777</v>
      </c>
      <c r="C175" s="1">
        <v>140550019</v>
      </c>
      <c r="D175" s="1">
        <v>6</v>
      </c>
      <c r="E175" s="1">
        <v>300</v>
      </c>
      <c r="F175" s="1">
        <f>_xlfn.XLOOKUP(cutts[[#This Row],[cutId]],[1]!Table15678910111216182021[idd],[1]!Table15678910111216182021[id])</f>
        <v>150</v>
      </c>
      <c r="G175" s="1" t="e">
        <f>_xlfn.XLOOKUP(cutts[[#This Row],[cutId]],[1]!Table1567891011121618202124[idd],[1]!Table1567891011121618202124[id])</f>
        <v>#N/A</v>
      </c>
      <c r="H175" s="327">
        <v>57.587499999999999</v>
      </c>
      <c r="I175" s="324">
        <v>10</v>
      </c>
      <c r="J175" s="59">
        <f>cutts[[#This Row],[num]]-SUM(cutts[[#This Row],[num2]])</f>
        <v>6</v>
      </c>
      <c r="K175" s="324"/>
      <c r="L175" s="21"/>
      <c r="M175" s="33">
        <v>6</v>
      </c>
      <c r="N175" s="33"/>
      <c r="O175" s="33">
        <f>cutts[[#This Row],[num]]-cutts[[#This Row],[cutted]]</f>
        <v>0</v>
      </c>
      <c r="P175" s="33"/>
      <c r="Q175" s="317" t="s">
        <v>1279</v>
      </c>
    </row>
    <row r="176" spans="1:18" ht="16.5">
      <c r="A176" s="1">
        <v>166</v>
      </c>
      <c r="B176" s="2" t="s">
        <v>777</v>
      </c>
      <c r="C176" s="1">
        <v>140450047</v>
      </c>
      <c r="D176" s="1">
        <v>900</v>
      </c>
      <c r="E176" s="1">
        <v>300</v>
      </c>
      <c r="F176" s="1">
        <f>_xlfn.XLOOKUP(cutts[[#This Row],[cutId]],[1]!Table15678910111216182021[idd],[1]!Table15678910111216182021[id])</f>
        <v>151</v>
      </c>
      <c r="G176" s="1" t="e">
        <f>_xlfn.XLOOKUP(cutts[[#This Row],[cutId]],[1]!Table1567891011121618202124[idd],[1]!Table1567891011121618202124[id])</f>
        <v>#N/A</v>
      </c>
      <c r="H176" s="327" t="s">
        <v>1306</v>
      </c>
      <c r="I176" s="324">
        <v>4</v>
      </c>
      <c r="J176" s="59">
        <f>cutts[[#This Row],[num]]-SUM(cutts[[#This Row],[num2]])</f>
        <v>900</v>
      </c>
      <c r="K176" s="324"/>
      <c r="L176" s="21"/>
      <c r="M176" s="33">
        <v>900</v>
      </c>
      <c r="N176" s="33"/>
      <c r="O176" s="33">
        <f>cutts[[#This Row],[num]]-cutts[[#This Row],[cutted]]</f>
        <v>0</v>
      </c>
      <c r="P176" s="33"/>
      <c r="Q176" s="317"/>
    </row>
    <row r="177" spans="1:18" ht="16.5">
      <c r="A177" s="1">
        <v>167</v>
      </c>
      <c r="B177" s="2" t="s">
        <v>780</v>
      </c>
      <c r="C177" s="1">
        <v>140450047</v>
      </c>
      <c r="D177" s="1">
        <v>900</v>
      </c>
      <c r="E177" s="1">
        <v>300</v>
      </c>
      <c r="F177" s="1">
        <f>_xlfn.XLOOKUP(cutts[[#This Row],[cutId]],[1]!Table15678910111216182021[idd],[1]!Table15678910111216182021[id])</f>
        <v>152</v>
      </c>
      <c r="G177" s="1" t="e">
        <f>_xlfn.XLOOKUP(cutts[[#This Row],[cutId]],[1]!Table1567891011121618202124[idd],[1]!Table1567891011121618202124[id])</f>
        <v>#N/A</v>
      </c>
      <c r="H177" s="327" t="s">
        <v>1307</v>
      </c>
      <c r="I177" s="324">
        <v>4</v>
      </c>
      <c r="J177" s="59">
        <f>cutts[[#This Row],[num]]-SUM(cutts[[#This Row],[num2]])</f>
        <v>900</v>
      </c>
      <c r="K177" s="324"/>
      <c r="L177" s="21"/>
      <c r="M177" s="33">
        <v>900</v>
      </c>
      <c r="N177" s="33"/>
      <c r="O177" s="33">
        <f>cutts[[#This Row],[num]]-cutts[[#This Row],[cutted]]</f>
        <v>0</v>
      </c>
      <c r="P177" s="33"/>
      <c r="Q177" s="317"/>
    </row>
    <row r="178" spans="1:18" ht="16.5">
      <c r="A178" s="1">
        <v>168</v>
      </c>
      <c r="B178" s="2" t="s">
        <v>780</v>
      </c>
      <c r="C178" s="1">
        <v>140310071</v>
      </c>
      <c r="D178" s="1">
        <v>3000</v>
      </c>
      <c r="E178" s="1">
        <v>300</v>
      </c>
      <c r="F178" s="1">
        <f>_xlfn.XLOOKUP(cutts[[#This Row],[cutId]],[1]!Table15678910111216182021[idd],[1]!Table15678910111216182021[id])</f>
        <v>153</v>
      </c>
      <c r="G178" s="1" t="e">
        <f>_xlfn.XLOOKUP(cutts[[#This Row],[cutId]],[1]!Table1567891011121618202124[idd],[1]!Table1567891011121618202124[id])</f>
        <v>#N/A</v>
      </c>
      <c r="H178" s="327" t="s">
        <v>1308</v>
      </c>
      <c r="I178" s="324">
        <v>3</v>
      </c>
      <c r="J178" s="59">
        <f>cutts[[#This Row],[num]]-SUM(cutts[[#This Row],[num2]])</f>
        <v>3000</v>
      </c>
      <c r="K178" s="324"/>
      <c r="L178" s="21"/>
      <c r="M178" s="33">
        <v>3000</v>
      </c>
      <c r="N178" s="33"/>
      <c r="O178" s="33">
        <f>cutts[[#This Row],[num]]-cutts[[#This Row],[cutted]]</f>
        <v>0</v>
      </c>
      <c r="P178" s="33"/>
      <c r="Q178" s="317"/>
    </row>
    <row r="179" spans="1:18" ht="16.5">
      <c r="A179" s="1">
        <v>169</v>
      </c>
      <c r="B179" s="2" t="s">
        <v>781</v>
      </c>
      <c r="C179" s="1">
        <v>140450047</v>
      </c>
      <c r="D179" s="1">
        <v>900</v>
      </c>
      <c r="E179" s="1">
        <v>300</v>
      </c>
      <c r="F179" s="1">
        <f>_xlfn.XLOOKUP(cutts[[#This Row],[cutId]],[1]!Table15678910111216182021[idd],[1]!Table15678910111216182021[id])</f>
        <v>154</v>
      </c>
      <c r="G179" s="1" t="e">
        <f>_xlfn.XLOOKUP(cutts[[#This Row],[cutId]],[1]!Table1567891011121618202124[idd],[1]!Table1567891011121618202124[id])</f>
        <v>#N/A</v>
      </c>
      <c r="H179" s="327" t="s">
        <v>1309</v>
      </c>
      <c r="I179" s="324">
        <v>4</v>
      </c>
      <c r="J179" s="59">
        <f>cutts[[#This Row],[num]]-SUM(cutts[[#This Row],[num2]])</f>
        <v>900</v>
      </c>
      <c r="K179" s="324"/>
      <c r="L179" s="21"/>
      <c r="M179" s="33">
        <v>900</v>
      </c>
      <c r="N179" s="33"/>
      <c r="O179" s="33">
        <f>cutts[[#This Row],[num]]-cutts[[#This Row],[cutted]]</f>
        <v>0</v>
      </c>
      <c r="P179" s="33"/>
      <c r="Q179" s="317"/>
    </row>
    <row r="180" spans="1:18" ht="16.5">
      <c r="A180" s="1">
        <v>170</v>
      </c>
      <c r="B180" s="2" t="s">
        <v>781</v>
      </c>
      <c r="C180" s="1">
        <v>140310007</v>
      </c>
      <c r="D180" s="1">
        <v>3000</v>
      </c>
      <c r="E180" s="1">
        <v>300</v>
      </c>
      <c r="F180" s="1">
        <f>_xlfn.XLOOKUP(cutts[[#This Row],[cutId]],[1]!Table15678910111216182021[idd],[1]!Table15678910111216182021[id])</f>
        <v>155</v>
      </c>
      <c r="G180" s="1" t="e">
        <f>_xlfn.XLOOKUP(cutts[[#This Row],[cutId]],[1]!Table1567891011121618202124[idd],[1]!Table1567891011121618202124[id])</f>
        <v>#N/A</v>
      </c>
      <c r="H180" s="327" t="s">
        <v>1310</v>
      </c>
      <c r="I180" s="324">
        <v>4</v>
      </c>
      <c r="J180" s="59">
        <f>cutts[[#This Row],[num]]-SUM(cutts[[#This Row],[num2]])</f>
        <v>3000</v>
      </c>
      <c r="K180" s="324"/>
      <c r="L180" s="21"/>
      <c r="M180" s="33">
        <v>3000</v>
      </c>
      <c r="N180" s="33"/>
      <c r="O180" s="33">
        <f>cutts[[#This Row],[num]]-cutts[[#This Row],[cutted]]</f>
        <v>0</v>
      </c>
      <c r="P180" s="33"/>
      <c r="Q180" s="317"/>
    </row>
    <row r="181" spans="1:18" ht="16.5">
      <c r="A181" s="1">
        <v>180</v>
      </c>
      <c r="B181" s="2" t="s">
        <v>781</v>
      </c>
      <c r="C181" s="1">
        <v>140550019</v>
      </c>
      <c r="D181" s="1">
        <v>12</v>
      </c>
      <c r="E181" s="1">
        <v>300</v>
      </c>
      <c r="F181" s="1">
        <f>_xlfn.XLOOKUP(cutts[[#This Row],[cutId]],[1]!Table15678910111216182021[idd],[1]!Table15678910111216182021[id])</f>
        <v>156</v>
      </c>
      <c r="G181" s="1" t="e">
        <f>_xlfn.XLOOKUP(cutts[[#This Row],[cutId]],[1]!Table1567891011121618202124[idd],[1]!Table1567891011121618202124[id])</f>
        <v>#N/A</v>
      </c>
      <c r="H181" s="327" t="s">
        <v>1311</v>
      </c>
      <c r="I181" s="324">
        <v>10</v>
      </c>
      <c r="J181" s="59">
        <f>cutts[[#This Row],[num]]-SUM(cutts[[#This Row],[num2]])</f>
        <v>12</v>
      </c>
      <c r="K181" s="324"/>
      <c r="L181" s="21"/>
      <c r="M181" s="33">
        <v>12</v>
      </c>
      <c r="N181" s="33"/>
      <c r="O181" s="33">
        <f>cutts[[#This Row],[num]]-cutts[[#This Row],[cutted]]</f>
        <v>0</v>
      </c>
      <c r="P181" s="33"/>
      <c r="Q181" s="317"/>
    </row>
    <row r="182" spans="1:18" ht="16.5">
      <c r="A182" s="1">
        <v>181</v>
      </c>
      <c r="B182" s="2" t="s">
        <v>782</v>
      </c>
      <c r="C182" s="1">
        <v>140310071</v>
      </c>
      <c r="D182" s="1">
        <v>3000</v>
      </c>
      <c r="E182" s="1">
        <v>300</v>
      </c>
      <c r="F182" s="1">
        <f>_xlfn.XLOOKUP(cutts[[#This Row],[cutId]],[1]!Table15678910111216182021[idd],[1]!Table15678910111216182021[id])</f>
        <v>157</v>
      </c>
      <c r="G182" s="1" t="e">
        <f>_xlfn.XLOOKUP(cutts[[#This Row],[cutId]],[1]!Table1567891011121618202124[idd],[1]!Table1567891011121618202124[id])</f>
        <v>#N/A</v>
      </c>
      <c r="H182" s="327" t="s">
        <v>1317</v>
      </c>
      <c r="I182" s="324">
        <v>3</v>
      </c>
      <c r="J182" s="59">
        <f>cutts[[#This Row],[num]]-SUM(cutts[[#This Row],[num2]])</f>
        <v>3000</v>
      </c>
      <c r="K182" s="324"/>
      <c r="L182" s="21"/>
      <c r="M182" s="33">
        <v>3000</v>
      </c>
      <c r="N182" s="33"/>
      <c r="O182" s="33">
        <f>cutts[[#This Row],[num]]-cutts[[#This Row],[cutted]]</f>
        <v>0</v>
      </c>
      <c r="P182" s="33"/>
      <c r="Q182" s="317"/>
    </row>
    <row r="183" spans="1:18" ht="16.5">
      <c r="A183" s="1">
        <v>182</v>
      </c>
      <c r="B183" s="2" t="s">
        <v>782</v>
      </c>
      <c r="C183" s="1">
        <v>140640007</v>
      </c>
      <c r="D183" s="1">
        <v>65</v>
      </c>
      <c r="E183" s="1">
        <v>300</v>
      </c>
      <c r="F183" s="1">
        <f>_xlfn.XLOOKUP(cutts[[#This Row],[cutId]],[1]!Table15678910111216182021[idd],[1]!Table15678910111216182021[id])</f>
        <v>158</v>
      </c>
      <c r="G183" s="1" t="e">
        <f>_xlfn.XLOOKUP(cutts[[#This Row],[cutId]],[1]!Table1567891011121618202124[idd],[1]!Table1567891011121618202124[id])</f>
        <v>#N/A</v>
      </c>
      <c r="H183" s="327" t="s">
        <v>1328</v>
      </c>
      <c r="I183" s="324">
        <v>2</v>
      </c>
      <c r="J183" s="59">
        <f>cutts[[#This Row],[num]]-SUM(cutts[[#This Row],[num2]])</f>
        <v>65</v>
      </c>
      <c r="K183" s="324"/>
      <c r="L183" s="21"/>
      <c r="M183" s="33">
        <v>65</v>
      </c>
      <c r="N183" s="33"/>
      <c r="O183" s="33">
        <f>cutts[[#This Row],[num]]-cutts[[#This Row],[cutted]]</f>
        <v>0</v>
      </c>
      <c r="P183" s="33"/>
      <c r="Q183" s="317"/>
    </row>
    <row r="184" spans="1:18" ht="16.5">
      <c r="A184" s="1">
        <v>183</v>
      </c>
      <c r="B184" s="2" t="s">
        <v>783</v>
      </c>
      <c r="C184" s="1">
        <v>140310007</v>
      </c>
      <c r="D184" s="1">
        <v>3000</v>
      </c>
      <c r="E184" s="1">
        <v>300</v>
      </c>
      <c r="F184" s="1">
        <f>_xlfn.XLOOKUP(cutts[[#This Row],[cutId]],[1]!Table15678910111216182021[idd],[1]!Table15678910111216182021[id])</f>
        <v>159</v>
      </c>
      <c r="G184" s="1" t="e">
        <f>_xlfn.XLOOKUP(cutts[[#This Row],[cutId]],[1]!Table1567891011121618202124[idd],[1]!Table1567891011121618202124[id])</f>
        <v>#N/A</v>
      </c>
      <c r="H184" s="327" t="s">
        <v>1329</v>
      </c>
      <c r="I184" s="324">
        <v>4</v>
      </c>
      <c r="J184" s="59">
        <f>cutts[[#This Row],[num]]-SUM(cutts[[#This Row],[num2]])</f>
        <v>3000</v>
      </c>
      <c r="K184" s="324"/>
      <c r="L184" s="21"/>
      <c r="M184" s="33">
        <v>3000</v>
      </c>
      <c r="N184" s="33"/>
      <c r="O184" s="33">
        <f>cutts[[#This Row],[num]]-cutts[[#This Row],[cutted]]</f>
        <v>0</v>
      </c>
      <c r="P184" s="33"/>
      <c r="Q184" s="317"/>
    </row>
    <row r="185" spans="1:18" ht="16.5">
      <c r="A185" s="1">
        <v>184</v>
      </c>
      <c r="B185" s="2" t="s">
        <v>783</v>
      </c>
      <c r="C185" s="1">
        <v>140450047</v>
      </c>
      <c r="D185" s="1">
        <v>900</v>
      </c>
      <c r="E185" s="1">
        <v>300</v>
      </c>
      <c r="F185" s="1">
        <f>_xlfn.XLOOKUP(cutts[[#This Row],[cutId]],[1]!Table15678910111216182021[idd],[1]!Table15678910111216182021[id])</f>
        <v>160</v>
      </c>
      <c r="G185" s="1" t="e">
        <f>_xlfn.XLOOKUP(cutts[[#This Row],[cutId]],[1]!Table1567891011121618202124[idd],[1]!Table1567891011121618202124[id])</f>
        <v>#N/A</v>
      </c>
      <c r="H185" s="327" t="s">
        <v>1330</v>
      </c>
      <c r="I185" s="324">
        <v>4</v>
      </c>
      <c r="J185" s="59">
        <f>cutts[[#This Row],[num]]-SUM(cutts[[#This Row],[num2]])</f>
        <v>900</v>
      </c>
      <c r="K185" s="324"/>
      <c r="L185" s="21"/>
      <c r="M185" s="33">
        <v>900</v>
      </c>
      <c r="N185" s="33"/>
      <c r="O185" s="33">
        <f>cutts[[#This Row],[num]]-cutts[[#This Row],[cutted]]</f>
        <v>0</v>
      </c>
      <c r="P185" s="33"/>
      <c r="Q185" s="317"/>
    </row>
    <row r="186" spans="1:18" ht="16.5">
      <c r="A186" s="1">
        <v>185</v>
      </c>
      <c r="B186" s="2" t="s">
        <v>784</v>
      </c>
      <c r="C186" s="1">
        <v>140010230</v>
      </c>
      <c r="D186" s="1">
        <v>400</v>
      </c>
      <c r="E186" s="1">
        <v>300</v>
      </c>
      <c r="F186" s="1">
        <f>_xlfn.XLOOKUP(cutts[[#This Row],[cutId]],[1]!Table15678910111216182021[idd],[1]!Table15678910111216182021[id])</f>
        <v>161</v>
      </c>
      <c r="G186" s="1" t="e">
        <f>_xlfn.XLOOKUP(cutts[[#This Row],[cutId]],[1]!Table1567891011121618202124[idd],[1]!Table1567891011121618202124[id])</f>
        <v>#N/A</v>
      </c>
      <c r="H186" s="327" t="s">
        <v>1334</v>
      </c>
      <c r="I186" s="324">
        <v>5</v>
      </c>
      <c r="J186" s="59">
        <f>cutts[[#This Row],[num]]-SUM(cutts[[#This Row],[num2]])</f>
        <v>400</v>
      </c>
      <c r="K186" s="324"/>
      <c r="L186" s="21"/>
      <c r="M186" s="33">
        <v>400</v>
      </c>
      <c r="N186" s="33"/>
      <c r="O186" s="33">
        <f>cutts[[#This Row],[num]]-cutts[[#This Row],[cutted]]</f>
        <v>0</v>
      </c>
      <c r="P186" s="33"/>
      <c r="Q186" s="317"/>
    </row>
    <row r="187" spans="1:18" ht="16.5">
      <c r="A187" s="1">
        <v>186</v>
      </c>
      <c r="B187" s="2" t="s">
        <v>784</v>
      </c>
      <c r="C187" s="1">
        <v>140010255</v>
      </c>
      <c r="D187" s="1">
        <v>700</v>
      </c>
      <c r="E187" s="1">
        <v>300</v>
      </c>
      <c r="F187" s="1">
        <f>_xlfn.XLOOKUP(cutts[[#This Row],[cutId]],[1]!Table15678910111216182021[idd],[1]!Table15678910111216182021[id])</f>
        <v>162</v>
      </c>
      <c r="G187" s="1" t="e">
        <f>_xlfn.XLOOKUP(cutts[[#This Row],[cutId]],[1]!Table1567891011121618202124[idd],[1]!Table1567891011121618202124[id])</f>
        <v>#N/A</v>
      </c>
      <c r="H187" s="327" t="s">
        <v>1335</v>
      </c>
      <c r="I187" s="324">
        <v>5</v>
      </c>
      <c r="J187" s="59">
        <f>cutts[[#This Row],[num]]-SUM(cutts[[#This Row],[num2]])</f>
        <v>700</v>
      </c>
      <c r="K187" s="324"/>
      <c r="L187" s="21"/>
      <c r="M187" s="33">
        <v>700</v>
      </c>
      <c r="N187" s="33"/>
      <c r="O187" s="33">
        <f>cutts[[#This Row],[num]]-cutts[[#This Row],[cutted]]</f>
        <v>0</v>
      </c>
      <c r="P187" s="33"/>
      <c r="Q187" s="317"/>
    </row>
    <row r="188" spans="1:18" ht="16.5">
      <c r="A188" s="1">
        <v>187</v>
      </c>
      <c r="B188" s="2" t="s">
        <v>784</v>
      </c>
      <c r="C188" s="1">
        <v>140450047</v>
      </c>
      <c r="D188" s="1">
        <v>1500</v>
      </c>
      <c r="E188" s="1">
        <v>300</v>
      </c>
      <c r="F188" s="1">
        <f>_xlfn.XLOOKUP(cutts[[#This Row],[cutId]],[1]!Table15678910111216182021[idd],[1]!Table15678910111216182021[id])</f>
        <v>163</v>
      </c>
      <c r="G188" s="1" t="e">
        <f>_xlfn.XLOOKUP(cutts[[#This Row],[cutId]],[1]!Table1567891011121618202124[idd],[1]!Table1567891011121618202124[id])</f>
        <v>#N/A</v>
      </c>
      <c r="H188" s="327" t="s">
        <v>1340</v>
      </c>
      <c r="I188" s="324">
        <v>4</v>
      </c>
      <c r="J188" s="59">
        <f>cutts[[#This Row],[num]]-SUM(cutts[[#This Row],[num2]])</f>
        <v>1500</v>
      </c>
      <c r="K188" s="324"/>
      <c r="L188" s="21"/>
      <c r="M188" s="33">
        <v>1500</v>
      </c>
      <c r="N188" s="33"/>
      <c r="O188" s="33">
        <f>cutts[[#This Row],[num]]-cutts[[#This Row],[cutted]]</f>
        <v>0</v>
      </c>
      <c r="P188" s="33"/>
      <c r="Q188" s="317"/>
    </row>
    <row r="189" spans="1:18" ht="16.5">
      <c r="A189" s="1">
        <v>188</v>
      </c>
      <c r="B189" s="2" t="s">
        <v>787</v>
      </c>
      <c r="C189" s="1">
        <v>140310007</v>
      </c>
      <c r="D189" s="1">
        <v>1500</v>
      </c>
      <c r="E189" s="1">
        <v>300</v>
      </c>
      <c r="F189" s="1">
        <f>_xlfn.XLOOKUP(cutts[[#This Row],[cutId]],[1]!Table15678910111216182021[idd],[1]!Table15678910111216182021[id])</f>
        <v>164</v>
      </c>
      <c r="G189" s="1" t="e">
        <f>_xlfn.XLOOKUP(cutts[[#This Row],[cutId]],[1]!Table1567891011121618202124[idd],[1]!Table1567891011121618202124[id])</f>
        <v>#N/A</v>
      </c>
      <c r="H189" s="327" t="s">
        <v>1344</v>
      </c>
      <c r="I189" s="324">
        <v>4</v>
      </c>
      <c r="J189" s="59">
        <f>cutts[[#This Row],[num]]-SUM(cutts[[#This Row],[num2]])</f>
        <v>1500</v>
      </c>
      <c r="K189" s="324"/>
      <c r="L189" s="21"/>
      <c r="M189" s="33">
        <v>1500</v>
      </c>
      <c r="N189" s="33"/>
      <c r="O189" s="33">
        <f>cutts[[#This Row],[num]]-cutts[[#This Row],[cutted]]</f>
        <v>0</v>
      </c>
      <c r="P189" s="33"/>
      <c r="Q189" s="317" t="s">
        <v>1345</v>
      </c>
    </row>
    <row r="190" spans="1:18" ht="16.5">
      <c r="A190" s="1">
        <v>189</v>
      </c>
      <c r="B190" s="2" t="s">
        <v>787</v>
      </c>
      <c r="C190" s="1">
        <v>140310071</v>
      </c>
      <c r="D190" s="1">
        <v>2000</v>
      </c>
      <c r="E190" s="1">
        <v>300</v>
      </c>
      <c r="F190" s="1">
        <f>_xlfn.XLOOKUP(cutts[[#This Row],[cutId]],[1]!Table15678910111216182021[idd],[1]!Table15678910111216182021[id])</f>
        <v>165</v>
      </c>
      <c r="G190" s="1" t="e">
        <f>_xlfn.XLOOKUP(cutts[[#This Row],[cutId]],[1]!Table1567891011121618202124[idd],[1]!Table1567891011121618202124[id])</f>
        <v>#N/A</v>
      </c>
      <c r="H190" s="327" t="s">
        <v>1362</v>
      </c>
      <c r="I190" s="324">
        <v>3</v>
      </c>
      <c r="J190" s="59">
        <f>cutts[[#This Row],[num]]-SUM(cutts[[#This Row],[num2]])</f>
        <v>2000</v>
      </c>
      <c r="K190" s="324"/>
      <c r="L190" s="21"/>
      <c r="M190" s="33">
        <v>2000</v>
      </c>
      <c r="N190" s="33"/>
      <c r="O190" s="33">
        <f>cutts[[#This Row],[num]]-cutts[[#This Row],[cutted]]</f>
        <v>0</v>
      </c>
      <c r="P190" s="33"/>
      <c r="Q190" s="317"/>
    </row>
    <row r="191" spans="1:18" ht="16.5">
      <c r="A191" s="1">
        <v>190</v>
      </c>
      <c r="B191" s="2" t="s">
        <v>788</v>
      </c>
      <c r="C191" s="1">
        <v>140310071</v>
      </c>
      <c r="D191" s="1">
        <v>275</v>
      </c>
      <c r="E191" s="1">
        <v>275</v>
      </c>
      <c r="F191" s="1" t="e">
        <f>_xlfn.XLOOKUP(cutts[[#This Row],[cutId]],[1]!Table15678910111216182021[idd],[1]!Table15678910111216182021[id])</f>
        <v>#N/A</v>
      </c>
      <c r="G191" s="1">
        <f>_xlfn.XLOOKUP(cutts[[#This Row],[cutId]],[1]!Table1567891011121618202124[idd],[1]!Table1567891011121618202124[id])</f>
        <v>22</v>
      </c>
      <c r="H191" s="327" t="s">
        <v>1372</v>
      </c>
      <c r="I191" s="324"/>
      <c r="J191" s="59">
        <f>cutts[[#This Row],[num]]-SUM(cutts[[#This Row],[num2]])</f>
        <v>275</v>
      </c>
      <c r="K191" s="324"/>
      <c r="L191" s="21"/>
      <c r="M191" s="33">
        <v>275</v>
      </c>
      <c r="N191" s="33"/>
      <c r="O191" s="33">
        <f>cutts[[#This Row],[num]]-cutts[[#This Row],[cutted]]</f>
        <v>0</v>
      </c>
      <c r="P191" s="33"/>
      <c r="Q191" s="319">
        <v>0.125</v>
      </c>
      <c r="R191" s="1" t="s">
        <v>1378</v>
      </c>
    </row>
    <row r="192" spans="1:18" ht="16.5">
      <c r="A192" s="1">
        <v>191</v>
      </c>
      <c r="B192" s="2" t="s">
        <v>788</v>
      </c>
      <c r="C192" s="1">
        <v>140010117</v>
      </c>
      <c r="D192" s="1">
        <v>75</v>
      </c>
      <c r="E192" s="1">
        <v>300</v>
      </c>
      <c r="F192" s="1">
        <f>_xlfn.XLOOKUP(cutts[[#This Row],[cutId]],[1]!Table15678910111216182021[idd],[1]!Table15678910111216182021[id])</f>
        <v>166</v>
      </c>
      <c r="G192" s="1" t="e">
        <f>_xlfn.XLOOKUP(cutts[[#This Row],[cutId]],[1]!Table1567891011121618202124[idd],[1]!Table1567891011121618202124[id])</f>
        <v>#N/A</v>
      </c>
      <c r="H192" s="327" t="s">
        <v>1374</v>
      </c>
      <c r="I192" s="324">
        <v>4</v>
      </c>
      <c r="J192" s="59">
        <f>cutts[[#This Row],[num]]-SUM(cutts[[#This Row],[num2]])</f>
        <v>75</v>
      </c>
      <c r="K192" s="324"/>
      <c r="L192" s="21"/>
      <c r="M192" s="33">
        <v>75</v>
      </c>
      <c r="N192" s="33"/>
      <c r="O192" s="33">
        <f>cutts[[#This Row],[num]]-cutts[[#This Row],[cutted]]</f>
        <v>0</v>
      </c>
      <c r="P192" s="33"/>
      <c r="Q192" s="317"/>
      <c r="R192" s="1" t="s">
        <v>1375</v>
      </c>
    </row>
    <row r="193" spans="1:18" ht="16.5">
      <c r="A193" s="1">
        <v>192</v>
      </c>
      <c r="B193" s="2" t="s">
        <v>788</v>
      </c>
      <c r="C193" s="1">
        <v>140450047</v>
      </c>
      <c r="D193" s="1">
        <v>1500</v>
      </c>
      <c r="E193" s="1">
        <v>300</v>
      </c>
      <c r="F193" s="1">
        <f>_xlfn.XLOOKUP(cutts[[#This Row],[cutId]],[1]!Table15678910111216182021[idd],[1]!Table15678910111216182021[id])</f>
        <v>167</v>
      </c>
      <c r="G193" s="1" t="e">
        <f>_xlfn.XLOOKUP(cutts[[#This Row],[cutId]],[1]!Table1567891011121618202124[idd],[1]!Table1567891011121618202124[id])</f>
        <v>#N/A</v>
      </c>
      <c r="H193" s="327" t="s">
        <v>1377</v>
      </c>
      <c r="I193" s="324">
        <v>4</v>
      </c>
      <c r="J193" s="59">
        <f>cutts[[#This Row],[num]]-SUM(cutts[[#This Row],[num2]])</f>
        <v>1500</v>
      </c>
      <c r="K193" s="324"/>
      <c r="L193" s="21"/>
      <c r="M193" s="33">
        <v>1500</v>
      </c>
      <c r="N193" s="33"/>
      <c r="O193" s="33">
        <f>cutts[[#This Row],[num]]-cutts[[#This Row],[cutted]]</f>
        <v>0</v>
      </c>
      <c r="P193" s="33"/>
      <c r="Q193" s="317" t="s">
        <v>1376</v>
      </c>
    </row>
    <row r="194" spans="1:18" ht="16.5">
      <c r="A194" s="1">
        <v>193</v>
      </c>
      <c r="B194" s="2" t="s">
        <v>788</v>
      </c>
      <c r="C194" s="1">
        <v>140310007</v>
      </c>
      <c r="D194" s="1">
        <v>3000</v>
      </c>
      <c r="E194" s="1">
        <v>300</v>
      </c>
      <c r="F194" s="1">
        <f>_xlfn.XLOOKUP(cutts[[#This Row],[cutId]],[1]!Table15678910111216182021[idd],[1]!Table15678910111216182021[id])</f>
        <v>168</v>
      </c>
      <c r="G194" s="1" t="e">
        <f>_xlfn.XLOOKUP(cutts[[#This Row],[cutId]],[1]!Table1567891011121618202124[idd],[1]!Table1567891011121618202124[id])</f>
        <v>#N/A</v>
      </c>
      <c r="H194" s="327" t="s">
        <v>1380</v>
      </c>
      <c r="I194" s="324">
        <v>4</v>
      </c>
      <c r="J194" s="59">
        <f>cutts[[#This Row],[num]]-SUM(cutts[[#This Row],[num2]])</f>
        <v>3000</v>
      </c>
      <c r="K194" s="324"/>
      <c r="L194" s="21"/>
      <c r="M194" s="33">
        <v>3000</v>
      </c>
      <c r="N194" s="33"/>
      <c r="O194" s="33">
        <f>cutts[[#This Row],[num]]-cutts[[#This Row],[cutted]]</f>
        <v>0</v>
      </c>
      <c r="P194" s="33"/>
      <c r="Q194" s="317" t="s">
        <v>1379</v>
      </c>
    </row>
    <row r="195" spans="1:18" ht="16.5">
      <c r="A195" s="1">
        <v>194</v>
      </c>
      <c r="B195" s="2" t="s">
        <v>791</v>
      </c>
      <c r="C195" s="1">
        <v>140310007</v>
      </c>
      <c r="D195" s="1">
        <v>3000</v>
      </c>
      <c r="E195" s="1">
        <v>300</v>
      </c>
      <c r="F195" s="1">
        <f>_xlfn.XLOOKUP(cutts[[#This Row],[cutId]],[1]!Table15678910111216182021[idd],[1]!Table15678910111216182021[id])</f>
        <v>169</v>
      </c>
      <c r="G195" s="1" t="e">
        <f>_xlfn.XLOOKUP(cutts[[#This Row],[cutId]],[1]!Table1567891011121618202124[idd],[1]!Table1567891011121618202124[id])</f>
        <v>#N/A</v>
      </c>
      <c r="H195" s="327" t="s">
        <v>1386</v>
      </c>
      <c r="I195" s="324">
        <v>4</v>
      </c>
      <c r="J195" s="59">
        <f>cutts[[#This Row],[num]]-SUM(cutts[[#This Row],[num2]])</f>
        <v>3000</v>
      </c>
      <c r="K195" s="324"/>
      <c r="L195" s="21"/>
      <c r="M195" s="33">
        <v>3000</v>
      </c>
      <c r="N195" s="33"/>
      <c r="O195" s="33">
        <f>cutts[[#This Row],[num]]-cutts[[#This Row],[cutted]]</f>
        <v>0</v>
      </c>
      <c r="P195" s="33"/>
      <c r="Q195" s="317"/>
    </row>
    <row r="196" spans="1:18" ht="16.5">
      <c r="A196" s="1">
        <v>195</v>
      </c>
      <c r="B196" s="2" t="s">
        <v>794</v>
      </c>
      <c r="C196" s="1">
        <v>140310007</v>
      </c>
      <c r="D196" s="1">
        <v>3000</v>
      </c>
      <c r="E196" s="1">
        <v>300</v>
      </c>
      <c r="F196" s="1">
        <f>_xlfn.XLOOKUP(cutts[[#This Row],[cutId]],[1]!Table15678910111216182021[idd],[1]!Table15678910111216182021[id])</f>
        <v>170</v>
      </c>
      <c r="G196" s="1" t="e">
        <f>_xlfn.XLOOKUP(cutts[[#This Row],[cutId]],[1]!Table1567891011121618202124[idd],[1]!Table1567891011121618202124[id])</f>
        <v>#N/A</v>
      </c>
      <c r="H196" s="327" t="s">
        <v>1398</v>
      </c>
      <c r="I196" s="324">
        <v>4</v>
      </c>
      <c r="J196" s="59">
        <f>cutts[[#This Row],[num]]-SUM(cutts[[#This Row],[num2]])</f>
        <v>3000</v>
      </c>
      <c r="K196" s="324"/>
      <c r="L196" s="21"/>
      <c r="M196" s="33">
        <v>3000</v>
      </c>
      <c r="N196" s="33"/>
      <c r="O196" s="33">
        <f>cutts[[#This Row],[num]]-cutts[[#This Row],[cutted]]</f>
        <v>0</v>
      </c>
      <c r="P196" s="33"/>
      <c r="Q196" s="317"/>
    </row>
    <row r="197" spans="1:18" ht="16.5">
      <c r="A197" s="1">
        <v>196</v>
      </c>
      <c r="B197" s="2" t="s">
        <v>795</v>
      </c>
      <c r="C197" s="1">
        <v>140010117</v>
      </c>
      <c r="D197" s="1">
        <v>3000</v>
      </c>
      <c r="E197" s="1">
        <v>300</v>
      </c>
      <c r="F197" s="1">
        <f>_xlfn.XLOOKUP(cutts[[#This Row],[cutId]],[1]!Table15678910111216182021[idd],[1]!Table15678910111216182021[id])</f>
        <v>171</v>
      </c>
      <c r="G197" s="1" t="e">
        <f>_xlfn.XLOOKUP(cutts[[#This Row],[cutId]],[1]!Table1567891011121618202124[idd],[1]!Table1567891011121618202124[id])</f>
        <v>#N/A</v>
      </c>
      <c r="H197" s="327" t="s">
        <v>1399</v>
      </c>
      <c r="I197" s="324">
        <v>6</v>
      </c>
      <c r="J197" s="59">
        <f>cutts[[#This Row],[num]]-SUM(cutts[[#This Row],[num2]])</f>
        <v>3000</v>
      </c>
      <c r="K197" s="324"/>
      <c r="L197" s="21"/>
      <c r="M197" s="33">
        <v>3000</v>
      </c>
      <c r="N197" s="33"/>
      <c r="O197" s="33">
        <f>cutts[[#This Row],[num]]-cutts[[#This Row],[cutted]]</f>
        <v>0</v>
      </c>
      <c r="P197" s="33"/>
      <c r="Q197" s="317" t="s">
        <v>1403</v>
      </c>
    </row>
    <row r="198" spans="1:18" ht="16.5">
      <c r="A198" s="1">
        <v>197</v>
      </c>
      <c r="B198" s="2" t="s">
        <v>796</v>
      </c>
      <c r="C198" s="1">
        <v>140010255</v>
      </c>
      <c r="D198" s="1">
        <v>1800</v>
      </c>
      <c r="E198" s="1">
        <v>300</v>
      </c>
      <c r="F198" s="1">
        <f>_xlfn.XLOOKUP(cutts[[#This Row],[cutId]],[1]!Table15678910111216182021[idd],[1]!Table15678910111216182021[id])</f>
        <v>172</v>
      </c>
      <c r="G198" s="1" t="e">
        <f>_xlfn.XLOOKUP(cutts[[#This Row],[cutId]],[1]!Table1567891011121618202124[idd],[1]!Table1567891011121618202124[id])</f>
        <v>#N/A</v>
      </c>
      <c r="H198" s="327" t="s">
        <v>1402</v>
      </c>
      <c r="I198" s="324">
        <v>6</v>
      </c>
      <c r="J198" s="59">
        <f>cutts[[#This Row],[num]]-SUM(cutts[[#This Row],[num2]])</f>
        <v>1800</v>
      </c>
      <c r="K198" s="324"/>
      <c r="L198" s="21"/>
      <c r="M198" s="33">
        <v>1800</v>
      </c>
      <c r="N198" s="33"/>
      <c r="O198" s="33">
        <f>cutts[[#This Row],[num]]-cutts[[#This Row],[cutted]]</f>
        <v>0</v>
      </c>
      <c r="P198" s="33"/>
      <c r="Q198" s="317" t="s">
        <v>1404</v>
      </c>
    </row>
    <row r="199" spans="1:18" ht="16.5">
      <c r="A199" s="1">
        <v>198</v>
      </c>
      <c r="B199" s="2" t="s">
        <v>796</v>
      </c>
      <c r="C199" s="1">
        <v>140010230</v>
      </c>
      <c r="D199" s="1">
        <v>3000</v>
      </c>
      <c r="E199" s="1">
        <v>300</v>
      </c>
      <c r="F199" s="1">
        <f>_xlfn.XLOOKUP(cutts[[#This Row],[cutId]],[1]!Table15678910111216182021[idd],[1]!Table15678910111216182021[id])</f>
        <v>173</v>
      </c>
      <c r="G199" s="1" t="e">
        <f>_xlfn.XLOOKUP(cutts[[#This Row],[cutId]],[1]!Table1567891011121618202124[idd],[1]!Table1567891011121618202124[id])</f>
        <v>#N/A</v>
      </c>
      <c r="H199" s="327" t="s">
        <v>1407</v>
      </c>
      <c r="I199" s="324">
        <v>6</v>
      </c>
      <c r="J199" s="59">
        <f>cutts[[#This Row],[num]]-SUM(cutts[[#This Row],[num2]])</f>
        <v>3000</v>
      </c>
      <c r="K199" s="324"/>
      <c r="L199" s="21"/>
      <c r="M199" s="33">
        <v>3000</v>
      </c>
      <c r="N199" s="33"/>
      <c r="O199" s="33">
        <f>cutts[[#This Row],[num]]-cutts[[#This Row],[cutted]]</f>
        <v>0</v>
      </c>
      <c r="P199" s="33"/>
      <c r="Q199" s="317" t="s">
        <v>1405</v>
      </c>
    </row>
    <row r="200" spans="1:18" ht="16.5">
      <c r="A200" s="1">
        <v>199</v>
      </c>
      <c r="B200" s="2" t="s">
        <v>795</v>
      </c>
      <c r="C200" s="1">
        <v>140010230</v>
      </c>
      <c r="D200" s="1">
        <v>3</v>
      </c>
      <c r="E200" s="1">
        <v>300</v>
      </c>
      <c r="F200" s="1">
        <f>_xlfn.XLOOKUP(cutts[[#This Row],[cutId]],[1]!Table15678910111216182021[idd],[1]!Table15678910111216182021[id])</f>
        <v>174</v>
      </c>
      <c r="G200" s="1" t="e">
        <f>_xlfn.XLOOKUP(cutts[[#This Row],[cutId]],[1]!Table1567891011121618202124[idd],[1]!Table1567891011121618202124[id])</f>
        <v>#N/A</v>
      </c>
      <c r="H200" s="327"/>
      <c r="I200" s="324">
        <v>5</v>
      </c>
      <c r="J200" s="59">
        <f>cutts[[#This Row],[num]]-SUM(cutts[[#This Row],[num2]])</f>
        <v>3</v>
      </c>
      <c r="K200" s="324"/>
      <c r="L200" s="21"/>
      <c r="M200" s="33">
        <v>3</v>
      </c>
      <c r="N200" s="33"/>
      <c r="O200" s="33">
        <f>cutts[[#This Row],[num]]-cutts[[#This Row],[cutted]]</f>
        <v>0</v>
      </c>
      <c r="P200" s="33"/>
      <c r="Q200" s="317" t="s">
        <v>1406</v>
      </c>
      <c r="R200" s="1" t="s">
        <v>1423</v>
      </c>
    </row>
    <row r="201" spans="1:18" ht="16.5">
      <c r="A201" s="1">
        <v>200</v>
      </c>
      <c r="B201" s="2" t="s">
        <v>796</v>
      </c>
      <c r="C201" s="1">
        <v>140450047</v>
      </c>
      <c r="D201" s="1">
        <v>1850</v>
      </c>
      <c r="E201" s="1">
        <v>300</v>
      </c>
      <c r="F201" s="1">
        <f>_xlfn.XLOOKUP(cutts[[#This Row],[cutId]],[1]!Table15678910111216182021[idd],[1]!Table15678910111216182021[id])</f>
        <v>175</v>
      </c>
      <c r="G201" s="1" t="e">
        <f>_xlfn.XLOOKUP(cutts[[#This Row],[cutId]],[1]!Table1567891011121618202124[idd],[1]!Table1567891011121618202124[id])</f>
        <v>#N/A</v>
      </c>
      <c r="H201" s="327" t="s">
        <v>1408</v>
      </c>
      <c r="I201" s="324">
        <v>4</v>
      </c>
      <c r="J201" s="59">
        <f>cutts[[#This Row],[num]]-SUM(cutts[[#This Row],[num2]])</f>
        <v>1850</v>
      </c>
      <c r="K201" s="324"/>
      <c r="L201" s="21"/>
      <c r="M201" s="33">
        <v>1850</v>
      </c>
      <c r="N201" s="33"/>
      <c r="O201" s="33">
        <f>cutts[[#This Row],[num]]-cutts[[#This Row],[cutted]]</f>
        <v>0</v>
      </c>
      <c r="P201" s="33"/>
      <c r="Q201" s="317" t="s">
        <v>1376</v>
      </c>
    </row>
    <row r="202" spans="1:18" ht="16.5">
      <c r="A202" s="1">
        <v>201</v>
      </c>
      <c r="B202" s="2" t="s">
        <v>796</v>
      </c>
      <c r="C202" s="1">
        <v>140010117</v>
      </c>
      <c r="D202" s="1">
        <v>3000</v>
      </c>
      <c r="E202" s="1">
        <v>300</v>
      </c>
      <c r="F202" s="1">
        <f>_xlfn.XLOOKUP(cutts[[#This Row],[cutId]],[1]!Table15678910111216182021[idd],[1]!Table15678910111216182021[id])</f>
        <v>176</v>
      </c>
      <c r="G202" s="1" t="e">
        <f>_xlfn.XLOOKUP(cutts[[#This Row],[cutId]],[1]!Table1567891011121618202124[idd],[1]!Table1567891011121618202124[id])</f>
        <v>#N/A</v>
      </c>
      <c r="H202" s="327" t="s">
        <v>1411</v>
      </c>
      <c r="I202" s="324">
        <v>6</v>
      </c>
      <c r="J202" s="59">
        <f>cutts[[#This Row],[num]]-SUM(cutts[[#This Row],[num2]])</f>
        <v>3000</v>
      </c>
      <c r="K202" s="324"/>
      <c r="L202" s="21"/>
      <c r="M202" s="33">
        <v>3000</v>
      </c>
      <c r="N202" s="33"/>
      <c r="O202" s="33">
        <f>cutts[[#This Row],[num]]-cutts[[#This Row],[cutted]]</f>
        <v>0</v>
      </c>
      <c r="P202" s="33"/>
      <c r="Q202" s="317" t="s">
        <v>1409</v>
      </c>
    </row>
    <row r="203" spans="1:18" ht="16.5">
      <c r="A203" s="1">
        <v>202</v>
      </c>
      <c r="B203" s="2" t="s">
        <v>796</v>
      </c>
      <c r="C203" s="1">
        <v>140010230</v>
      </c>
      <c r="D203" s="1">
        <v>3000</v>
      </c>
      <c r="E203" s="1">
        <v>300</v>
      </c>
      <c r="F203" s="1">
        <f>_xlfn.XLOOKUP(cutts[[#This Row],[cutId]],[1]!Table15678910111216182021[idd],[1]!Table15678910111216182021[id])</f>
        <v>177</v>
      </c>
      <c r="G203" s="1" t="e">
        <f>_xlfn.XLOOKUP(cutts[[#This Row],[cutId]],[1]!Table1567891011121618202124[idd],[1]!Table1567891011121618202124[id])</f>
        <v>#N/A</v>
      </c>
      <c r="H203" s="327" t="s">
        <v>1412</v>
      </c>
      <c r="I203" s="324">
        <v>6</v>
      </c>
      <c r="J203" s="59">
        <f>cutts[[#This Row],[num]]-SUM(cutts[[#This Row],[num2]])</f>
        <v>3000</v>
      </c>
      <c r="K203" s="324"/>
      <c r="L203" s="21"/>
      <c r="M203" s="33">
        <v>3000</v>
      </c>
      <c r="N203" s="33"/>
      <c r="O203" s="33">
        <f>cutts[[#This Row],[num]]-cutts[[#This Row],[cutted]]</f>
        <v>0</v>
      </c>
      <c r="P203" s="33"/>
      <c r="Q203" s="317" t="s">
        <v>1410</v>
      </c>
    </row>
    <row r="204" spans="1:18" ht="16.5">
      <c r="A204" s="1">
        <v>203</v>
      </c>
      <c r="B204" s="2" t="s">
        <v>797</v>
      </c>
      <c r="C204" s="1">
        <v>140010117</v>
      </c>
      <c r="D204" s="1">
        <v>3000</v>
      </c>
      <c r="E204" s="1">
        <v>300</v>
      </c>
      <c r="F204" s="1">
        <f>_xlfn.XLOOKUP(cutts[[#This Row],[cutId]],[1]!Table15678910111216182021[idd],[1]!Table15678910111216182021[id])</f>
        <v>178</v>
      </c>
      <c r="G204" s="1" t="e">
        <f>_xlfn.XLOOKUP(cutts[[#This Row],[cutId]],[1]!Table1567891011121618202124[idd],[1]!Table1567891011121618202124[id])</f>
        <v>#N/A</v>
      </c>
      <c r="H204" s="327" t="s">
        <v>1413</v>
      </c>
      <c r="I204" s="324">
        <v>6</v>
      </c>
      <c r="J204" s="59">
        <f>cutts[[#This Row],[num]]-SUM(cutts[[#This Row],[num2]])</f>
        <v>3000</v>
      </c>
      <c r="K204" s="324"/>
      <c r="L204" s="21"/>
      <c r="M204" s="33">
        <v>3000</v>
      </c>
      <c r="N204" s="33"/>
      <c r="O204" s="33">
        <f>cutts[[#This Row],[num]]-cutts[[#This Row],[cutted]]</f>
        <v>0</v>
      </c>
      <c r="P204" s="33"/>
      <c r="Q204" s="317"/>
    </row>
    <row r="205" spans="1:18" ht="16.5">
      <c r="A205" s="1">
        <v>204</v>
      </c>
      <c r="B205" s="2" t="s">
        <v>797</v>
      </c>
      <c r="C205" s="1">
        <v>140010230</v>
      </c>
      <c r="D205" s="1">
        <v>3000</v>
      </c>
      <c r="E205" s="1">
        <v>300</v>
      </c>
      <c r="F205" s="1">
        <f>_xlfn.XLOOKUP(cutts[[#This Row],[cutId]],[1]!Table15678910111216182021[idd],[1]!Table15678910111216182021[id])</f>
        <v>179</v>
      </c>
      <c r="G205" s="1" t="e">
        <f>_xlfn.XLOOKUP(cutts[[#This Row],[cutId]],[1]!Table1567891011121618202124[idd],[1]!Table1567891011121618202124[id])</f>
        <v>#N/A</v>
      </c>
      <c r="H205" s="327" t="s">
        <v>1414</v>
      </c>
      <c r="I205" s="324">
        <v>6</v>
      </c>
      <c r="J205" s="59">
        <f>cutts[[#This Row],[num]]-SUM(cutts[[#This Row],[num2]])</f>
        <v>3000</v>
      </c>
      <c r="K205" s="324"/>
      <c r="L205" s="21"/>
      <c r="M205" s="33">
        <v>3000</v>
      </c>
      <c r="N205" s="33"/>
      <c r="O205" s="33">
        <f>cutts[[#This Row],[num]]-cutts[[#This Row],[cutted]]</f>
        <v>0</v>
      </c>
      <c r="P205" s="33"/>
      <c r="Q205" s="317"/>
    </row>
    <row r="206" spans="1:18" ht="16.5">
      <c r="A206" s="1">
        <v>205</v>
      </c>
      <c r="B206" s="2" t="s">
        <v>797</v>
      </c>
      <c r="C206" s="1">
        <v>140310031</v>
      </c>
      <c r="D206" s="1">
        <v>11</v>
      </c>
      <c r="E206" s="1">
        <v>300</v>
      </c>
      <c r="F206" s="1" t="e">
        <f>_xlfn.XLOOKUP(cutts[[#This Row],[cutId]],[1]!Table15678910111216182021[idd],[1]!Table15678910111216182021[id])</f>
        <v>#N/A</v>
      </c>
      <c r="G206" s="1">
        <f>_xlfn.XLOOKUP(cutts[[#This Row],[cutId]],[1]!Table1567891011121618202124[idd],[1]!Table1567891011121618202124[id])</f>
        <v>23</v>
      </c>
      <c r="H206" s="327" t="s">
        <v>1424</v>
      </c>
      <c r="I206" s="324"/>
      <c r="J206" s="59">
        <f>cutts[[#This Row],[num]]-SUM(cutts[[#This Row],[num2]])</f>
        <v>11</v>
      </c>
      <c r="K206" s="324"/>
      <c r="L206" s="21"/>
      <c r="M206" s="33">
        <v>11</v>
      </c>
      <c r="N206" s="33"/>
      <c r="O206" s="33">
        <f>cutts[[#This Row],[num]]-cutts[[#This Row],[cutted]]</f>
        <v>0</v>
      </c>
      <c r="P206" s="33"/>
      <c r="Q206" s="317"/>
      <c r="R206" s="1" t="s">
        <v>1423</v>
      </c>
    </row>
    <row r="207" spans="1:18" ht="16.5">
      <c r="A207" s="1">
        <v>206</v>
      </c>
      <c r="B207" s="2" t="s">
        <v>797</v>
      </c>
      <c r="C207" s="1">
        <v>140310071</v>
      </c>
      <c r="D207" s="1">
        <v>174</v>
      </c>
      <c r="E207" s="1">
        <v>174</v>
      </c>
      <c r="F207" s="1" t="e">
        <f>_xlfn.XLOOKUP(cutts[[#This Row],[cutId]],[1]!Table15678910111216182021[idd],[1]!Table15678910111216182021[id])</f>
        <v>#N/A</v>
      </c>
      <c r="G207" s="1">
        <f>_xlfn.XLOOKUP(cutts[[#This Row],[cutId]],[1]!Table1567891011121618202124[idd],[1]!Table1567891011121618202124[id])</f>
        <v>24</v>
      </c>
      <c r="H207" s="327" t="s">
        <v>1425</v>
      </c>
      <c r="I207" s="324"/>
      <c r="J207" s="59">
        <f>cutts[[#This Row],[num]]-SUM(cutts[[#This Row],[num2]])</f>
        <v>174</v>
      </c>
      <c r="K207" s="324"/>
      <c r="L207" s="21"/>
      <c r="M207" s="33">
        <v>174</v>
      </c>
      <c r="N207" s="33"/>
      <c r="O207" s="33">
        <f>cutts[[#This Row],[num]]-cutts[[#This Row],[cutted]]</f>
        <v>0</v>
      </c>
      <c r="P207" s="33"/>
      <c r="Q207" s="317"/>
      <c r="R207" s="1" t="s">
        <v>1423</v>
      </c>
    </row>
    <row r="208" spans="1:18" ht="16.5">
      <c r="A208" s="1">
        <v>207</v>
      </c>
      <c r="B208" s="2" t="s">
        <v>797</v>
      </c>
      <c r="C208" s="1">
        <v>140310083</v>
      </c>
      <c r="D208" s="1">
        <v>26</v>
      </c>
      <c r="E208" s="1">
        <v>26</v>
      </c>
      <c r="F208" s="1" t="e">
        <f>_xlfn.XLOOKUP(cutts[[#This Row],[cutId]],[1]!Table15678910111216182021[idd],[1]!Table15678910111216182021[id])</f>
        <v>#N/A</v>
      </c>
      <c r="G208" s="1">
        <f>_xlfn.XLOOKUP(cutts[[#This Row],[cutId]],[1]!Table1567891011121618202124[idd],[1]!Table1567891011121618202124[id])</f>
        <v>25</v>
      </c>
      <c r="H208" s="327" t="s">
        <v>1426</v>
      </c>
      <c r="I208" s="324"/>
      <c r="J208" s="59">
        <f>cutts[[#This Row],[num]]-SUM(cutts[[#This Row],[num2]])</f>
        <v>26</v>
      </c>
      <c r="K208" s="324"/>
      <c r="L208" s="21"/>
      <c r="M208" s="33">
        <v>26</v>
      </c>
      <c r="N208" s="33"/>
      <c r="O208" s="33">
        <f>cutts[[#This Row],[num]]-cutts[[#This Row],[cutted]]</f>
        <v>0</v>
      </c>
      <c r="P208" s="33"/>
      <c r="Q208" s="317"/>
      <c r="R208" s="1" t="s">
        <v>1423</v>
      </c>
    </row>
    <row r="209" spans="1:18" ht="16.5">
      <c r="A209" s="1">
        <v>208</v>
      </c>
      <c r="B209" s="2" t="s">
        <v>801</v>
      </c>
      <c r="C209" s="1">
        <v>140030039</v>
      </c>
      <c r="D209" s="1">
        <v>1800</v>
      </c>
      <c r="E209" s="1">
        <v>300</v>
      </c>
      <c r="F209" s="1">
        <f>_xlfn.XLOOKUP(cutts[[#This Row],[cutId]],[1]!Table15678910111216182021[idd],[1]!Table15678910111216182021[id])</f>
        <v>180</v>
      </c>
      <c r="G209" s="1" t="e">
        <f>_xlfn.XLOOKUP(cutts[[#This Row],[cutId]],[1]!Table1567891011121618202124[idd],[1]!Table1567891011121618202124[id])</f>
        <v>#N/A</v>
      </c>
      <c r="H209" s="327" t="s">
        <v>1430</v>
      </c>
      <c r="I209" s="324">
        <v>6</v>
      </c>
      <c r="J209" s="59">
        <f>cutts[[#This Row],[num]]-SUM(cutts[[#This Row],[num2]])</f>
        <v>1800</v>
      </c>
      <c r="K209" s="324"/>
      <c r="L209" s="21"/>
      <c r="M209" s="33">
        <v>1800</v>
      </c>
      <c r="N209" s="33"/>
      <c r="O209" s="33">
        <f>cutts[[#This Row],[num]]-cutts[[#This Row],[cutted]]</f>
        <v>0</v>
      </c>
      <c r="P209" s="33"/>
      <c r="Q209" s="319">
        <v>0.25</v>
      </c>
    </row>
    <row r="210" spans="1:18" ht="16.5">
      <c r="A210" s="1">
        <v>209</v>
      </c>
      <c r="B210" s="2" t="s">
        <v>803</v>
      </c>
      <c r="C210" s="1">
        <v>140310096</v>
      </c>
      <c r="D210" s="1">
        <v>2500</v>
      </c>
      <c r="E210" s="1">
        <v>300</v>
      </c>
      <c r="F210" s="1">
        <f>_xlfn.XLOOKUP(cutts[[#This Row],[cutId]],[1]!Table15678910111216182021[idd],[1]!Table15678910111216182021[id])</f>
        <v>181</v>
      </c>
      <c r="G210" s="1" t="e">
        <f>_xlfn.XLOOKUP(cutts[[#This Row],[cutId]],[1]!Table1567891011121618202124[idd],[1]!Table1567891011121618202124[id])</f>
        <v>#N/A</v>
      </c>
      <c r="H210" s="327" t="s">
        <v>1436</v>
      </c>
      <c r="I210" s="324">
        <v>6</v>
      </c>
      <c r="J210" s="59">
        <f>cutts[[#This Row],[num]]-SUM(cutts[[#This Row],[num2]])</f>
        <v>2500</v>
      </c>
      <c r="K210" s="324"/>
      <c r="L210" s="21"/>
      <c r="M210" s="33">
        <v>2500</v>
      </c>
      <c r="N210" s="33"/>
      <c r="O210" s="33">
        <f>cutts[[#This Row],[num]]-cutts[[#This Row],[cutted]]</f>
        <v>0</v>
      </c>
      <c r="P210" s="33"/>
      <c r="Q210" s="317"/>
    </row>
    <row r="211" spans="1:18" ht="16.5">
      <c r="A211" s="1">
        <v>210</v>
      </c>
      <c r="B211" s="2" t="s">
        <v>803</v>
      </c>
      <c r="C211" s="1">
        <v>140010255</v>
      </c>
      <c r="D211" s="1">
        <v>1000</v>
      </c>
      <c r="E211" s="1">
        <v>300</v>
      </c>
      <c r="F211" s="1">
        <f>_xlfn.XLOOKUP(cutts[[#This Row],[cutId]],[1]!Table15678910111216182021[idd],[1]!Table15678910111216182021[id])</f>
        <v>182</v>
      </c>
      <c r="G211" s="1" t="e">
        <f>_xlfn.XLOOKUP(cutts[[#This Row],[cutId]],[1]!Table1567891011121618202124[idd],[1]!Table1567891011121618202124[id])</f>
        <v>#N/A</v>
      </c>
      <c r="H211" s="327" t="s">
        <v>1437</v>
      </c>
      <c r="I211" s="324">
        <v>6</v>
      </c>
      <c r="J211" s="59">
        <f>cutts[[#This Row],[num]]-SUM(cutts[[#This Row],[num2]])</f>
        <v>1000</v>
      </c>
      <c r="K211" s="324"/>
      <c r="L211" s="21"/>
      <c r="M211" s="33">
        <v>1000</v>
      </c>
      <c r="N211" s="33"/>
      <c r="O211" s="33">
        <f>cutts[[#This Row],[num]]-cutts[[#This Row],[cutted]]</f>
        <v>0</v>
      </c>
      <c r="P211" s="33"/>
      <c r="Q211" s="317"/>
    </row>
    <row r="212" spans="1:18" ht="16.5">
      <c r="A212" s="1">
        <v>211</v>
      </c>
      <c r="B212" s="2" t="s">
        <v>804</v>
      </c>
      <c r="C212" s="1">
        <v>140310031</v>
      </c>
      <c r="D212" s="1">
        <v>2</v>
      </c>
      <c r="E212" s="1">
        <v>2</v>
      </c>
      <c r="F212" s="1">
        <f>_xlfn.XLOOKUP(cutts[[#This Row],[cutId]],[1]!Table15678910111216182021[idd],[1]!Table15678910111216182021[id])</f>
        <v>183</v>
      </c>
      <c r="G212" s="1" t="e">
        <f>_xlfn.XLOOKUP(cutts[[#This Row],[cutId]],[1]!Table1567891011121618202124[idd],[1]!Table1567891011121618202124[id])</f>
        <v>#N/A</v>
      </c>
      <c r="H212" s="327" t="s">
        <v>1442</v>
      </c>
      <c r="I212" s="324">
        <v>4</v>
      </c>
      <c r="J212" s="59">
        <f>cutts[[#This Row],[num]]-SUM(cutts[[#This Row],[num2]])</f>
        <v>2</v>
      </c>
      <c r="K212" s="324"/>
      <c r="L212" s="21"/>
      <c r="M212" s="33">
        <v>2</v>
      </c>
      <c r="N212" s="33"/>
      <c r="O212" s="33">
        <f>cutts[[#This Row],[num]]-cutts[[#This Row],[cutted]]</f>
        <v>0</v>
      </c>
      <c r="P212" s="33"/>
      <c r="Q212" s="317"/>
      <c r="R212" s="1" t="s">
        <v>1443</v>
      </c>
    </row>
    <row r="213" spans="1:18" ht="16.5">
      <c r="A213" s="1">
        <v>212</v>
      </c>
      <c r="B213" s="2" t="s">
        <v>808</v>
      </c>
      <c r="C213" s="1">
        <v>140010117</v>
      </c>
      <c r="D213" s="1">
        <v>3000</v>
      </c>
      <c r="E213" s="1">
        <v>300</v>
      </c>
      <c r="F213" s="1">
        <f>_xlfn.XLOOKUP(cutts[[#This Row],[cutId]],[1]!Table15678910111216182021[idd],[1]!Table15678910111216182021[id])</f>
        <v>184</v>
      </c>
      <c r="G213" s="1" t="e">
        <f>_xlfn.XLOOKUP(cutts[[#This Row],[cutId]],[1]!Table1567891011121618202124[idd],[1]!Table1567891011121618202124[id])</f>
        <v>#N/A</v>
      </c>
      <c r="H213" s="327" t="s">
        <v>1448</v>
      </c>
      <c r="I213" s="324">
        <v>6</v>
      </c>
      <c r="J213" s="59">
        <f>cutts[[#This Row],[num]]-SUM(cutts[[#This Row],[num2]])</f>
        <v>3000</v>
      </c>
      <c r="K213" s="324"/>
      <c r="L213" s="21"/>
      <c r="M213" s="33">
        <v>3000</v>
      </c>
      <c r="N213" s="33"/>
      <c r="O213" s="33">
        <f>cutts[[#This Row],[num]]-cutts[[#This Row],[cutted]]</f>
        <v>0</v>
      </c>
      <c r="P213" s="33"/>
      <c r="Q213" s="317"/>
    </row>
    <row r="214" spans="1:18" ht="16.5">
      <c r="A214" s="1">
        <v>213</v>
      </c>
      <c r="B214" s="2" t="s">
        <v>808</v>
      </c>
      <c r="C214" s="1">
        <v>140010230</v>
      </c>
      <c r="D214" s="1">
        <v>3000</v>
      </c>
      <c r="E214" s="1">
        <v>300</v>
      </c>
      <c r="F214" s="1">
        <f>_xlfn.XLOOKUP(cutts[[#This Row],[cutId]],[1]!Table15678910111216182021[idd],[1]!Table15678910111216182021[id])</f>
        <v>185</v>
      </c>
      <c r="G214" s="1" t="e">
        <f>_xlfn.XLOOKUP(cutts[[#This Row],[cutId]],[1]!Table1567891011121618202124[idd],[1]!Table1567891011121618202124[id])</f>
        <v>#N/A</v>
      </c>
      <c r="H214" s="327" t="s">
        <v>1449</v>
      </c>
      <c r="I214" s="324">
        <v>6</v>
      </c>
      <c r="J214" s="59">
        <f>cutts[[#This Row],[num]]-SUM(cutts[[#This Row],[num2]])</f>
        <v>3000</v>
      </c>
      <c r="K214" s="324"/>
      <c r="L214" s="21"/>
      <c r="M214" s="33">
        <v>3000</v>
      </c>
      <c r="N214" s="33"/>
      <c r="O214" s="33">
        <f>cutts[[#This Row],[num]]-cutts[[#This Row],[cutted]]</f>
        <v>0</v>
      </c>
      <c r="P214" s="33"/>
      <c r="Q214" s="317"/>
    </row>
    <row r="215" spans="1:18" ht="16.5">
      <c r="A215" s="1">
        <v>214</v>
      </c>
      <c r="B215" s="2" t="s">
        <v>808</v>
      </c>
      <c r="C215" s="1">
        <v>140310007</v>
      </c>
      <c r="D215" s="1">
        <v>3000</v>
      </c>
      <c r="E215" s="1">
        <v>300</v>
      </c>
      <c r="F215" s="1">
        <f>_xlfn.XLOOKUP(cutts[[#This Row],[cutId]],[1]!Table15678910111216182021[idd],[1]!Table15678910111216182021[id])</f>
        <v>186</v>
      </c>
      <c r="G215" s="1" t="e">
        <f>_xlfn.XLOOKUP(cutts[[#This Row],[cutId]],[1]!Table1567891011121618202124[idd],[1]!Table1567891011121618202124[id])</f>
        <v>#N/A</v>
      </c>
      <c r="H215" s="327" t="s">
        <v>1451</v>
      </c>
      <c r="I215" s="324">
        <v>4</v>
      </c>
      <c r="J215" s="59">
        <f>cutts[[#This Row],[num]]-SUM(cutts[[#This Row],[num2]])</f>
        <v>3000</v>
      </c>
      <c r="K215" s="324"/>
      <c r="L215" s="21"/>
      <c r="M215" s="33">
        <v>3000</v>
      </c>
      <c r="N215" s="33"/>
      <c r="O215" s="33">
        <f>cutts[[#This Row],[num]]-cutts[[#This Row],[cutted]]</f>
        <v>0</v>
      </c>
      <c r="P215" s="33"/>
      <c r="Q215" s="317" t="s">
        <v>1450</v>
      </c>
    </row>
    <row r="216" spans="1:18" ht="16.5">
      <c r="A216" s="1">
        <v>215</v>
      </c>
      <c r="B216" s="2" t="s">
        <v>811</v>
      </c>
      <c r="C216" s="1">
        <v>140010117</v>
      </c>
      <c r="D216" s="1">
        <v>3000</v>
      </c>
      <c r="E216" s="1">
        <v>300</v>
      </c>
      <c r="F216" s="1">
        <f>_xlfn.XLOOKUP(cutts[[#This Row],[cutId]],[1]!Table15678910111216182021[idd],[1]!Table15678910111216182021[id])</f>
        <v>187</v>
      </c>
      <c r="G216" s="1" t="e">
        <f>_xlfn.XLOOKUP(cutts[[#This Row],[cutId]],[1]!Table1567891011121618202124[idd],[1]!Table1567891011121618202124[id])</f>
        <v>#N/A</v>
      </c>
      <c r="H216" s="327" t="s">
        <v>1461</v>
      </c>
      <c r="I216" s="324">
        <v>6</v>
      </c>
      <c r="J216" s="59">
        <f>cutts[[#This Row],[num]]-SUM(cutts[[#This Row],[num2]])</f>
        <v>3000</v>
      </c>
      <c r="K216" s="324"/>
      <c r="L216" s="21"/>
      <c r="M216" s="33"/>
      <c r="N216" s="33"/>
      <c r="O216" s="33">
        <f>cutts[[#This Row],[num]]-cutts[[#This Row],[cutted]]</f>
        <v>3000</v>
      </c>
      <c r="P216" s="33"/>
      <c r="Q216" s="317"/>
    </row>
    <row r="217" spans="1:18" ht="16.5">
      <c r="A217" s="1">
        <v>216</v>
      </c>
      <c r="B217" s="2" t="s">
        <v>811</v>
      </c>
      <c r="C217" s="1">
        <v>140010230</v>
      </c>
      <c r="D217" s="1">
        <v>3000</v>
      </c>
      <c r="E217" s="1">
        <v>300</v>
      </c>
      <c r="F217" s="1">
        <f>_xlfn.XLOOKUP(cutts[[#This Row],[cutId]],[1]!Table15678910111216182021[idd],[1]!Table15678910111216182021[id])</f>
        <v>188</v>
      </c>
      <c r="G217" s="1" t="e">
        <f>_xlfn.XLOOKUP(cutts[[#This Row],[cutId]],[1]!Table1567891011121618202124[idd],[1]!Table1567891011121618202124[id])</f>
        <v>#N/A</v>
      </c>
      <c r="H217" s="327" t="s">
        <v>1462</v>
      </c>
      <c r="I217" s="324">
        <v>6</v>
      </c>
      <c r="J217" s="59">
        <f>cutts[[#This Row],[num]]-SUM(cutts[[#This Row],[num2]])</f>
        <v>3000</v>
      </c>
      <c r="K217" s="324"/>
      <c r="L217" s="21"/>
      <c r="M217" s="33"/>
      <c r="N217" s="33"/>
      <c r="O217" s="33">
        <f>cutts[[#This Row],[num]]-cutts[[#This Row],[cutted]]</f>
        <v>3000</v>
      </c>
      <c r="P217" s="33"/>
      <c r="Q217" s="317"/>
    </row>
    <row r="218" spans="1:18" ht="16.5">
      <c r="A218" s="1">
        <v>217</v>
      </c>
      <c r="B218" s="2" t="s">
        <v>811</v>
      </c>
      <c r="C218" s="1">
        <v>140310007</v>
      </c>
      <c r="D218" s="1">
        <v>3000</v>
      </c>
      <c r="E218" s="1">
        <v>300</v>
      </c>
      <c r="F218" s="1">
        <f>_xlfn.XLOOKUP(cutts[[#This Row],[cutId]],[1]!Table15678910111216182021[idd],[1]!Table15678910111216182021[id])</f>
        <v>189</v>
      </c>
      <c r="G218" s="1" t="e">
        <f>_xlfn.XLOOKUP(cutts[[#This Row],[cutId]],[1]!Table1567891011121618202124[idd],[1]!Table1567891011121618202124[id])</f>
        <v>#N/A</v>
      </c>
      <c r="H218" s="327" t="s">
        <v>1463</v>
      </c>
      <c r="I218" s="324">
        <v>4</v>
      </c>
      <c r="J218" s="59">
        <f>cutts[[#This Row],[num]]-SUM(cutts[[#This Row],[num2]])</f>
        <v>3000</v>
      </c>
      <c r="K218" s="324"/>
      <c r="L218" s="21"/>
      <c r="M218" s="33"/>
      <c r="N218" s="33"/>
      <c r="O218" s="33">
        <f>cutts[[#This Row],[num]]-cutts[[#This Row],[cutted]]</f>
        <v>3000</v>
      </c>
      <c r="P218" s="33"/>
      <c r="Q218" s="317"/>
    </row>
  </sheetData>
  <phoneticPr fontId="1" type="noConversion"/>
  <conditionalFormatting sqref="O2:P218">
    <cfRule type="cellIs" dxfId="7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21</xdr:col>
                    <xdr:colOff>95250</xdr:colOff>
                    <xdr:row>0</xdr:row>
                    <xdr:rowOff>57150</xdr:rowOff>
                  </from>
                  <to>
                    <xdr:col>21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7</xdr:col>
                    <xdr:colOff>85725</xdr:colOff>
                    <xdr:row>0</xdr:row>
                    <xdr:rowOff>57150</xdr:rowOff>
                  </from>
                  <to>
                    <xdr:col>7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7</xdr:col>
                    <xdr:colOff>895350</xdr:colOff>
                    <xdr:row>0</xdr:row>
                    <xdr:rowOff>47625</xdr:rowOff>
                  </from>
                  <to>
                    <xdr:col>7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7</xdr:col>
                    <xdr:colOff>1600200</xdr:colOff>
                    <xdr:row>0</xdr:row>
                    <xdr:rowOff>47625</xdr:rowOff>
                  </from>
                  <to>
                    <xdr:col>7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B498"/>
  <sheetViews>
    <sheetView workbookViewId="0">
      <pane ySplit="1" topLeftCell="A483" activePane="bottomLeft" state="frozen"/>
      <selection activeCell="G10" sqref="G10"/>
      <selection pane="bottomLeft" activeCell="D498" sqref="D494:D498"/>
    </sheetView>
  </sheetViews>
  <sheetFormatPr defaultColWidth="10.7109375" defaultRowHeight="1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1" customWidth="1"/>
    <col min="12" max="12" width="29" style="1" customWidth="1"/>
    <col min="13" max="14" width="7.28515625" style="1" customWidth="1"/>
    <col min="15" max="16384" width="10.7109375" style="1"/>
  </cols>
  <sheetData>
    <row r="1" spans="1:28" s="11" customFormat="1" ht="27" customHeight="1">
      <c r="A1" s="18" t="s">
        <v>201</v>
      </c>
      <c r="B1" s="18" t="s">
        <v>110</v>
      </c>
      <c r="C1" s="18" t="s">
        <v>181</v>
      </c>
      <c r="D1" s="18" t="s">
        <v>187</v>
      </c>
      <c r="E1" s="18" t="s">
        <v>182</v>
      </c>
      <c r="F1" s="18" t="s">
        <v>183</v>
      </c>
      <c r="G1" s="325" t="s">
        <v>191</v>
      </c>
      <c r="H1" s="17" t="s">
        <v>194</v>
      </c>
      <c r="I1" s="325" t="s">
        <v>192</v>
      </c>
      <c r="J1" s="17" t="s">
        <v>193</v>
      </c>
      <c r="K1" s="34" t="s">
        <v>1204</v>
      </c>
      <c r="L1" s="16" t="s">
        <v>211</v>
      </c>
      <c r="AB1" s="11">
        <v>3</v>
      </c>
    </row>
    <row r="2" spans="1:28" ht="16.5">
      <c r="A2" s="1">
        <v>59</v>
      </c>
      <c r="B2" s="2" t="s">
        <v>176</v>
      </c>
      <c r="C2" s="1">
        <v>140550019</v>
      </c>
      <c r="D2" s="1">
        <v>1400</v>
      </c>
      <c r="E2" s="12">
        <f>_xlfn.XLOOKUP(packes[[#This Row],[productId]],bom[Id],bom[wgt])</f>
        <v>2.6938042502244834</v>
      </c>
      <c r="F2" s="12">
        <f>packes[[#This Row],[num]]*packes[[#This Row],[wtg]]</f>
        <v>3771.3259503142767</v>
      </c>
      <c r="G2" s="324">
        <v>1000</v>
      </c>
      <c r="H2" s="21">
        <f>packes[[#This Row],[num]]-SUM(packes[[#This Row],[num2]])</f>
        <v>1400</v>
      </c>
      <c r="I2" s="324"/>
      <c r="J2" s="21" t="s">
        <v>222</v>
      </c>
      <c r="K2" s="287"/>
    </row>
    <row r="3" spans="1:28" ht="16.5">
      <c r="A3" s="1">
        <v>66</v>
      </c>
      <c r="B3" s="2" t="s">
        <v>197</v>
      </c>
      <c r="C3" s="1">
        <v>140550019</v>
      </c>
      <c r="D3" s="1">
        <v>200</v>
      </c>
      <c r="E3" s="12">
        <f>_xlfn.XLOOKUP(packes[[#This Row],[productId]],bom[Id],bom[wgt])</f>
        <v>2.6938042502244834</v>
      </c>
      <c r="F3" s="12">
        <f>packes[[#This Row],[num]]*packes[[#This Row],[wtg]]</f>
        <v>538.76085004489664</v>
      </c>
      <c r="G3" s="324">
        <v>1000</v>
      </c>
      <c r="H3" s="21">
        <f>packes[[#This Row],[num]]-SUM(packes[[#This Row],[num2]])</f>
        <v>200</v>
      </c>
      <c r="I3" s="324"/>
      <c r="J3" s="21" t="s">
        <v>222</v>
      </c>
      <c r="K3" s="287"/>
    </row>
    <row r="4" spans="1:28" ht="16.5">
      <c r="A4" s="1">
        <v>75</v>
      </c>
      <c r="B4" s="2" t="s">
        <v>184</v>
      </c>
      <c r="C4" s="1">
        <v>140550019</v>
      </c>
      <c r="D4" s="1">
        <v>400</v>
      </c>
      <c r="E4" s="12">
        <f>_xlfn.XLOOKUP(packes[[#This Row],[productId]],bom[Id],bom[wgt])</f>
        <v>2.6938042502244834</v>
      </c>
      <c r="F4" s="12">
        <f>packes[[#This Row],[num]]*packes[[#This Row],[wtg]]</f>
        <v>1077.5217000897933</v>
      </c>
      <c r="G4" s="324">
        <v>1000</v>
      </c>
      <c r="H4" s="21">
        <f>packes[[#This Row],[num]]-SUM(packes[[#This Row],[num2]])</f>
        <v>400</v>
      </c>
      <c r="I4" s="324"/>
      <c r="J4" s="21" t="s">
        <v>222</v>
      </c>
      <c r="K4" s="287"/>
    </row>
    <row r="5" spans="1:28" ht="16.5">
      <c r="A5" s="1">
        <v>440</v>
      </c>
      <c r="B5" s="2" t="s">
        <v>224</v>
      </c>
      <c r="C5" s="1">
        <v>140450035</v>
      </c>
      <c r="D5" s="1">
        <v>100</v>
      </c>
      <c r="E5" s="12">
        <f>_xlfn.XLOOKUP(packes[[#This Row],[productId]],bom[Id],bom[wgt])</f>
        <v>1.6761448668063454</v>
      </c>
      <c r="F5" s="12">
        <f>packes[[#This Row],[num]]*packes[[#This Row],[wtg]]</f>
        <v>167.61448668063454</v>
      </c>
      <c r="G5" s="324">
        <v>11</v>
      </c>
      <c r="H5" s="21">
        <f>packes[[#This Row],[num]]-SUM(packes[[#This Row],[num2]])</f>
        <v>100</v>
      </c>
      <c r="I5" s="324"/>
      <c r="J5" s="21"/>
      <c r="K5" s="287"/>
    </row>
    <row r="6" spans="1:28" ht="16.5">
      <c r="A6" s="1">
        <v>447</v>
      </c>
      <c r="B6" s="2" t="s">
        <v>215</v>
      </c>
      <c r="C6" s="1">
        <v>140450035</v>
      </c>
      <c r="D6" s="1">
        <v>1050</v>
      </c>
      <c r="E6" s="12">
        <f>_xlfn.XLOOKUP(packes[[#This Row],[productId]],bom[Id],bom[wgt])</f>
        <v>1.6761448668063454</v>
      </c>
      <c r="F6" s="12">
        <f>packes[[#This Row],[num]]*packes[[#This Row],[wtg]]</f>
        <v>1759.9521101466628</v>
      </c>
      <c r="G6" s="324">
        <v>11</v>
      </c>
      <c r="H6" s="21">
        <f>packes[[#This Row],[num]]-SUM(packes[[#This Row],[num2]])</f>
        <v>1050</v>
      </c>
      <c r="I6" s="324"/>
      <c r="J6" s="21"/>
      <c r="K6" s="287"/>
    </row>
    <row r="7" spans="1:28" ht="16.5">
      <c r="A7" s="1">
        <v>455</v>
      </c>
      <c r="B7" s="2" t="s">
        <v>225</v>
      </c>
      <c r="C7" s="1">
        <v>140450035</v>
      </c>
      <c r="D7" s="1">
        <v>800</v>
      </c>
      <c r="E7" s="12">
        <f>_xlfn.XLOOKUP(packes[[#This Row],[productId]],bom[Id],bom[wgt])</f>
        <v>1.6761448668063454</v>
      </c>
      <c r="F7" s="12">
        <f>packes[[#This Row],[num]]*packes[[#This Row],[wtg]]</f>
        <v>1340.9158934450763</v>
      </c>
      <c r="G7" s="324">
        <v>11</v>
      </c>
      <c r="H7" s="21">
        <f>packes[[#This Row],[num]]-SUM(packes[[#This Row],[num2]])</f>
        <v>800</v>
      </c>
      <c r="I7" s="324"/>
      <c r="J7" s="21"/>
      <c r="K7" s="287"/>
    </row>
    <row r="8" spans="1:28" ht="16.5">
      <c r="A8" s="1">
        <v>301</v>
      </c>
      <c r="B8" s="2" t="s">
        <v>175</v>
      </c>
      <c r="C8" s="1">
        <v>140450027</v>
      </c>
      <c r="D8" s="1">
        <v>1200</v>
      </c>
      <c r="E8" s="12">
        <f>_xlfn.XLOOKUP(packes[[#This Row],[productId]],bom[Id],bom[wgt])</f>
        <v>1.5264890751272073</v>
      </c>
      <c r="F8" s="12">
        <f>packes[[#This Row],[num]]*packes[[#This Row],[wtg]]</f>
        <v>1831.7868901526488</v>
      </c>
      <c r="G8" s="324">
        <v>11</v>
      </c>
      <c r="H8" s="21">
        <f>packes[[#This Row],[num]]-SUM(packes[[#This Row],[num2]])</f>
        <v>1200</v>
      </c>
      <c r="I8" s="324"/>
      <c r="J8" s="21" t="s">
        <v>222</v>
      </c>
      <c r="K8" s="287"/>
    </row>
    <row r="9" spans="1:28" ht="16.5">
      <c r="A9" s="1">
        <v>330</v>
      </c>
      <c r="B9" s="2" t="s">
        <v>212</v>
      </c>
      <c r="C9" s="1">
        <v>140450027</v>
      </c>
      <c r="D9" s="1">
        <v>1200</v>
      </c>
      <c r="E9" s="12">
        <f>_xlfn.XLOOKUP(packes[[#This Row],[productId]],bom[Id],bom[wgt])</f>
        <v>1.5264890751272073</v>
      </c>
      <c r="F9" s="12">
        <f>packes[[#This Row],[num]]*packes[[#This Row],[wtg]]</f>
        <v>1831.7868901526488</v>
      </c>
      <c r="G9" s="324">
        <v>11</v>
      </c>
      <c r="H9" s="21">
        <f>packes[[#This Row],[num]]-SUM(packes[[#This Row],[num2]])</f>
        <v>1200</v>
      </c>
      <c r="I9" s="324"/>
      <c r="J9" s="21" t="s">
        <v>222</v>
      </c>
      <c r="K9" s="287"/>
    </row>
    <row r="10" spans="1:28" ht="16.5">
      <c r="A10" s="1">
        <v>337</v>
      </c>
      <c r="B10" s="2" t="s">
        <v>210</v>
      </c>
      <c r="C10" s="1">
        <v>140450027</v>
      </c>
      <c r="D10" s="1">
        <v>593</v>
      </c>
      <c r="E10" s="12">
        <f>_xlfn.XLOOKUP(packes[[#This Row],[productId]],bom[Id],bom[wgt])</f>
        <v>1.5264890751272073</v>
      </c>
      <c r="F10" s="12">
        <f>packes[[#This Row],[num]]*packes[[#This Row],[wtg]]</f>
        <v>905.20802155043395</v>
      </c>
      <c r="G10" s="324">
        <v>11</v>
      </c>
      <c r="H10" s="21">
        <f>packes[[#This Row],[num]]-SUM(packes[[#This Row],[num2]])</f>
        <v>593</v>
      </c>
      <c r="I10" s="324"/>
      <c r="J10" s="21" t="s">
        <v>222</v>
      </c>
      <c r="K10" s="287"/>
    </row>
    <row r="11" spans="1:28" ht="16.5">
      <c r="A11" s="1">
        <v>478</v>
      </c>
      <c r="B11" s="2" t="s">
        <v>238</v>
      </c>
      <c r="C11" s="1">
        <v>140010117</v>
      </c>
      <c r="D11" s="1">
        <v>75</v>
      </c>
      <c r="E11" s="12">
        <f>_xlfn.XLOOKUP(packes[[#This Row],[productId]],bom[Id],bom[wgt])</f>
        <v>1</v>
      </c>
      <c r="F11" s="12">
        <f>packes[[#This Row],[num]]*packes[[#This Row],[wtg]]</f>
        <v>75</v>
      </c>
      <c r="G11" s="324">
        <v>12</v>
      </c>
      <c r="H11" s="21">
        <f>packes[[#This Row],[num]]-SUM(packes[[#This Row],[num2]])</f>
        <v>75</v>
      </c>
      <c r="I11" s="324"/>
      <c r="J11" s="21"/>
      <c r="K11" s="287"/>
    </row>
    <row r="12" spans="1:28" ht="16.5">
      <c r="A12" s="1">
        <v>479</v>
      </c>
      <c r="B12" s="2" t="s">
        <v>238</v>
      </c>
      <c r="C12" s="1">
        <v>140010230</v>
      </c>
      <c r="D12" s="1">
        <v>50</v>
      </c>
      <c r="E12" s="12">
        <f>_xlfn.XLOOKUP(packes[[#This Row],[productId]],bom[Id],bom[wgt])</f>
        <v>1.4486680634540554</v>
      </c>
      <c r="F12" s="12">
        <f>packes[[#This Row],[num]]*packes[[#This Row],[wtg]]</f>
        <v>72.433403172702768</v>
      </c>
      <c r="G12" s="324">
        <v>12</v>
      </c>
      <c r="H12" s="21">
        <f>packes[[#This Row],[num]]-SUM(packes[[#This Row],[num2]])</f>
        <v>50</v>
      </c>
      <c r="I12" s="324"/>
      <c r="J12" s="21"/>
      <c r="K12" s="287"/>
    </row>
    <row r="13" spans="1:28" ht="16.5">
      <c r="A13" s="1">
        <v>480</v>
      </c>
      <c r="B13" s="2" t="s">
        <v>238</v>
      </c>
      <c r="C13" s="1">
        <v>140020181</v>
      </c>
      <c r="D13" s="1">
        <v>50</v>
      </c>
      <c r="E13" s="12">
        <f>_xlfn.XLOOKUP(packes[[#This Row],[productId]],bom[Id],bom[wgt])</f>
        <v>1.2670857028833682</v>
      </c>
      <c r="F13" s="12">
        <f>packes[[#This Row],[num]]*packes[[#This Row],[wtg]]</f>
        <v>63.354285144168408</v>
      </c>
      <c r="G13" s="324">
        <v>12</v>
      </c>
      <c r="H13" s="21">
        <f>packes[[#This Row],[num]]-SUM(packes[[#This Row],[num2]])</f>
        <v>50</v>
      </c>
      <c r="I13" s="324"/>
      <c r="J13" s="21"/>
      <c r="K13" s="287"/>
    </row>
    <row r="14" spans="1:28" ht="16.5">
      <c r="A14" s="1">
        <v>481</v>
      </c>
      <c r="B14" s="2" t="s">
        <v>238</v>
      </c>
      <c r="C14" s="1">
        <v>140090143</v>
      </c>
      <c r="D14" s="1">
        <v>1350</v>
      </c>
      <c r="E14" s="12">
        <f>_xlfn.XLOOKUP(packes[[#This Row],[productId]],bom[Id],bom[wgt])</f>
        <v>2.7237354085603114</v>
      </c>
      <c r="F14" s="12">
        <f>packes[[#This Row],[num]]*packes[[#This Row],[wtg]]</f>
        <v>3677.0428015564203</v>
      </c>
      <c r="G14" s="324">
        <v>12</v>
      </c>
      <c r="H14" s="21">
        <f>packes[[#This Row],[num]]-SUM(packes[[#This Row],[num2]])</f>
        <v>1350</v>
      </c>
      <c r="I14" s="324"/>
      <c r="J14" s="21"/>
      <c r="K14" s="287"/>
    </row>
    <row r="15" spans="1:28" ht="16.5">
      <c r="A15" s="1">
        <v>482</v>
      </c>
      <c r="B15" s="2" t="s">
        <v>238</v>
      </c>
      <c r="C15" s="1">
        <v>140310017</v>
      </c>
      <c r="D15" s="1">
        <v>1850</v>
      </c>
      <c r="E15" s="12">
        <f>_xlfn.XLOOKUP(packes[[#This Row],[productId]],bom[Id],bom[wgt])</f>
        <v>5</v>
      </c>
      <c r="F15" s="12">
        <f>packes[[#This Row],[num]]*packes[[#This Row],[wtg]]</f>
        <v>9250</v>
      </c>
      <c r="G15" s="324">
        <v>12</v>
      </c>
      <c r="H15" s="21">
        <f>packes[[#This Row],[num]]-SUM(packes[[#This Row],[num2]])</f>
        <v>1850</v>
      </c>
      <c r="I15" s="324"/>
      <c r="J15" s="21"/>
      <c r="K15" s="287"/>
    </row>
    <row r="16" spans="1:28" ht="16.5">
      <c r="A16" s="1">
        <v>483</v>
      </c>
      <c r="B16" s="2" t="s">
        <v>238</v>
      </c>
      <c r="C16" s="1">
        <v>140220012</v>
      </c>
      <c r="D16" s="1">
        <v>3900</v>
      </c>
      <c r="E16" s="12">
        <f>_xlfn.XLOOKUP(packes[[#This Row],[productId]],bom[Id],bom[wgt])</f>
        <v>1.9455252918287937</v>
      </c>
      <c r="F16" s="12">
        <f>packes[[#This Row],[num]]*packes[[#This Row],[wtg]]</f>
        <v>7587.5486381322953</v>
      </c>
      <c r="G16" s="324">
        <v>12</v>
      </c>
      <c r="H16" s="21">
        <f>packes[[#This Row],[num]]-SUM(packes[[#This Row],[num2]])</f>
        <v>3900</v>
      </c>
      <c r="I16" s="324"/>
      <c r="J16" s="21"/>
      <c r="K16" s="287"/>
    </row>
    <row r="17" spans="1:11" ht="16.5">
      <c r="A17" s="1">
        <v>484</v>
      </c>
      <c r="B17" s="2" t="s">
        <v>239</v>
      </c>
      <c r="C17" s="1">
        <v>140030039</v>
      </c>
      <c r="D17" s="1">
        <v>200</v>
      </c>
      <c r="E17" s="12">
        <f>_xlfn.XLOOKUP(packes[[#This Row],[productId]],bom[Id],bom[wgt])</f>
        <v>1.1413748378728923</v>
      </c>
      <c r="F17" s="12">
        <f>packes[[#This Row],[num]]*packes[[#This Row],[wtg]]</f>
        <v>228.27496757457845</v>
      </c>
      <c r="G17" s="324">
        <v>1</v>
      </c>
      <c r="H17" s="21">
        <f>packes[[#This Row],[num]]-SUM(packes[[#This Row],[num2]])</f>
        <v>200</v>
      </c>
      <c r="I17" s="324"/>
      <c r="J17" s="21"/>
      <c r="K17" s="287"/>
    </row>
    <row r="18" spans="1:11" ht="16.5">
      <c r="A18" s="1">
        <v>485</v>
      </c>
      <c r="B18" s="2" t="s">
        <v>239</v>
      </c>
      <c r="C18" s="1">
        <v>140090143</v>
      </c>
      <c r="D18" s="1">
        <v>3000</v>
      </c>
      <c r="E18" s="12">
        <f>_xlfn.XLOOKUP(packes[[#This Row],[productId]],bom[Id],bom[wgt])</f>
        <v>2.7237354085603114</v>
      </c>
      <c r="F18" s="12">
        <f>packes[[#This Row],[num]]*packes[[#This Row],[wtg]]</f>
        <v>8171.206225680934</v>
      </c>
      <c r="G18" s="324">
        <v>12</v>
      </c>
      <c r="H18" s="21">
        <f>packes[[#This Row],[num]]-SUM(packes[[#This Row],[num2]])</f>
        <v>3000</v>
      </c>
      <c r="I18" s="324"/>
      <c r="J18" s="21"/>
      <c r="K18" s="287"/>
    </row>
    <row r="19" spans="1:11" ht="16.5">
      <c r="A19" s="1">
        <v>486</v>
      </c>
      <c r="B19" s="2" t="s">
        <v>239</v>
      </c>
      <c r="C19" s="1">
        <v>140310007</v>
      </c>
      <c r="D19" s="1">
        <v>92</v>
      </c>
      <c r="E19" s="12">
        <f>_xlfn.XLOOKUP(packes[[#This Row],[productId]],bom[Id],bom[wgt])</f>
        <v>1.1413748378728923</v>
      </c>
      <c r="F19" s="12">
        <f>packes[[#This Row],[num]]*packes[[#This Row],[wtg]]</f>
        <v>105.00648508430609</v>
      </c>
      <c r="G19" s="324">
        <v>12</v>
      </c>
      <c r="H19" s="21">
        <f>packes[[#This Row],[num]]-SUM(packes[[#This Row],[num2]])</f>
        <v>92</v>
      </c>
      <c r="I19" s="324"/>
      <c r="J19" s="21"/>
      <c r="K19" s="287"/>
    </row>
    <row r="20" spans="1:11" ht="16.5">
      <c r="A20" s="1">
        <v>487</v>
      </c>
      <c r="B20" s="2" t="s">
        <v>239</v>
      </c>
      <c r="C20" s="1">
        <v>140310017</v>
      </c>
      <c r="D20" s="1">
        <v>50</v>
      </c>
      <c r="E20" s="12">
        <f>_xlfn.XLOOKUP(packes[[#This Row],[productId]],bom[Id],bom[wgt])</f>
        <v>5</v>
      </c>
      <c r="F20" s="12">
        <f>packes[[#This Row],[num]]*packes[[#This Row],[wtg]]</f>
        <v>250</v>
      </c>
      <c r="G20" s="324">
        <v>12</v>
      </c>
      <c r="H20" s="21">
        <f>packes[[#This Row],[num]]-SUM(packes[[#This Row],[num2]])</f>
        <v>50</v>
      </c>
      <c r="I20" s="324"/>
      <c r="J20" s="21"/>
      <c r="K20" s="287"/>
    </row>
    <row r="21" spans="1:11" ht="16.5">
      <c r="A21" s="1">
        <v>488</v>
      </c>
      <c r="B21" s="2" t="s">
        <v>239</v>
      </c>
      <c r="C21" s="1">
        <v>140310031</v>
      </c>
      <c r="D21" s="1">
        <v>36</v>
      </c>
      <c r="E21" s="12">
        <f>_xlfn.XLOOKUP(packes[[#This Row],[productId]],bom[Id],bom[wgt])</f>
        <v>1.9455252918287937</v>
      </c>
      <c r="F21" s="12">
        <f>packes[[#This Row],[num]]*packes[[#This Row],[wtg]]</f>
        <v>70.038910505836569</v>
      </c>
      <c r="G21" s="324">
        <v>12</v>
      </c>
      <c r="H21" s="21">
        <f>packes[[#This Row],[num]]-SUM(packes[[#This Row],[num2]])</f>
        <v>36</v>
      </c>
      <c r="I21" s="324"/>
      <c r="J21" s="21"/>
      <c r="K21" s="287"/>
    </row>
    <row r="22" spans="1:11" ht="16.5">
      <c r="A22" s="1">
        <v>489</v>
      </c>
      <c r="B22" s="2" t="s">
        <v>239</v>
      </c>
      <c r="C22" s="1">
        <v>140220012</v>
      </c>
      <c r="D22" s="1">
        <v>2100</v>
      </c>
      <c r="E22" s="12">
        <f>_xlfn.XLOOKUP(packes[[#This Row],[productId]],bom[Id],bom[wgt])</f>
        <v>1.9455252918287937</v>
      </c>
      <c r="F22" s="12">
        <f>packes[[#This Row],[num]]*packes[[#This Row],[wtg]]</f>
        <v>4085.603112840467</v>
      </c>
      <c r="G22" s="324">
        <v>12</v>
      </c>
      <c r="H22" s="21">
        <f>packes[[#This Row],[num]]-SUM(packes[[#This Row],[num2]])</f>
        <v>2100</v>
      </c>
      <c r="I22" s="324"/>
      <c r="J22" s="21"/>
      <c r="K22" s="287"/>
    </row>
    <row r="23" spans="1:11" ht="16.5">
      <c r="A23" s="1">
        <v>490</v>
      </c>
      <c r="B23" s="2" t="s">
        <v>239</v>
      </c>
      <c r="C23" s="1">
        <v>140450035</v>
      </c>
      <c r="D23" s="1">
        <v>44</v>
      </c>
      <c r="E23" s="12">
        <f>_xlfn.XLOOKUP(packes[[#This Row],[productId]],bom[Id],bom[wgt])</f>
        <v>1.6761448668063454</v>
      </c>
      <c r="F23" s="12">
        <f>packes[[#This Row],[num]]*packes[[#This Row],[wtg]]</f>
        <v>73.750374139479206</v>
      </c>
      <c r="G23" s="324">
        <v>11</v>
      </c>
      <c r="H23" s="21">
        <f>packes[[#This Row],[num]]-SUM(packes[[#This Row],[num2]])</f>
        <v>44</v>
      </c>
      <c r="I23" s="324"/>
      <c r="J23" s="21"/>
      <c r="K23" s="287"/>
    </row>
    <row r="24" spans="1:11" ht="16.5">
      <c r="A24" s="1">
        <v>491</v>
      </c>
      <c r="B24" s="2" t="s">
        <v>239</v>
      </c>
      <c r="C24" s="1">
        <v>140550019</v>
      </c>
      <c r="D24" s="1">
        <v>34</v>
      </c>
      <c r="E24" s="12">
        <f>_xlfn.XLOOKUP(packes[[#This Row],[productId]],bom[Id],bom[wgt])</f>
        <v>2.6938042502244834</v>
      </c>
      <c r="F24" s="12">
        <f>packes[[#This Row],[num]]*packes[[#This Row],[wtg]]</f>
        <v>91.589344507632433</v>
      </c>
      <c r="G24" s="324">
        <v>1000</v>
      </c>
      <c r="H24" s="21">
        <f>packes[[#This Row],[num]]-SUM(packes[[#This Row],[num2]])</f>
        <v>34</v>
      </c>
      <c r="I24" s="324"/>
      <c r="J24" s="21"/>
      <c r="K24" s="287"/>
    </row>
    <row r="25" spans="1:11" ht="16.5">
      <c r="A25" s="1">
        <v>492</v>
      </c>
      <c r="B25" s="2" t="s">
        <v>234</v>
      </c>
      <c r="C25" s="1">
        <v>140010117</v>
      </c>
      <c r="D25" s="1">
        <v>1275</v>
      </c>
      <c r="E25" s="12">
        <f>_xlfn.XLOOKUP(packes[[#This Row],[productId]],bom[Id],bom[wgt])</f>
        <v>1</v>
      </c>
      <c r="F25" s="12">
        <f>packes[[#This Row],[num]]*packes[[#This Row],[wtg]]</f>
        <v>1275</v>
      </c>
      <c r="G25" s="324">
        <v>1</v>
      </c>
      <c r="H25" s="21">
        <f>packes[[#This Row],[num]]-SUM(packes[[#This Row],[num2]])</f>
        <v>1275</v>
      </c>
      <c r="I25" s="324"/>
      <c r="J25" s="21"/>
      <c r="K25" s="287"/>
    </row>
    <row r="26" spans="1:11" ht="16.5">
      <c r="A26" s="1">
        <v>493</v>
      </c>
      <c r="B26" s="2" t="s">
        <v>234</v>
      </c>
      <c r="C26" s="1">
        <v>140010230</v>
      </c>
      <c r="D26" s="1">
        <v>300</v>
      </c>
      <c r="E26" s="12">
        <f>_xlfn.XLOOKUP(packes[[#This Row],[productId]],bom[Id],bom[wgt])</f>
        <v>1.4486680634540554</v>
      </c>
      <c r="F26" s="12">
        <f>packes[[#This Row],[num]]*packes[[#This Row],[wtg]]</f>
        <v>434.60041903621664</v>
      </c>
      <c r="G26" s="324">
        <v>1</v>
      </c>
      <c r="H26" s="21">
        <f>packes[[#This Row],[num]]-SUM(packes[[#This Row],[num2]])</f>
        <v>300</v>
      </c>
      <c r="I26" s="324"/>
      <c r="J26" s="21"/>
      <c r="K26" s="287"/>
    </row>
    <row r="27" spans="1:11" ht="16.5">
      <c r="A27" s="1">
        <v>494</v>
      </c>
      <c r="B27" s="2" t="s">
        <v>234</v>
      </c>
      <c r="C27" s="1">
        <v>140010255</v>
      </c>
      <c r="D27" s="1">
        <v>500</v>
      </c>
      <c r="E27" s="12">
        <f>_xlfn.XLOOKUP(packes[[#This Row],[productId]],bom[Id],bom[wgt])</f>
        <v>1</v>
      </c>
      <c r="F27" s="12">
        <f>packes[[#This Row],[num]]*packes[[#This Row],[wtg]]</f>
        <v>500</v>
      </c>
      <c r="G27" s="324">
        <v>1</v>
      </c>
      <c r="H27" s="21">
        <f>packes[[#This Row],[num]]-SUM(packes[[#This Row],[num2]])</f>
        <v>500</v>
      </c>
      <c r="I27" s="324"/>
      <c r="J27" s="21"/>
      <c r="K27" s="287"/>
    </row>
    <row r="28" spans="1:11" ht="16.5">
      <c r="A28" s="1">
        <v>495</v>
      </c>
      <c r="B28" s="2" t="s">
        <v>234</v>
      </c>
      <c r="C28" s="1">
        <v>140090143</v>
      </c>
      <c r="D28" s="1">
        <v>1050</v>
      </c>
      <c r="E28" s="12">
        <f>_xlfn.XLOOKUP(packes[[#This Row],[productId]],bom[Id],bom[wgt])</f>
        <v>2.7237354085603114</v>
      </c>
      <c r="F28" s="12">
        <f>packes[[#This Row],[num]]*packes[[#This Row],[wtg]]</f>
        <v>2859.9221789883268</v>
      </c>
      <c r="G28" s="324">
        <v>12</v>
      </c>
      <c r="H28" s="21">
        <f>packes[[#This Row],[num]]-SUM(packes[[#This Row],[num2]])</f>
        <v>1050</v>
      </c>
      <c r="I28" s="324"/>
      <c r="J28" s="21"/>
      <c r="K28" s="287"/>
    </row>
    <row r="29" spans="1:11" ht="16.5">
      <c r="A29" s="1">
        <v>496</v>
      </c>
      <c r="B29" s="2" t="s">
        <v>234</v>
      </c>
      <c r="C29" s="1">
        <v>140220012</v>
      </c>
      <c r="D29" s="1">
        <v>1650</v>
      </c>
      <c r="E29" s="12">
        <f>_xlfn.XLOOKUP(packes[[#This Row],[productId]],bom[Id],bom[wgt])</f>
        <v>1.9455252918287937</v>
      </c>
      <c r="F29" s="12">
        <f>packes[[#This Row],[num]]*packes[[#This Row],[wtg]]</f>
        <v>3210.1167315175098</v>
      </c>
      <c r="G29" s="324">
        <v>12</v>
      </c>
      <c r="H29" s="21">
        <f>packes[[#This Row],[num]]-SUM(packes[[#This Row],[num2]])</f>
        <v>1650</v>
      </c>
      <c r="I29" s="324"/>
      <c r="J29" s="21"/>
      <c r="K29" s="287"/>
    </row>
    <row r="30" spans="1:11" ht="16.5">
      <c r="A30" s="1">
        <v>497</v>
      </c>
      <c r="B30" s="2" t="s">
        <v>258</v>
      </c>
      <c r="C30" s="1">
        <v>140010117</v>
      </c>
      <c r="D30" s="1">
        <v>2550</v>
      </c>
      <c r="E30" s="12">
        <f>_xlfn.XLOOKUP(packes[[#This Row],[productId]],bom[Id],bom[wgt])</f>
        <v>1</v>
      </c>
      <c r="F30" s="12">
        <f>packes[[#This Row],[num]]*packes[[#This Row],[wtg]]</f>
        <v>2550</v>
      </c>
      <c r="G30" s="324">
        <v>1</v>
      </c>
      <c r="H30" s="21">
        <f>packes[[#This Row],[num]]-SUM(packes[[#This Row],[num2]])</f>
        <v>2550</v>
      </c>
      <c r="I30" s="324"/>
      <c r="J30" s="21"/>
      <c r="K30" s="287"/>
    </row>
    <row r="31" spans="1:11" ht="16.5">
      <c r="A31" s="1">
        <v>498</v>
      </c>
      <c r="B31" s="2" t="s">
        <v>258</v>
      </c>
      <c r="C31" s="1">
        <v>140010230</v>
      </c>
      <c r="D31" s="1">
        <v>1150</v>
      </c>
      <c r="E31" s="12">
        <f>_xlfn.XLOOKUP(packes[[#This Row],[productId]],bom[Id],bom[wgt])</f>
        <v>1.4486680634540554</v>
      </c>
      <c r="F31" s="12">
        <f>packes[[#This Row],[num]]*packes[[#This Row],[wtg]]</f>
        <v>1665.9682729721637</v>
      </c>
      <c r="G31" s="324">
        <v>1</v>
      </c>
      <c r="H31" s="21">
        <f>packes[[#This Row],[num]]-SUM(packes[[#This Row],[num2]])</f>
        <v>1150</v>
      </c>
      <c r="I31" s="324"/>
      <c r="J31" s="21"/>
      <c r="K31" s="287"/>
    </row>
    <row r="32" spans="1:11" ht="16.5">
      <c r="A32" s="1">
        <v>499</v>
      </c>
      <c r="B32" s="2" t="s">
        <v>258</v>
      </c>
      <c r="C32" s="1">
        <v>140030039</v>
      </c>
      <c r="D32" s="1">
        <v>200</v>
      </c>
      <c r="E32" s="12">
        <f>_xlfn.XLOOKUP(packes[[#This Row],[productId]],bom[Id],bom[wgt])</f>
        <v>1.1413748378728923</v>
      </c>
      <c r="F32" s="12">
        <f>packes[[#This Row],[num]]*packes[[#This Row],[wtg]]</f>
        <v>228.27496757457845</v>
      </c>
      <c r="G32" s="324">
        <v>1</v>
      </c>
      <c r="H32" s="21">
        <f>packes[[#This Row],[num]]-SUM(packes[[#This Row],[num2]])</f>
        <v>200</v>
      </c>
      <c r="I32" s="324"/>
      <c r="J32" s="21"/>
      <c r="K32" s="287"/>
    </row>
    <row r="33" spans="1:11" ht="16.5">
      <c r="A33" s="1">
        <v>500</v>
      </c>
      <c r="B33" s="2" t="s">
        <v>258</v>
      </c>
      <c r="C33" s="1">
        <v>140030040</v>
      </c>
      <c r="D33" s="1">
        <v>300</v>
      </c>
      <c r="E33" s="12">
        <f>_xlfn.XLOOKUP(packes[[#This Row],[productId]],bom[Id],bom[wgt])</f>
        <v>1.1092487279257708</v>
      </c>
      <c r="F33" s="12">
        <f>packes[[#This Row],[num]]*packes[[#This Row],[wtg]]</f>
        <v>332.77461837773126</v>
      </c>
      <c r="G33" s="324" t="s">
        <v>257</v>
      </c>
      <c r="H33" s="21">
        <f>packes[[#This Row],[num]]-SUM(packes[[#This Row],[num2]])</f>
        <v>300</v>
      </c>
      <c r="I33" s="324"/>
      <c r="J33" s="21"/>
      <c r="K33" s="287"/>
    </row>
    <row r="34" spans="1:11" ht="16.5">
      <c r="A34" s="1">
        <v>501</v>
      </c>
      <c r="B34" s="2" t="s">
        <v>258</v>
      </c>
      <c r="C34" s="1">
        <v>140310016</v>
      </c>
      <c r="D34" s="1">
        <v>250</v>
      </c>
      <c r="E34" s="12">
        <f>_xlfn.XLOOKUP(packes[[#This Row],[productId]],bom[Id],bom[wgt])</f>
        <v>3</v>
      </c>
      <c r="F34" s="12">
        <f>packes[[#This Row],[num]]*packes[[#This Row],[wtg]]</f>
        <v>750</v>
      </c>
      <c r="G34" s="324">
        <v>12</v>
      </c>
      <c r="H34" s="21">
        <f>packes[[#This Row],[num]]-SUM(packes[[#This Row],[num2]])</f>
        <v>250</v>
      </c>
      <c r="I34" s="324"/>
      <c r="J34" s="21"/>
      <c r="K34" s="287"/>
    </row>
    <row r="35" spans="1:11" ht="16.5">
      <c r="A35" s="1">
        <v>502</v>
      </c>
      <c r="B35" s="2" t="s">
        <v>258</v>
      </c>
      <c r="C35" s="1">
        <v>140220012</v>
      </c>
      <c r="D35" s="1">
        <v>400</v>
      </c>
      <c r="E35" s="12">
        <f>_xlfn.XLOOKUP(packes[[#This Row],[productId]],bom[Id],bom[wgt])</f>
        <v>1.9455252918287937</v>
      </c>
      <c r="F35" s="12">
        <f>packes[[#This Row],[num]]*packes[[#This Row],[wtg]]</f>
        <v>778.21011673151747</v>
      </c>
      <c r="G35" s="324">
        <v>12</v>
      </c>
      <c r="H35" s="21">
        <f>packes[[#This Row],[num]]-SUM(packes[[#This Row],[num2]])</f>
        <v>400</v>
      </c>
      <c r="I35" s="324"/>
      <c r="J35" s="21"/>
      <c r="K35" s="287"/>
    </row>
    <row r="36" spans="1:11" ht="16.5">
      <c r="A36" s="1">
        <v>503</v>
      </c>
      <c r="B36" s="2" t="s">
        <v>229</v>
      </c>
      <c r="C36" s="1">
        <v>140010117</v>
      </c>
      <c r="D36" s="1">
        <v>2325</v>
      </c>
      <c r="E36" s="12">
        <f>_xlfn.XLOOKUP(packes[[#This Row],[productId]],bom[Id],bom[wgt])</f>
        <v>1</v>
      </c>
      <c r="F36" s="12">
        <f>packes[[#This Row],[num]]*packes[[#This Row],[wtg]]</f>
        <v>2325</v>
      </c>
      <c r="G36" s="324">
        <v>1</v>
      </c>
      <c r="H36" s="21">
        <f>packes[[#This Row],[num]]-SUM(packes[[#This Row],[num2]])</f>
        <v>2325</v>
      </c>
      <c r="I36" s="324"/>
      <c r="J36" s="21"/>
      <c r="K36" s="287"/>
    </row>
    <row r="37" spans="1:11" ht="16.5">
      <c r="A37" s="1">
        <v>504</v>
      </c>
      <c r="B37" s="2" t="s">
        <v>229</v>
      </c>
      <c r="C37" s="1">
        <v>140010230</v>
      </c>
      <c r="D37" s="1">
        <v>1500</v>
      </c>
      <c r="E37" s="12">
        <f>_xlfn.XLOOKUP(packes[[#This Row],[productId]],bom[Id],bom[wgt])</f>
        <v>1.4486680634540554</v>
      </c>
      <c r="F37" s="12">
        <f>packes[[#This Row],[num]]*packes[[#This Row],[wtg]]</f>
        <v>2173.002095181083</v>
      </c>
      <c r="G37" s="324">
        <v>1</v>
      </c>
      <c r="H37" s="21">
        <f>packes[[#This Row],[num]]-SUM(packes[[#This Row],[num2]])</f>
        <v>1500</v>
      </c>
      <c r="I37" s="324"/>
      <c r="J37" s="21"/>
      <c r="K37" s="287"/>
    </row>
    <row r="38" spans="1:11" ht="16.5">
      <c r="A38" s="1">
        <v>505</v>
      </c>
      <c r="B38" s="2" t="s">
        <v>229</v>
      </c>
      <c r="C38" s="1">
        <v>140090143</v>
      </c>
      <c r="D38" s="1">
        <v>300</v>
      </c>
      <c r="E38" s="12">
        <f>_xlfn.XLOOKUP(packes[[#This Row],[productId]],bom[Id],bom[wgt])</f>
        <v>2.7237354085603114</v>
      </c>
      <c r="F38" s="12">
        <f>packes[[#This Row],[num]]*packes[[#This Row],[wtg]]</f>
        <v>817.12062256809338</v>
      </c>
      <c r="G38" s="324">
        <v>12</v>
      </c>
      <c r="H38" s="21">
        <f>packes[[#This Row],[num]]-SUM(packes[[#This Row],[num2]])</f>
        <v>300</v>
      </c>
      <c r="I38" s="324"/>
      <c r="J38" s="21"/>
      <c r="K38" s="287"/>
    </row>
    <row r="39" spans="1:11" ht="16.5">
      <c r="A39" s="1">
        <v>506</v>
      </c>
      <c r="B39" s="2" t="s">
        <v>229</v>
      </c>
      <c r="C39" s="1">
        <v>140220012</v>
      </c>
      <c r="D39" s="1">
        <v>700</v>
      </c>
      <c r="E39" s="12">
        <f>_xlfn.XLOOKUP(packes[[#This Row],[productId]],bom[Id],bom[wgt])</f>
        <v>1.9455252918287937</v>
      </c>
      <c r="F39" s="12">
        <f>packes[[#This Row],[num]]*packes[[#This Row],[wtg]]</f>
        <v>1361.8677042801555</v>
      </c>
      <c r="G39" s="324">
        <v>12</v>
      </c>
      <c r="H39" s="21">
        <f>packes[[#This Row],[num]]-SUM(packes[[#This Row],[num2]])</f>
        <v>700</v>
      </c>
      <c r="I39" s="324"/>
      <c r="J39" s="21"/>
      <c r="K39" s="287"/>
    </row>
    <row r="40" spans="1:11" ht="16.5">
      <c r="A40" s="1">
        <v>507</v>
      </c>
      <c r="B40" s="2" t="s">
        <v>232</v>
      </c>
      <c r="C40" s="1">
        <v>140010117</v>
      </c>
      <c r="D40" s="1">
        <v>1350</v>
      </c>
      <c r="E40" s="12">
        <f>_xlfn.XLOOKUP(packes[[#This Row],[productId]],bom[Id],bom[wgt])</f>
        <v>1</v>
      </c>
      <c r="F40" s="12">
        <f>packes[[#This Row],[num]]*packes[[#This Row],[wtg]]</f>
        <v>1350</v>
      </c>
      <c r="G40" s="324">
        <v>1</v>
      </c>
      <c r="H40" s="21">
        <f>packes[[#This Row],[num]]-SUM(packes[[#This Row],[num2]])</f>
        <v>1350</v>
      </c>
      <c r="I40" s="324"/>
      <c r="J40" s="21"/>
      <c r="K40" s="287"/>
    </row>
    <row r="41" spans="1:11" ht="16.5">
      <c r="A41" s="1">
        <v>508</v>
      </c>
      <c r="B41" s="2" t="s">
        <v>232</v>
      </c>
      <c r="C41" s="1">
        <v>140010230</v>
      </c>
      <c r="D41" s="1">
        <v>1600</v>
      </c>
      <c r="E41" s="12">
        <f>_xlfn.XLOOKUP(packes[[#This Row],[productId]],bom[Id],bom[wgt])</f>
        <v>1.4486680634540554</v>
      </c>
      <c r="F41" s="12">
        <f>packes[[#This Row],[num]]*packes[[#This Row],[wtg]]</f>
        <v>2317.8689015264886</v>
      </c>
      <c r="G41" s="324">
        <v>1</v>
      </c>
      <c r="H41" s="21">
        <f>packes[[#This Row],[num]]-SUM(packes[[#This Row],[num2]])</f>
        <v>1600</v>
      </c>
      <c r="I41" s="324"/>
      <c r="J41" s="21"/>
      <c r="K41" s="287"/>
    </row>
    <row r="42" spans="1:11" ht="16.5">
      <c r="A42" s="1">
        <v>509</v>
      </c>
      <c r="B42" s="2" t="s">
        <v>232</v>
      </c>
      <c r="C42" s="1">
        <v>140030039</v>
      </c>
      <c r="D42" s="1">
        <v>3000</v>
      </c>
      <c r="E42" s="12">
        <f>_xlfn.XLOOKUP(packes[[#This Row],[productId]],bom[Id],bom[wgt])</f>
        <v>1.1413748378728923</v>
      </c>
      <c r="F42" s="12">
        <f>packes[[#This Row],[num]]*packes[[#This Row],[wtg]]</f>
        <v>3424.1245136186767</v>
      </c>
      <c r="G42" s="324">
        <v>1</v>
      </c>
      <c r="H42" s="21">
        <f>packes[[#This Row],[num]]-SUM(packes[[#This Row],[num2]])</f>
        <v>3000</v>
      </c>
      <c r="I42" s="324"/>
      <c r="J42" s="21"/>
      <c r="K42" s="287"/>
    </row>
    <row r="43" spans="1:11" ht="16.5">
      <c r="A43" s="1">
        <v>510</v>
      </c>
      <c r="B43" s="2" t="s">
        <v>232</v>
      </c>
      <c r="C43" s="1">
        <v>140310017</v>
      </c>
      <c r="D43" s="1">
        <v>18</v>
      </c>
      <c r="E43" s="12">
        <f>_xlfn.XLOOKUP(packes[[#This Row],[productId]],bom[Id],bom[wgt])</f>
        <v>5</v>
      </c>
      <c r="F43" s="12">
        <f>packes[[#This Row],[num]]*packes[[#This Row],[wtg]]</f>
        <v>90</v>
      </c>
      <c r="G43" s="324">
        <v>12</v>
      </c>
      <c r="H43" s="21">
        <f>packes[[#This Row],[num]]-SUM(packes[[#This Row],[num2]])</f>
        <v>18</v>
      </c>
      <c r="I43" s="324"/>
      <c r="J43" s="21"/>
      <c r="K43" s="287"/>
    </row>
    <row r="44" spans="1:11" ht="16.5">
      <c r="A44" s="1">
        <v>511</v>
      </c>
      <c r="B44" s="2" t="s">
        <v>232</v>
      </c>
      <c r="C44" s="1">
        <v>140010295</v>
      </c>
      <c r="D44" s="1">
        <v>800</v>
      </c>
      <c r="E44" s="12">
        <f>_xlfn.XLOOKUP(packes[[#This Row],[productId]],bom[Id],bom[wgt])</f>
        <v>1.1274069639828395</v>
      </c>
      <c r="F44" s="12">
        <f>packes[[#This Row],[num]]*packes[[#This Row],[wtg]]</f>
        <v>901.92557118627155</v>
      </c>
      <c r="G44" s="324">
        <v>1</v>
      </c>
      <c r="H44" s="21">
        <f>packes[[#This Row],[num]]-SUM(packes[[#This Row],[num2]])</f>
        <v>800</v>
      </c>
      <c r="I44" s="324"/>
      <c r="J44" s="21"/>
      <c r="K44" s="287"/>
    </row>
    <row r="45" spans="1:11" ht="16.5">
      <c r="A45" s="1">
        <v>512</v>
      </c>
      <c r="B45" s="2" t="s">
        <v>231</v>
      </c>
      <c r="C45" s="1">
        <v>140010117</v>
      </c>
      <c r="D45" s="1">
        <v>2100</v>
      </c>
      <c r="E45" s="12">
        <f>_xlfn.XLOOKUP(packes[[#This Row],[productId]],bom[Id],bom[wgt])</f>
        <v>1</v>
      </c>
      <c r="F45" s="12">
        <f>packes[[#This Row],[num]]*packes[[#This Row],[wtg]]</f>
        <v>2100</v>
      </c>
      <c r="G45" s="324">
        <v>1</v>
      </c>
      <c r="H45" s="21">
        <f>packes[[#This Row],[num]]-SUM(packes[[#This Row],[num2]])</f>
        <v>2100</v>
      </c>
      <c r="I45" s="324"/>
      <c r="J45" s="21"/>
      <c r="K45" s="287"/>
    </row>
    <row r="46" spans="1:11" ht="16.5">
      <c r="A46" s="1">
        <v>513</v>
      </c>
      <c r="B46" s="2" t="s">
        <v>231</v>
      </c>
      <c r="C46" s="1">
        <v>140010230</v>
      </c>
      <c r="D46" s="1">
        <v>200</v>
      </c>
      <c r="E46" s="12">
        <f>_xlfn.XLOOKUP(packes[[#This Row],[productId]],bom[Id],bom[wgt])</f>
        <v>1.4486680634540554</v>
      </c>
      <c r="F46" s="12">
        <f>packes[[#This Row],[num]]*packes[[#This Row],[wtg]]</f>
        <v>289.73361269081107</v>
      </c>
      <c r="G46" s="324">
        <v>1</v>
      </c>
      <c r="H46" s="21">
        <f>packes[[#This Row],[num]]-SUM(packes[[#This Row],[num2]])</f>
        <v>200</v>
      </c>
      <c r="I46" s="324"/>
      <c r="J46" s="21"/>
      <c r="K46" s="287"/>
    </row>
    <row r="47" spans="1:11" ht="16.5">
      <c r="A47" s="1">
        <v>514</v>
      </c>
      <c r="B47" s="2" t="s">
        <v>231</v>
      </c>
      <c r="C47" s="1">
        <v>140030040</v>
      </c>
      <c r="D47" s="1">
        <v>2900</v>
      </c>
      <c r="E47" s="12">
        <f>_xlfn.XLOOKUP(packes[[#This Row],[productId]],bom[Id],bom[wgt])</f>
        <v>1.1092487279257708</v>
      </c>
      <c r="F47" s="12">
        <f>packes[[#This Row],[num]]*packes[[#This Row],[wtg]]</f>
        <v>3216.8213109847352</v>
      </c>
      <c r="G47" s="324" t="s">
        <v>240</v>
      </c>
      <c r="H47" s="21">
        <f>packes[[#This Row],[num]]-SUM(packes[[#This Row],[num2]])</f>
        <v>2600</v>
      </c>
      <c r="I47" s="324" t="s">
        <v>257</v>
      </c>
      <c r="J47" s="21">
        <v>300</v>
      </c>
      <c r="K47" s="287"/>
    </row>
    <row r="48" spans="1:11" ht="16.5">
      <c r="A48" s="1">
        <v>515</v>
      </c>
      <c r="B48" s="2" t="s">
        <v>231</v>
      </c>
      <c r="C48" s="1">
        <v>140010295</v>
      </c>
      <c r="D48" s="1">
        <v>2200</v>
      </c>
      <c r="E48" s="12">
        <f>_xlfn.XLOOKUP(packes[[#This Row],[productId]],bom[Id],bom[wgt])</f>
        <v>1.1274069639828395</v>
      </c>
      <c r="F48" s="12">
        <f>packes[[#This Row],[num]]*packes[[#This Row],[wtg]]</f>
        <v>2480.2953207622468</v>
      </c>
      <c r="G48" s="324">
        <v>1</v>
      </c>
      <c r="H48" s="21">
        <f>packes[[#This Row],[num]]-SUM(packes[[#This Row],[num2]])</f>
        <v>2200</v>
      </c>
      <c r="I48" s="324"/>
      <c r="J48" s="21"/>
      <c r="K48" s="287"/>
    </row>
    <row r="49" spans="1:11" ht="16.5">
      <c r="A49" s="1">
        <v>516</v>
      </c>
      <c r="B49" s="2" t="s">
        <v>236</v>
      </c>
      <c r="C49" s="1">
        <v>140010117</v>
      </c>
      <c r="D49" s="1">
        <v>1800</v>
      </c>
      <c r="E49" s="12">
        <f>_xlfn.XLOOKUP(packes[[#This Row],[productId]],bom[Id],bom[wgt])</f>
        <v>1</v>
      </c>
      <c r="F49" s="12">
        <f>packes[[#This Row],[num]]*packes[[#This Row],[wtg]]</f>
        <v>1800</v>
      </c>
      <c r="G49" s="324">
        <v>1</v>
      </c>
      <c r="H49" s="21">
        <f>packes[[#This Row],[num]]-SUM(packes[[#This Row],[num2]])</f>
        <v>400</v>
      </c>
      <c r="I49" s="324" t="s">
        <v>240</v>
      </c>
      <c r="J49" s="21">
        <v>1400</v>
      </c>
      <c r="K49" s="287"/>
    </row>
    <row r="50" spans="1:11" ht="16.5">
      <c r="A50" s="1">
        <v>517</v>
      </c>
      <c r="B50" s="2" t="s">
        <v>236</v>
      </c>
      <c r="C50" s="1">
        <v>140020181</v>
      </c>
      <c r="D50" s="1">
        <v>1725</v>
      </c>
      <c r="E50" s="12">
        <f>_xlfn.XLOOKUP(packes[[#This Row],[productId]],bom[Id],bom[wgt])</f>
        <v>1.2670857028833682</v>
      </c>
      <c r="F50" s="12">
        <f>packes[[#This Row],[num]]*packes[[#This Row],[wtg]]</f>
        <v>2185.7228374738102</v>
      </c>
      <c r="G50" s="324">
        <v>2</v>
      </c>
      <c r="H50" s="21">
        <f>packes[[#This Row],[num]]-SUM(packes[[#This Row],[num2]])</f>
        <v>1725</v>
      </c>
      <c r="I50" s="324"/>
      <c r="J50" s="21"/>
      <c r="K50" s="287"/>
    </row>
    <row r="51" spans="1:11" ht="16.5">
      <c r="A51" s="1">
        <v>518</v>
      </c>
      <c r="B51" s="2" t="s">
        <v>236</v>
      </c>
      <c r="C51" s="1">
        <v>140010279</v>
      </c>
      <c r="D51" s="1">
        <v>1000</v>
      </c>
      <c r="E51" s="12">
        <f>_xlfn.XLOOKUP(packes[[#This Row],[productId]],bom[Id],bom[wgt])</f>
        <v>1.0675446473111843</v>
      </c>
      <c r="F51" s="12">
        <f>packes[[#This Row],[num]]*packes[[#This Row],[wtg]]</f>
        <v>1067.5446473111842</v>
      </c>
      <c r="G51" s="324">
        <v>1</v>
      </c>
      <c r="H51" s="21">
        <f>packes[[#This Row],[num]]-SUM(packes[[#This Row],[num2]])</f>
        <v>1000</v>
      </c>
      <c r="I51" s="324"/>
      <c r="J51" s="21"/>
      <c r="K51" s="287"/>
    </row>
    <row r="52" spans="1:11" ht="16.5">
      <c r="A52" s="1">
        <v>519</v>
      </c>
      <c r="B52" s="2" t="s">
        <v>236</v>
      </c>
      <c r="C52" s="1">
        <v>140010295</v>
      </c>
      <c r="D52" s="1">
        <v>1200</v>
      </c>
      <c r="E52" s="12">
        <f>_xlfn.XLOOKUP(packes[[#This Row],[productId]],bom[Id],bom[wgt])</f>
        <v>1.1274069639828395</v>
      </c>
      <c r="F52" s="12">
        <f>packes[[#This Row],[num]]*packes[[#This Row],[wtg]]</f>
        <v>1352.8883567794073</v>
      </c>
      <c r="G52" s="324">
        <v>1</v>
      </c>
      <c r="H52" s="21">
        <f>packes[[#This Row],[num]]-SUM(packes[[#This Row],[num2]])</f>
        <v>1200</v>
      </c>
      <c r="I52" s="324"/>
      <c r="J52" s="21"/>
      <c r="K52" s="287"/>
    </row>
    <row r="53" spans="1:11" ht="16.5">
      <c r="A53" s="1">
        <v>520</v>
      </c>
      <c r="B53" s="2" t="s">
        <v>268</v>
      </c>
      <c r="C53" s="1">
        <v>140010117</v>
      </c>
      <c r="D53" s="1">
        <v>300</v>
      </c>
      <c r="E53" s="12">
        <f>_xlfn.XLOOKUP(packes[[#This Row],[productId]],bom[Id],bom[wgt])</f>
        <v>1</v>
      </c>
      <c r="F53" s="12">
        <f>packes[[#This Row],[num]]*packes[[#This Row],[wtg]]</f>
        <v>300</v>
      </c>
      <c r="G53" s="324" t="s">
        <v>240</v>
      </c>
      <c r="H53" s="21">
        <f>packes[[#This Row],[num]]-SUM(packes[[#This Row],[num2]])</f>
        <v>300</v>
      </c>
      <c r="I53" s="324"/>
      <c r="J53" s="21"/>
      <c r="K53" s="287"/>
    </row>
    <row r="54" spans="1:11" ht="16.5">
      <c r="A54" s="1">
        <v>521</v>
      </c>
      <c r="B54" s="2" t="s">
        <v>268</v>
      </c>
      <c r="C54" s="1">
        <v>140020181</v>
      </c>
      <c r="D54" s="1">
        <v>4050</v>
      </c>
      <c r="E54" s="12">
        <f>_xlfn.XLOOKUP(packes[[#This Row],[productId]],bom[Id],bom[wgt])</f>
        <v>1.2670857028833682</v>
      </c>
      <c r="F54" s="12">
        <f>packes[[#This Row],[num]]*packes[[#This Row],[wtg]]</f>
        <v>5131.6970966776407</v>
      </c>
      <c r="G54" s="324">
        <v>2</v>
      </c>
      <c r="H54" s="21">
        <f>packes[[#This Row],[num]]-SUM(packes[[#This Row],[num2]])</f>
        <v>4050</v>
      </c>
      <c r="I54" s="324"/>
      <c r="J54" s="21"/>
      <c r="K54" s="287"/>
    </row>
    <row r="55" spans="1:11" ht="16.5">
      <c r="A55" s="1">
        <v>522</v>
      </c>
      <c r="B55" s="2" t="s">
        <v>268</v>
      </c>
      <c r="C55" s="1">
        <v>140030039</v>
      </c>
      <c r="D55" s="1">
        <v>2300</v>
      </c>
      <c r="E55" s="12">
        <f>_xlfn.XLOOKUP(packes[[#This Row],[productId]],bom[Id],bom[wgt])</f>
        <v>1.1413748378728923</v>
      </c>
      <c r="F55" s="12">
        <f>packes[[#This Row],[num]]*packes[[#This Row],[wtg]]</f>
        <v>2625.1621271076524</v>
      </c>
      <c r="G55" s="324" t="s">
        <v>240</v>
      </c>
      <c r="H55" s="21">
        <f>packes[[#This Row],[num]]-SUM(packes[[#This Row],[num2]])</f>
        <v>1000</v>
      </c>
      <c r="I55" s="324">
        <v>1</v>
      </c>
      <c r="J55" s="21">
        <v>1300</v>
      </c>
      <c r="K55" s="287"/>
    </row>
    <row r="56" spans="1:11" ht="16.5">
      <c r="A56" s="1">
        <v>523</v>
      </c>
      <c r="B56" s="2" t="s">
        <v>268</v>
      </c>
      <c r="C56" s="1">
        <v>140010279</v>
      </c>
      <c r="D56" s="1">
        <v>1800</v>
      </c>
      <c r="E56" s="12">
        <f>_xlfn.XLOOKUP(packes[[#This Row],[productId]],bom[Id],bom[wgt])</f>
        <v>1.0675446473111843</v>
      </c>
      <c r="F56" s="12">
        <f>packes[[#This Row],[num]]*packes[[#This Row],[wtg]]</f>
        <v>1921.5803651601316</v>
      </c>
      <c r="G56" s="324">
        <v>1</v>
      </c>
      <c r="H56" s="21">
        <f>packes[[#This Row],[num]]-SUM(packes[[#This Row],[num2]])</f>
        <v>1800</v>
      </c>
      <c r="I56" s="324"/>
      <c r="J56" s="21"/>
      <c r="K56" s="287"/>
    </row>
    <row r="57" spans="1:11" ht="16.5">
      <c r="A57" s="1">
        <v>524</v>
      </c>
      <c r="B57" s="2" t="s">
        <v>273</v>
      </c>
      <c r="C57" s="1">
        <v>140010117</v>
      </c>
      <c r="D57" s="1">
        <v>1200</v>
      </c>
      <c r="E57" s="12">
        <f>_xlfn.XLOOKUP(packes[[#This Row],[productId]],bom[Id],bom[wgt])</f>
        <v>1</v>
      </c>
      <c r="F57" s="12">
        <f>packes[[#This Row],[num]]*packes[[#This Row],[wtg]]</f>
        <v>1200</v>
      </c>
      <c r="G57" s="324" t="s">
        <v>240</v>
      </c>
      <c r="H57" s="21">
        <f>packes[[#This Row],[num]]-SUM(packes[[#This Row],[num2]])</f>
        <v>1200</v>
      </c>
      <c r="I57" s="324"/>
      <c r="J57" s="21"/>
      <c r="K57" s="287"/>
    </row>
    <row r="58" spans="1:11" ht="16.5">
      <c r="A58" s="1">
        <v>525</v>
      </c>
      <c r="B58" s="2" t="s">
        <v>273</v>
      </c>
      <c r="C58" s="1">
        <v>140010230</v>
      </c>
      <c r="D58" s="1">
        <v>350</v>
      </c>
      <c r="E58" s="12">
        <f>_xlfn.XLOOKUP(packes[[#This Row],[productId]],bom[Id],bom[wgt])</f>
        <v>1.4486680634540554</v>
      </c>
      <c r="F58" s="12">
        <f>packes[[#This Row],[num]]*packes[[#This Row],[wtg]]</f>
        <v>507.03382220891939</v>
      </c>
      <c r="G58" s="324">
        <v>1</v>
      </c>
      <c r="H58" s="21">
        <f>packes[[#This Row],[num]]-SUM(packes[[#This Row],[num2]])</f>
        <v>250</v>
      </c>
      <c r="I58" s="324">
        <v>2</v>
      </c>
      <c r="J58" s="21">
        <v>100</v>
      </c>
      <c r="K58" s="287"/>
    </row>
    <row r="59" spans="1:11" ht="16.5">
      <c r="A59" s="1">
        <v>526</v>
      </c>
      <c r="B59" s="2" t="s">
        <v>273</v>
      </c>
      <c r="C59" s="1">
        <v>140020181</v>
      </c>
      <c r="D59" s="1">
        <v>2250</v>
      </c>
      <c r="E59" s="12">
        <f>_xlfn.XLOOKUP(packes[[#This Row],[productId]],bom[Id],bom[wgt])</f>
        <v>1.2670857028833682</v>
      </c>
      <c r="F59" s="12">
        <f>packes[[#This Row],[num]]*packes[[#This Row],[wtg]]</f>
        <v>2850.9428314875786</v>
      </c>
      <c r="G59" s="324">
        <v>2</v>
      </c>
      <c r="H59" s="21">
        <f>packes[[#This Row],[num]]-SUM(packes[[#This Row],[num2]])</f>
        <v>2250</v>
      </c>
      <c r="I59" s="324"/>
      <c r="J59" s="21"/>
      <c r="K59" s="287"/>
    </row>
    <row r="60" spans="1:11" ht="16.5">
      <c r="A60" s="1">
        <v>527</v>
      </c>
      <c r="B60" s="2" t="s">
        <v>273</v>
      </c>
      <c r="C60" s="1">
        <v>140030039</v>
      </c>
      <c r="D60" s="1">
        <v>2000</v>
      </c>
      <c r="E60" s="12">
        <f>_xlfn.XLOOKUP(packes[[#This Row],[productId]],bom[Id],bom[wgt])</f>
        <v>1.1413748378728923</v>
      </c>
      <c r="F60" s="12">
        <f>packes[[#This Row],[num]]*packes[[#This Row],[wtg]]</f>
        <v>2282.7496757457848</v>
      </c>
      <c r="G60" s="324" t="s">
        <v>240</v>
      </c>
      <c r="H60" s="21">
        <f>packes[[#This Row],[num]]-SUM(packes[[#This Row],[num2]])</f>
        <v>2000</v>
      </c>
      <c r="I60" s="324"/>
      <c r="J60" s="21"/>
      <c r="K60" s="287"/>
    </row>
    <row r="61" spans="1:11" ht="16.5">
      <c r="A61" s="1">
        <v>528</v>
      </c>
      <c r="B61" s="2" t="s">
        <v>273</v>
      </c>
      <c r="C61" s="1">
        <v>140030040</v>
      </c>
      <c r="D61" s="1">
        <v>1300</v>
      </c>
      <c r="E61" s="12">
        <f>_xlfn.XLOOKUP(packes[[#This Row],[productId]],bom[Id],bom[wgt])</f>
        <v>1.1092487279257708</v>
      </c>
      <c r="F61" s="12">
        <f>packes[[#This Row],[num]]*packes[[#This Row],[wtg]]</f>
        <v>1442.023346303502</v>
      </c>
      <c r="G61" s="324">
        <v>2</v>
      </c>
      <c r="H61" s="21">
        <f>packes[[#This Row],[num]]-SUM(packes[[#This Row],[num2]])</f>
        <v>900</v>
      </c>
      <c r="I61" s="324" t="s">
        <v>240</v>
      </c>
      <c r="J61" s="21">
        <v>400</v>
      </c>
      <c r="K61" s="287"/>
    </row>
    <row r="62" spans="1:11" ht="16.5">
      <c r="A62" s="1">
        <v>529</v>
      </c>
      <c r="B62" s="2" t="s">
        <v>273</v>
      </c>
      <c r="C62" s="1">
        <v>140010279</v>
      </c>
      <c r="D62" s="1">
        <v>100</v>
      </c>
      <c r="E62" s="12">
        <f>_xlfn.XLOOKUP(packes[[#This Row],[productId]],bom[Id],bom[wgt])</f>
        <v>1.0675446473111843</v>
      </c>
      <c r="F62" s="12">
        <f>packes[[#This Row],[num]]*packes[[#This Row],[wtg]]</f>
        <v>106.75446473111843</v>
      </c>
      <c r="G62" s="324">
        <v>1</v>
      </c>
      <c r="H62" s="21">
        <f>packes[[#This Row],[num]]-SUM(packes[[#This Row],[num2]])</f>
        <v>100</v>
      </c>
      <c r="I62" s="324"/>
      <c r="J62" s="21"/>
      <c r="K62" s="287"/>
    </row>
    <row r="63" spans="1:11" ht="16.5">
      <c r="A63" s="1">
        <v>530</v>
      </c>
      <c r="B63" s="2" t="s">
        <v>273</v>
      </c>
      <c r="C63" s="1">
        <v>140010280</v>
      </c>
      <c r="D63" s="1">
        <v>800</v>
      </c>
      <c r="E63" s="12">
        <f>_xlfn.XLOOKUP(packes[[#This Row],[productId]],bom[Id],bom[wgt])</f>
        <v>1.0775217000897934</v>
      </c>
      <c r="F63" s="12">
        <f>packes[[#This Row],[num]]*packes[[#This Row],[wtg]]</f>
        <v>862.01736007183479</v>
      </c>
      <c r="G63" s="324">
        <v>1</v>
      </c>
      <c r="H63" s="21">
        <f>packes[[#This Row],[num]]-SUM(packes[[#This Row],[num2]])</f>
        <v>800</v>
      </c>
      <c r="I63" s="324"/>
      <c r="J63" s="21"/>
      <c r="K63" s="287"/>
    </row>
    <row r="64" spans="1:11" ht="16.5">
      <c r="A64" s="1">
        <v>531</v>
      </c>
      <c r="B64" s="2" t="s">
        <v>273</v>
      </c>
      <c r="C64" s="1">
        <v>140010298</v>
      </c>
      <c r="D64" s="1">
        <v>630</v>
      </c>
      <c r="E64" s="12">
        <f>_xlfn.XLOOKUP(packes[[#This Row],[productId]],bom[Id],bom[wgt])</f>
        <v>1.2471315973261499</v>
      </c>
      <c r="F64" s="12">
        <f>packes[[#This Row],[num]]*packes[[#This Row],[wtg]]</f>
        <v>785.69290631547437</v>
      </c>
      <c r="G64" s="324">
        <v>1</v>
      </c>
      <c r="H64" s="21">
        <f>packes[[#This Row],[num]]-SUM(packes[[#This Row],[num2]])</f>
        <v>630</v>
      </c>
      <c r="I64" s="324"/>
      <c r="J64" s="21"/>
      <c r="K64" s="287"/>
    </row>
    <row r="65" spans="1:11" ht="16.5">
      <c r="A65" s="1">
        <v>532</v>
      </c>
      <c r="B65" s="2" t="s">
        <v>251</v>
      </c>
      <c r="C65" s="1">
        <v>140030039</v>
      </c>
      <c r="D65" s="1">
        <v>1800</v>
      </c>
      <c r="E65" s="12">
        <f>_xlfn.XLOOKUP(packes[[#This Row],[productId]],bom[Id],bom[wgt])</f>
        <v>1.1413748378728923</v>
      </c>
      <c r="F65" s="12">
        <f>packes[[#This Row],[num]]*packes[[#This Row],[wtg]]</f>
        <v>2054.4747081712062</v>
      </c>
      <c r="G65" s="324">
        <v>2</v>
      </c>
      <c r="H65" s="21">
        <f>packes[[#This Row],[num]]-SUM(packes[[#This Row],[num2]])</f>
        <v>1800</v>
      </c>
      <c r="I65" s="324"/>
      <c r="J65" s="21"/>
      <c r="K65" s="287"/>
    </row>
    <row r="66" spans="1:11" ht="16.5">
      <c r="A66" s="1">
        <v>533</v>
      </c>
      <c r="B66" s="2" t="s">
        <v>251</v>
      </c>
      <c r="C66" s="1">
        <v>140030040</v>
      </c>
      <c r="D66" s="1">
        <v>3500</v>
      </c>
      <c r="E66" s="12">
        <f>_xlfn.XLOOKUP(packes[[#This Row],[productId]],bom[Id],bom[wgt])</f>
        <v>1.1092487279257708</v>
      </c>
      <c r="F66" s="12">
        <f>packes[[#This Row],[num]]*packes[[#This Row],[wtg]]</f>
        <v>3882.3705477401977</v>
      </c>
      <c r="G66" s="324">
        <v>2</v>
      </c>
      <c r="H66" s="21">
        <f>packes[[#This Row],[num]]-SUM(packes[[#This Row],[num2]])</f>
        <v>3500</v>
      </c>
      <c r="I66" s="324"/>
      <c r="J66" s="21"/>
      <c r="K66" s="287"/>
    </row>
    <row r="67" spans="1:11" ht="16.5">
      <c r="A67" s="1">
        <v>534</v>
      </c>
      <c r="B67" s="2" t="s">
        <v>251</v>
      </c>
      <c r="C67" s="1">
        <v>140010280</v>
      </c>
      <c r="D67" s="1">
        <v>2200</v>
      </c>
      <c r="E67" s="12">
        <f>_xlfn.XLOOKUP(packes[[#This Row],[productId]],bom[Id],bom[wgt])</f>
        <v>1.0775217000897934</v>
      </c>
      <c r="F67" s="12">
        <f>packes[[#This Row],[num]]*packes[[#This Row],[wtg]]</f>
        <v>2370.5477401975454</v>
      </c>
      <c r="G67" s="324">
        <v>1</v>
      </c>
      <c r="H67" s="21">
        <f>packes[[#This Row],[num]]-SUM(packes[[#This Row],[num2]])</f>
        <v>2200</v>
      </c>
      <c r="I67" s="324"/>
      <c r="J67" s="21"/>
      <c r="K67" s="287"/>
    </row>
    <row r="68" spans="1:11" ht="16.5">
      <c r="A68" s="1">
        <v>535</v>
      </c>
      <c r="B68" s="2" t="s">
        <v>662</v>
      </c>
      <c r="C68" s="1">
        <v>140030039</v>
      </c>
      <c r="D68" s="1">
        <v>1300</v>
      </c>
      <c r="E68" s="12">
        <f>_xlfn.XLOOKUP(packes[[#This Row],[productId]],bom[Id],bom[wgt])</f>
        <v>1.1413748378728923</v>
      </c>
      <c r="F68" s="12">
        <f>packes[[#This Row],[num]]*packes[[#This Row],[wtg]]</f>
        <v>1483.78728923476</v>
      </c>
      <c r="G68" s="324">
        <v>2</v>
      </c>
      <c r="H68" s="21">
        <f>packes[[#This Row],[num]]-SUM(packes[[#This Row],[num2]])</f>
        <v>1300</v>
      </c>
      <c r="I68" s="324"/>
      <c r="J68" s="21"/>
      <c r="K68" s="287"/>
    </row>
    <row r="69" spans="1:11" ht="16.5">
      <c r="A69" s="1">
        <v>536</v>
      </c>
      <c r="B69" s="2" t="s">
        <v>662</v>
      </c>
      <c r="C69" s="1">
        <v>140030040</v>
      </c>
      <c r="D69" s="1">
        <v>2200</v>
      </c>
      <c r="E69" s="12">
        <f>_xlfn.XLOOKUP(packes[[#This Row],[productId]],bom[Id],bom[wgt])</f>
        <v>1.1092487279257708</v>
      </c>
      <c r="F69" s="12">
        <f>packes[[#This Row],[num]]*packes[[#This Row],[wtg]]</f>
        <v>2440.3472014366957</v>
      </c>
      <c r="G69" s="324">
        <v>2</v>
      </c>
      <c r="H69" s="21">
        <f>packes[[#This Row],[num]]-SUM(packes[[#This Row],[num2]])</f>
        <v>2200</v>
      </c>
      <c r="I69" s="324"/>
      <c r="J69" s="21"/>
      <c r="K69" s="287"/>
    </row>
    <row r="70" spans="1:11" ht="16.5">
      <c r="A70" s="1">
        <v>537</v>
      </c>
      <c r="B70" s="2" t="s">
        <v>662</v>
      </c>
      <c r="C70" s="1">
        <v>140010280</v>
      </c>
      <c r="D70" s="1">
        <v>3600</v>
      </c>
      <c r="E70" s="12">
        <f>_xlfn.XLOOKUP(packes[[#This Row],[productId]],bom[Id],bom[wgt])</f>
        <v>1.0775217000897934</v>
      </c>
      <c r="F70" s="12">
        <f>packes[[#This Row],[num]]*packes[[#This Row],[wtg]]</f>
        <v>3879.0781203232564</v>
      </c>
      <c r="G70" s="324">
        <v>1</v>
      </c>
      <c r="H70" s="21">
        <f>packes[[#This Row],[num]]-SUM(packes[[#This Row],[num2]])</f>
        <v>3600</v>
      </c>
      <c r="I70" s="324"/>
      <c r="J70" s="21"/>
      <c r="K70" s="287"/>
    </row>
    <row r="71" spans="1:11" ht="16.5">
      <c r="A71" s="1">
        <v>538</v>
      </c>
      <c r="B71" s="2" t="s">
        <v>253</v>
      </c>
      <c r="C71" s="1">
        <v>140020181</v>
      </c>
      <c r="D71" s="1">
        <v>75</v>
      </c>
      <c r="E71" s="12">
        <f>_xlfn.XLOOKUP(packes[[#This Row],[productId]],bom[Id],bom[wgt])</f>
        <v>1.2670857028833682</v>
      </c>
      <c r="F71" s="12">
        <f>packes[[#This Row],[num]]*packes[[#This Row],[wtg]]</f>
        <v>95.031427716252608</v>
      </c>
      <c r="G71" s="324">
        <v>2</v>
      </c>
      <c r="H71" s="21">
        <f>packes[[#This Row],[num]]-SUM(packes[[#This Row],[num2]])</f>
        <v>75</v>
      </c>
      <c r="I71" s="324"/>
      <c r="J71" s="21"/>
      <c r="K71" s="287"/>
    </row>
    <row r="72" spans="1:11" ht="16.5">
      <c r="A72" s="1">
        <v>539</v>
      </c>
      <c r="B72" s="2" t="s">
        <v>253</v>
      </c>
      <c r="C72" s="1">
        <v>140030040</v>
      </c>
      <c r="D72" s="1">
        <v>900</v>
      </c>
      <c r="E72" s="12">
        <f>_xlfn.XLOOKUP(packes[[#This Row],[productId]],bom[Id],bom[wgt])</f>
        <v>1.1092487279257708</v>
      </c>
      <c r="F72" s="12">
        <f>packes[[#This Row],[num]]*packes[[#This Row],[wtg]]</f>
        <v>998.32385513319366</v>
      </c>
      <c r="G72" s="324">
        <v>2</v>
      </c>
      <c r="H72" s="21">
        <f>packes[[#This Row],[num]]-SUM(packes[[#This Row],[num2]])</f>
        <v>900</v>
      </c>
      <c r="I72" s="324"/>
      <c r="J72" s="21"/>
      <c r="K72" s="287"/>
    </row>
    <row r="73" spans="1:11" ht="16.5">
      <c r="A73" s="1">
        <v>540</v>
      </c>
      <c r="B73" s="2" t="s">
        <v>253</v>
      </c>
      <c r="C73" s="1">
        <v>140310096</v>
      </c>
      <c r="D73" s="1">
        <v>1300</v>
      </c>
      <c r="E73" s="12">
        <f>_xlfn.XLOOKUP(packes[[#This Row],[productId]],bom[Id],bom[wgt])</f>
        <v>1.3</v>
      </c>
      <c r="F73" s="12">
        <f>packes[[#This Row],[num]]*packes[[#This Row],[wtg]]</f>
        <v>1690</v>
      </c>
      <c r="G73" s="324">
        <v>2</v>
      </c>
      <c r="H73" s="21">
        <f>packes[[#This Row],[num]]-SUM(packes[[#This Row],[num2]])</f>
        <v>1300</v>
      </c>
      <c r="I73" s="324"/>
      <c r="J73" s="21"/>
      <c r="K73" s="287"/>
    </row>
    <row r="74" spans="1:11" ht="16.5">
      <c r="A74" s="1">
        <v>541</v>
      </c>
      <c r="B74" s="2" t="s">
        <v>253</v>
      </c>
      <c r="C74" s="1">
        <v>140220012</v>
      </c>
      <c r="D74" s="1">
        <v>50</v>
      </c>
      <c r="E74" s="12">
        <f>_xlfn.XLOOKUP(packes[[#This Row],[productId]],bom[Id],bom[wgt])</f>
        <v>1.9455252918287937</v>
      </c>
      <c r="F74" s="12">
        <f>packes[[#This Row],[num]]*packes[[#This Row],[wtg]]</f>
        <v>97.276264591439684</v>
      </c>
      <c r="G74" s="324">
        <v>12</v>
      </c>
      <c r="H74" s="21">
        <f>packes[[#This Row],[num]]-SUM(packes[[#This Row],[num2]])</f>
        <v>50</v>
      </c>
      <c r="I74" s="324"/>
      <c r="J74" s="21"/>
      <c r="K74" s="287"/>
    </row>
    <row r="75" spans="1:11" ht="16.5">
      <c r="A75" s="1">
        <v>542</v>
      </c>
      <c r="B75" s="2" t="s">
        <v>253</v>
      </c>
      <c r="C75" s="1">
        <v>140010279</v>
      </c>
      <c r="D75" s="1">
        <v>1600</v>
      </c>
      <c r="E75" s="12">
        <f>_xlfn.XLOOKUP(packes[[#This Row],[productId]],bom[Id],bom[wgt])</f>
        <v>1.0675446473111843</v>
      </c>
      <c r="F75" s="12">
        <f>packes[[#This Row],[num]]*packes[[#This Row],[wtg]]</f>
        <v>1708.0714356978949</v>
      </c>
      <c r="G75" s="324">
        <v>1</v>
      </c>
      <c r="H75" s="21">
        <f>packes[[#This Row],[num]]-SUM(packes[[#This Row],[num2]])</f>
        <v>1600</v>
      </c>
      <c r="I75" s="324"/>
      <c r="J75" s="21"/>
      <c r="K75" s="287"/>
    </row>
    <row r="76" spans="1:11" ht="16.5">
      <c r="A76" s="1">
        <v>543</v>
      </c>
      <c r="B76" s="2" t="s">
        <v>253</v>
      </c>
      <c r="C76" s="1">
        <v>140010280</v>
      </c>
      <c r="D76" s="1">
        <v>1400</v>
      </c>
      <c r="E76" s="12">
        <f>_xlfn.XLOOKUP(packes[[#This Row],[productId]],bom[Id],bom[wgt])</f>
        <v>1.0775217000897934</v>
      </c>
      <c r="F76" s="12">
        <f>packes[[#This Row],[num]]*packes[[#This Row],[wtg]]</f>
        <v>1508.5303801257107</v>
      </c>
      <c r="G76" s="324">
        <v>1</v>
      </c>
      <c r="H76" s="21">
        <f>packes[[#This Row],[num]]-SUM(packes[[#This Row],[num2]])</f>
        <v>1400</v>
      </c>
      <c r="I76" s="324"/>
      <c r="J76" s="21"/>
      <c r="K76" s="287"/>
    </row>
    <row r="77" spans="1:11" ht="16.5">
      <c r="A77" s="1">
        <v>544</v>
      </c>
      <c r="B77" s="2" t="s">
        <v>668</v>
      </c>
      <c r="C77" s="1">
        <v>140010117</v>
      </c>
      <c r="D77" s="1">
        <v>1950</v>
      </c>
      <c r="E77" s="12">
        <f>_xlfn.XLOOKUP(packes[[#This Row],[productId]],bom[Id],bom[wgt])</f>
        <v>1</v>
      </c>
      <c r="F77" s="12">
        <f>packes[[#This Row],[num]]*packes[[#This Row],[wtg]]</f>
        <v>1950</v>
      </c>
      <c r="G77" s="324">
        <v>2</v>
      </c>
      <c r="H77" s="21">
        <f>packes[[#This Row],[num]]-SUM(packes[[#This Row],[num2]])</f>
        <v>1850</v>
      </c>
      <c r="I77" s="324" t="s">
        <v>240</v>
      </c>
      <c r="J77" s="21">
        <v>100</v>
      </c>
      <c r="K77" s="287"/>
    </row>
    <row r="78" spans="1:11" ht="16.5">
      <c r="A78" s="1">
        <v>545</v>
      </c>
      <c r="B78" s="2" t="s">
        <v>668</v>
      </c>
      <c r="C78" s="1">
        <v>140010230</v>
      </c>
      <c r="D78" s="1">
        <v>300</v>
      </c>
      <c r="E78" s="12">
        <f>_xlfn.XLOOKUP(packes[[#This Row],[productId]],bom[Id],bom[wgt])</f>
        <v>1.4486680634540554</v>
      </c>
      <c r="F78" s="12">
        <f>packes[[#This Row],[num]]*packes[[#This Row],[wtg]]</f>
        <v>434.60041903621664</v>
      </c>
      <c r="G78" s="324">
        <v>2</v>
      </c>
      <c r="H78" s="21">
        <f>packes[[#This Row],[num]]-SUM(packes[[#This Row],[num2]])</f>
        <v>300</v>
      </c>
      <c r="I78" s="324"/>
      <c r="J78" s="21"/>
      <c r="K78" s="287"/>
    </row>
    <row r="79" spans="1:11" ht="16.5">
      <c r="A79" s="1">
        <v>546</v>
      </c>
      <c r="B79" s="2" t="s">
        <v>668</v>
      </c>
      <c r="C79" s="1">
        <v>140030039</v>
      </c>
      <c r="D79" s="1">
        <v>1500</v>
      </c>
      <c r="E79" s="12">
        <f>_xlfn.XLOOKUP(packes[[#This Row],[productId]],bom[Id],bom[wgt])</f>
        <v>1.1413748378728923</v>
      </c>
      <c r="F79" s="12">
        <f>packes[[#This Row],[num]]*packes[[#This Row],[wtg]]</f>
        <v>1712.0622568093384</v>
      </c>
      <c r="G79" s="324">
        <v>2</v>
      </c>
      <c r="H79" s="21">
        <f>packes[[#This Row],[num]]-SUM(packes[[#This Row],[num2]])</f>
        <v>1500</v>
      </c>
      <c r="I79" s="324"/>
      <c r="J79" s="21"/>
      <c r="K79" s="287"/>
    </row>
    <row r="80" spans="1:11" ht="16.5">
      <c r="A80" s="1">
        <v>547</v>
      </c>
      <c r="B80" s="2" t="s">
        <v>668</v>
      </c>
      <c r="C80" s="1">
        <v>140310096</v>
      </c>
      <c r="D80" s="1">
        <v>600</v>
      </c>
      <c r="E80" s="12">
        <f>_xlfn.XLOOKUP(packes[[#This Row],[productId]],bom[Id],bom[wgt])</f>
        <v>1.3</v>
      </c>
      <c r="F80" s="12">
        <f>packes[[#This Row],[num]]*packes[[#This Row],[wtg]]</f>
        <v>780</v>
      </c>
      <c r="G80" s="324">
        <v>2</v>
      </c>
      <c r="H80" s="21">
        <f>packes[[#This Row],[num]]-SUM(packes[[#This Row],[num2]])</f>
        <v>600</v>
      </c>
      <c r="I80" s="324"/>
      <c r="J80" s="21"/>
      <c r="K80" s="287"/>
    </row>
    <row r="81" spans="1:11" ht="16.5">
      <c r="A81" s="1">
        <v>548</v>
      </c>
      <c r="B81" s="2" t="s">
        <v>668</v>
      </c>
      <c r="C81" s="1">
        <v>140010279</v>
      </c>
      <c r="D81" s="1">
        <v>3600</v>
      </c>
      <c r="E81" s="12">
        <f>_xlfn.XLOOKUP(packes[[#This Row],[productId]],bom[Id],bom[wgt])</f>
        <v>1.0675446473111843</v>
      </c>
      <c r="F81" s="12">
        <f>packes[[#This Row],[num]]*packes[[#This Row],[wtg]]</f>
        <v>3843.1607303202632</v>
      </c>
      <c r="G81" s="324">
        <v>1</v>
      </c>
      <c r="H81" s="21">
        <f>packes[[#This Row],[num]]-SUM(packes[[#This Row],[num2]])</f>
        <v>3600</v>
      </c>
      <c r="I81" s="324"/>
      <c r="J81" s="21"/>
      <c r="K81" s="287"/>
    </row>
    <row r="82" spans="1:11" ht="16.5">
      <c r="A82" s="1">
        <v>549</v>
      </c>
      <c r="B82" s="2" t="s">
        <v>668</v>
      </c>
      <c r="C82" s="1">
        <v>140010295</v>
      </c>
      <c r="D82" s="1">
        <v>105</v>
      </c>
      <c r="E82" s="12">
        <f>_xlfn.XLOOKUP(packes[[#This Row],[productId]],bom[Id],bom[wgt])</f>
        <v>1.1274069639828395</v>
      </c>
      <c r="F82" s="12">
        <f>packes[[#This Row],[num]]*packes[[#This Row],[wtg]]</f>
        <v>118.37773121819815</v>
      </c>
      <c r="G82" s="324">
        <v>1</v>
      </c>
      <c r="H82" s="21">
        <f>packes[[#This Row],[num]]-SUM(packes[[#This Row],[num2]])</f>
        <v>105</v>
      </c>
      <c r="I82" s="324"/>
      <c r="J82" s="21"/>
      <c r="K82" s="287"/>
    </row>
    <row r="83" spans="1:11" ht="16.5">
      <c r="A83" s="1">
        <v>550</v>
      </c>
      <c r="B83" s="2" t="s">
        <v>689</v>
      </c>
      <c r="C83" s="1">
        <v>140310058</v>
      </c>
      <c r="D83" s="1">
        <v>1300</v>
      </c>
      <c r="E83" s="12">
        <f>_xlfn.XLOOKUP(packes[[#This Row],[productId]],bom[Id],bom[wgt])</f>
        <v>1.3469021251122417</v>
      </c>
      <c r="F83" s="12">
        <f>packes[[#This Row],[num]]*packes[[#This Row],[wtg]]</f>
        <v>1750.9727626459141</v>
      </c>
      <c r="G83" s="324">
        <v>2</v>
      </c>
      <c r="H83" s="21">
        <f>packes[[#This Row],[num]]-SUM(packes[[#This Row],[num2]])</f>
        <v>1300</v>
      </c>
      <c r="I83" s="324"/>
      <c r="J83" s="21"/>
      <c r="K83" s="287"/>
    </row>
    <row r="84" spans="1:11" ht="16.5">
      <c r="A84" s="1">
        <v>551</v>
      </c>
      <c r="B84" s="2" t="s">
        <v>278</v>
      </c>
      <c r="C84" s="1">
        <v>140010117</v>
      </c>
      <c r="D84" s="1">
        <v>1800</v>
      </c>
      <c r="E84" s="12">
        <f>_xlfn.XLOOKUP(packes[[#This Row],[productId]],bom[Id],bom[wgt])</f>
        <v>1</v>
      </c>
      <c r="F84" s="12">
        <f>packes[[#This Row],[num]]*packes[[#This Row],[wtg]]</f>
        <v>1800</v>
      </c>
      <c r="G84" s="324">
        <v>2</v>
      </c>
      <c r="H84" s="21">
        <f>packes[[#This Row],[num]]-SUM(packes[[#This Row],[num2]])</f>
        <v>1800</v>
      </c>
      <c r="I84" s="324"/>
      <c r="J84" s="21"/>
      <c r="K84" s="287"/>
    </row>
    <row r="85" spans="1:11" ht="16.5">
      <c r="A85" s="1">
        <v>552</v>
      </c>
      <c r="B85" s="2" t="s">
        <v>278</v>
      </c>
      <c r="C85" s="1">
        <v>140010230</v>
      </c>
      <c r="D85" s="1">
        <v>2850</v>
      </c>
      <c r="E85" s="12">
        <f>_xlfn.XLOOKUP(packes[[#This Row],[productId]],bom[Id],bom[wgt])</f>
        <v>1.4486680634540554</v>
      </c>
      <c r="F85" s="12">
        <f>packes[[#This Row],[num]]*packes[[#This Row],[wtg]]</f>
        <v>4128.7039808440577</v>
      </c>
      <c r="G85" s="324">
        <v>2</v>
      </c>
      <c r="H85" s="21">
        <f>packes[[#This Row],[num]]-SUM(packes[[#This Row],[num2]])</f>
        <v>2850</v>
      </c>
      <c r="I85" s="324"/>
      <c r="J85" s="21"/>
      <c r="K85" s="287"/>
    </row>
    <row r="86" spans="1:11" ht="16.5">
      <c r="A86" s="1">
        <v>553</v>
      </c>
      <c r="B86" s="2" t="s">
        <v>278</v>
      </c>
      <c r="C86" s="1">
        <v>140010255</v>
      </c>
      <c r="D86" s="1">
        <v>600</v>
      </c>
      <c r="E86" s="12">
        <f>_xlfn.XLOOKUP(packes[[#This Row],[productId]],bom[Id],bom[wgt])</f>
        <v>1</v>
      </c>
      <c r="F86" s="12">
        <f>packes[[#This Row],[num]]*packes[[#This Row],[wtg]]</f>
        <v>600</v>
      </c>
      <c r="G86" s="324">
        <v>2</v>
      </c>
      <c r="H86" s="21">
        <f>packes[[#This Row],[num]]-SUM(packes[[#This Row],[num2]])</f>
        <v>600</v>
      </c>
      <c r="I86" s="324"/>
      <c r="J86" s="21"/>
      <c r="K86" s="287"/>
    </row>
    <row r="87" spans="1:11" ht="16.5">
      <c r="A87" s="1">
        <v>554</v>
      </c>
      <c r="B87" s="2" t="s">
        <v>278</v>
      </c>
      <c r="C87" s="1">
        <v>140310096</v>
      </c>
      <c r="D87" s="1">
        <v>1000</v>
      </c>
      <c r="E87" s="12">
        <f>_xlfn.XLOOKUP(packes[[#This Row],[productId]],bom[Id],bom[wgt])</f>
        <v>1.3</v>
      </c>
      <c r="F87" s="12">
        <f>packes[[#This Row],[num]]*packes[[#This Row],[wtg]]</f>
        <v>1300</v>
      </c>
      <c r="G87" s="324">
        <v>2</v>
      </c>
      <c r="H87" s="21">
        <f>packes[[#This Row],[num]]-SUM(packes[[#This Row],[num2]])</f>
        <v>1000</v>
      </c>
      <c r="I87" s="324"/>
      <c r="J87" s="21"/>
      <c r="K87" s="287"/>
    </row>
    <row r="88" spans="1:11" ht="16.5">
      <c r="A88" s="1">
        <v>555</v>
      </c>
      <c r="B88" s="2" t="s">
        <v>278</v>
      </c>
      <c r="C88" s="1">
        <v>140010279</v>
      </c>
      <c r="D88" s="1">
        <v>1600</v>
      </c>
      <c r="E88" s="12">
        <f>_xlfn.XLOOKUP(packes[[#This Row],[productId]],bom[Id],bom[wgt])</f>
        <v>1.0675446473111843</v>
      </c>
      <c r="F88" s="12">
        <f>packes[[#This Row],[num]]*packes[[#This Row],[wtg]]</f>
        <v>1708.0714356978949</v>
      </c>
      <c r="G88" s="324">
        <v>1</v>
      </c>
      <c r="H88" s="21">
        <f>packes[[#This Row],[num]]-SUM(packes[[#This Row],[num2]])</f>
        <v>1600</v>
      </c>
      <c r="I88" s="324"/>
      <c r="J88" s="21"/>
      <c r="K88" s="287"/>
    </row>
    <row r="89" spans="1:11" ht="16.5">
      <c r="A89" s="1">
        <v>556</v>
      </c>
      <c r="B89" s="2" t="s">
        <v>690</v>
      </c>
      <c r="C89" s="1">
        <v>140010117</v>
      </c>
      <c r="D89" s="1">
        <v>750</v>
      </c>
      <c r="E89" s="12">
        <f>_xlfn.XLOOKUP(packes[[#This Row],[productId]],bom[Id],bom[wgt])</f>
        <v>1</v>
      </c>
      <c r="F89" s="12">
        <f>packes[[#This Row],[num]]*packes[[#This Row],[wtg]]</f>
        <v>750</v>
      </c>
      <c r="G89" s="324">
        <v>2</v>
      </c>
      <c r="H89" s="21">
        <f>packes[[#This Row],[num]]-SUM(packes[[#This Row],[num2]])</f>
        <v>750</v>
      </c>
      <c r="I89" s="324"/>
      <c r="J89" s="21"/>
      <c r="K89" s="287"/>
    </row>
    <row r="90" spans="1:11" ht="16.5">
      <c r="A90" s="1">
        <v>557</v>
      </c>
      <c r="B90" s="2" t="s">
        <v>690</v>
      </c>
      <c r="C90" s="1">
        <v>140010230</v>
      </c>
      <c r="D90" s="1">
        <v>1700</v>
      </c>
      <c r="E90" s="12">
        <f>_xlfn.XLOOKUP(packes[[#This Row],[productId]],bom[Id],bom[wgt])</f>
        <v>1.4486680634540554</v>
      </c>
      <c r="F90" s="12">
        <f>packes[[#This Row],[num]]*packes[[#This Row],[wtg]]</f>
        <v>2462.7357078718942</v>
      </c>
      <c r="G90" s="324">
        <v>2</v>
      </c>
      <c r="H90" s="21">
        <f>packes[[#This Row],[num]]-SUM(packes[[#This Row],[num2]])</f>
        <v>1700</v>
      </c>
      <c r="I90" s="324"/>
      <c r="J90" s="21"/>
      <c r="K90" s="287"/>
    </row>
    <row r="91" spans="1:11" ht="16.5">
      <c r="A91" s="1">
        <v>558</v>
      </c>
      <c r="B91" s="2" t="s">
        <v>690</v>
      </c>
      <c r="C91" s="1">
        <v>140010255</v>
      </c>
      <c r="D91" s="1">
        <v>400</v>
      </c>
      <c r="E91" s="12">
        <f>_xlfn.XLOOKUP(packes[[#This Row],[productId]],bom[Id],bom[wgt])</f>
        <v>1</v>
      </c>
      <c r="F91" s="12">
        <f>packes[[#This Row],[num]]*packes[[#This Row],[wtg]]</f>
        <v>400</v>
      </c>
      <c r="G91" s="324">
        <v>2</v>
      </c>
      <c r="H91" s="21">
        <f>packes[[#This Row],[num]]-SUM(packes[[#This Row],[num2]])</f>
        <v>400</v>
      </c>
      <c r="I91" s="324"/>
      <c r="J91" s="21"/>
      <c r="K91" s="287"/>
    </row>
    <row r="92" spans="1:11" ht="16.5">
      <c r="A92" s="1">
        <v>559</v>
      </c>
      <c r="B92" s="2" t="s">
        <v>690</v>
      </c>
      <c r="C92" s="1">
        <v>140030039</v>
      </c>
      <c r="D92" s="1">
        <v>2200</v>
      </c>
      <c r="E92" s="12">
        <f>_xlfn.XLOOKUP(packes[[#This Row],[productId]],bom[Id],bom[wgt])</f>
        <v>1.1413748378728923</v>
      </c>
      <c r="F92" s="12">
        <f>packes[[#This Row],[num]]*packes[[#This Row],[wtg]]</f>
        <v>2511.0246433203629</v>
      </c>
      <c r="G92" s="324">
        <v>2</v>
      </c>
      <c r="H92" s="21">
        <f>packes[[#This Row],[num]]-SUM(packes[[#This Row],[num2]])</f>
        <v>2200</v>
      </c>
      <c r="I92" s="324"/>
      <c r="J92" s="21"/>
      <c r="K92" s="287"/>
    </row>
    <row r="93" spans="1:11" ht="16.5">
      <c r="A93" s="1">
        <v>560</v>
      </c>
      <c r="B93" s="2" t="s">
        <v>690</v>
      </c>
      <c r="C93" s="1">
        <v>140310096</v>
      </c>
      <c r="D93" s="1">
        <v>100</v>
      </c>
      <c r="E93" s="12">
        <f>_xlfn.XLOOKUP(packes[[#This Row],[productId]],bom[Id],bom[wgt])</f>
        <v>1.3</v>
      </c>
      <c r="F93" s="12">
        <f>packes[[#This Row],[num]]*packes[[#This Row],[wtg]]</f>
        <v>130</v>
      </c>
      <c r="G93" s="324">
        <v>2</v>
      </c>
      <c r="H93" s="21">
        <f>packes[[#This Row],[num]]-SUM(packes[[#This Row],[num2]])</f>
        <v>100</v>
      </c>
      <c r="I93" s="324"/>
      <c r="J93" s="21"/>
      <c r="K93" s="287"/>
    </row>
    <row r="94" spans="1:11" ht="16.5">
      <c r="A94" s="1">
        <v>561</v>
      </c>
      <c r="B94" s="2" t="s">
        <v>690</v>
      </c>
      <c r="C94" s="1">
        <v>140010279</v>
      </c>
      <c r="D94" s="1">
        <v>603</v>
      </c>
      <c r="E94" s="12">
        <f>_xlfn.XLOOKUP(packes[[#This Row],[productId]],bom[Id],bom[wgt])</f>
        <v>1.0675446473111843</v>
      </c>
      <c r="F94" s="12">
        <f>packes[[#This Row],[num]]*packes[[#This Row],[wtg]]</f>
        <v>643.72942232864409</v>
      </c>
      <c r="G94" s="324">
        <v>1</v>
      </c>
      <c r="H94" s="21">
        <f>packes[[#This Row],[num]]-SUM(packes[[#This Row],[num2]])</f>
        <v>603</v>
      </c>
      <c r="I94" s="324"/>
      <c r="J94" s="21"/>
      <c r="K94" s="287"/>
    </row>
    <row r="95" spans="1:11" ht="16.5">
      <c r="A95" s="1">
        <v>562</v>
      </c>
      <c r="B95" s="2" t="s">
        <v>691</v>
      </c>
      <c r="C95" s="1">
        <v>140010117</v>
      </c>
      <c r="D95" s="1">
        <v>975</v>
      </c>
      <c r="E95" s="12">
        <f>_xlfn.XLOOKUP(packes[[#This Row],[productId]],bom[Id],bom[wgt])</f>
        <v>1</v>
      </c>
      <c r="F95" s="12">
        <f>packes[[#This Row],[num]]*packes[[#This Row],[wtg]]</f>
        <v>975</v>
      </c>
      <c r="G95" s="324">
        <v>2</v>
      </c>
      <c r="H95" s="21">
        <f>packes[[#This Row],[num]]-SUM(packes[[#This Row],[num2]])</f>
        <v>975</v>
      </c>
      <c r="I95" s="324"/>
      <c r="J95" s="21"/>
      <c r="K95" s="287"/>
    </row>
    <row r="96" spans="1:11" ht="16.5">
      <c r="A96" s="1">
        <v>563</v>
      </c>
      <c r="B96" s="2" t="s">
        <v>691</v>
      </c>
      <c r="C96" s="1">
        <v>140010230</v>
      </c>
      <c r="D96" s="1">
        <v>3000</v>
      </c>
      <c r="E96" s="12">
        <f>_xlfn.XLOOKUP(packes[[#This Row],[productId]],bom[Id],bom[wgt])</f>
        <v>1.4486680634540554</v>
      </c>
      <c r="F96" s="12">
        <f>packes[[#This Row],[num]]*packes[[#This Row],[wtg]]</f>
        <v>4346.0041903621659</v>
      </c>
      <c r="G96" s="324">
        <v>2</v>
      </c>
      <c r="H96" s="21">
        <f>packes[[#This Row],[num]]-SUM(packes[[#This Row],[num2]])</f>
        <v>3000</v>
      </c>
      <c r="I96" s="324"/>
      <c r="J96" s="21"/>
      <c r="K96" s="287"/>
    </row>
    <row r="97" spans="1:11" ht="16.5">
      <c r="A97" s="1">
        <v>564</v>
      </c>
      <c r="B97" s="2" t="s">
        <v>691</v>
      </c>
      <c r="C97" s="1">
        <v>140030039</v>
      </c>
      <c r="D97" s="1">
        <v>600</v>
      </c>
      <c r="E97" s="12">
        <f>_xlfn.XLOOKUP(packes[[#This Row],[productId]],bom[Id],bom[wgt])</f>
        <v>1.1413748378728923</v>
      </c>
      <c r="F97" s="12">
        <f>packes[[#This Row],[num]]*packes[[#This Row],[wtg]]</f>
        <v>684.82490272373536</v>
      </c>
      <c r="G97" s="324" t="s">
        <v>1051</v>
      </c>
      <c r="H97" s="21">
        <f>packes[[#This Row],[num]]-SUM(packes[[#This Row],[num2]])</f>
        <v>600</v>
      </c>
      <c r="I97" s="324"/>
      <c r="J97" s="21"/>
      <c r="K97" s="287"/>
    </row>
    <row r="98" spans="1:11" ht="16.5">
      <c r="A98" s="1">
        <v>565</v>
      </c>
      <c r="B98" s="2" t="s">
        <v>691</v>
      </c>
      <c r="C98" s="1">
        <v>140030040</v>
      </c>
      <c r="D98" s="1">
        <v>500</v>
      </c>
      <c r="E98" s="12">
        <f>_xlfn.XLOOKUP(packes[[#This Row],[productId]],bom[Id],bom[wgt])</f>
        <v>1.1092487279257708</v>
      </c>
      <c r="F98" s="12">
        <f>packes[[#This Row],[num]]*packes[[#This Row],[wtg]]</f>
        <v>554.62436396288535</v>
      </c>
      <c r="G98" s="324">
        <v>2</v>
      </c>
      <c r="H98" s="21">
        <f>packes[[#This Row],[num]]-SUM(packes[[#This Row],[num2]])</f>
        <v>500</v>
      </c>
      <c r="I98" s="324"/>
      <c r="J98" s="21"/>
      <c r="K98" s="287"/>
    </row>
    <row r="99" spans="1:11" ht="16.5">
      <c r="A99" s="1">
        <v>566</v>
      </c>
      <c r="B99" s="2" t="s">
        <v>691</v>
      </c>
      <c r="C99" s="1">
        <v>140310058</v>
      </c>
      <c r="D99" s="1">
        <v>800</v>
      </c>
      <c r="E99" s="12">
        <f>_xlfn.XLOOKUP(packes[[#This Row],[productId]],bom[Id],bom[wgt])</f>
        <v>1.3469021251122417</v>
      </c>
      <c r="F99" s="12">
        <f>packes[[#This Row],[num]]*packes[[#This Row],[wtg]]</f>
        <v>1077.5217000897933</v>
      </c>
      <c r="G99" s="324">
        <v>2</v>
      </c>
      <c r="H99" s="21">
        <f>packes[[#This Row],[num]]-SUM(packes[[#This Row],[num2]])</f>
        <v>800</v>
      </c>
      <c r="I99" s="324"/>
      <c r="J99" s="21"/>
      <c r="K99" s="287"/>
    </row>
    <row r="100" spans="1:11" ht="16.5">
      <c r="A100" s="1">
        <v>567</v>
      </c>
      <c r="B100" s="2" t="s">
        <v>256</v>
      </c>
      <c r="C100" s="1">
        <v>140010117</v>
      </c>
      <c r="D100" s="1">
        <v>300</v>
      </c>
      <c r="E100" s="12">
        <f>_xlfn.XLOOKUP(packes[[#This Row],[productId]],bom[Id],bom[wgt])</f>
        <v>1</v>
      </c>
      <c r="F100" s="12">
        <f>packes[[#This Row],[num]]*packes[[#This Row],[wtg]]</f>
        <v>300</v>
      </c>
      <c r="G100" s="324">
        <v>2</v>
      </c>
      <c r="H100" s="21">
        <f>packes[[#This Row],[num]]-SUM(packes[[#This Row],[num2]])</f>
        <v>300</v>
      </c>
      <c r="I100" s="324"/>
      <c r="J100" s="21"/>
      <c r="K100" s="287"/>
    </row>
    <row r="101" spans="1:11" ht="16.5">
      <c r="A101" s="1">
        <v>568</v>
      </c>
      <c r="B101" s="2" t="s">
        <v>256</v>
      </c>
      <c r="C101" s="1">
        <v>140010230</v>
      </c>
      <c r="D101" s="1">
        <v>1000</v>
      </c>
      <c r="E101" s="12">
        <f>_xlfn.XLOOKUP(packes[[#This Row],[productId]],bom[Id],bom[wgt])</f>
        <v>1.4486680634540554</v>
      </c>
      <c r="F101" s="12">
        <f>packes[[#This Row],[num]]*packes[[#This Row],[wtg]]</f>
        <v>1448.6680634540553</v>
      </c>
      <c r="G101" s="324">
        <v>2</v>
      </c>
      <c r="H101" s="21">
        <f>packes[[#This Row],[num]]-SUM(packes[[#This Row],[num2]])</f>
        <v>1000</v>
      </c>
      <c r="I101" s="324"/>
      <c r="J101" s="21"/>
      <c r="K101" s="287"/>
    </row>
    <row r="102" spans="1:11" ht="16.5">
      <c r="A102" s="1">
        <v>569</v>
      </c>
      <c r="B102" s="2" t="s">
        <v>256</v>
      </c>
      <c r="C102" s="1">
        <v>140030039</v>
      </c>
      <c r="D102" s="1">
        <v>100</v>
      </c>
      <c r="E102" s="12">
        <f>_xlfn.XLOOKUP(packes[[#This Row],[productId]],bom[Id],bom[wgt])</f>
        <v>1.1413748378728923</v>
      </c>
      <c r="F102" s="12">
        <f>packes[[#This Row],[num]]*packes[[#This Row],[wtg]]</f>
        <v>114.13748378728923</v>
      </c>
      <c r="G102" s="324" t="s">
        <v>1051</v>
      </c>
      <c r="H102" s="21">
        <f>packes[[#This Row],[num]]-SUM(packes[[#This Row],[num2]])</f>
        <v>100</v>
      </c>
      <c r="I102" s="324"/>
      <c r="J102" s="21"/>
      <c r="K102" s="287"/>
    </row>
    <row r="103" spans="1:11" ht="16.5">
      <c r="A103" s="1">
        <v>570</v>
      </c>
      <c r="B103" s="2" t="s">
        <v>256</v>
      </c>
      <c r="C103" s="1">
        <v>140310058</v>
      </c>
      <c r="D103" s="1">
        <v>1500</v>
      </c>
      <c r="E103" s="12">
        <f>_xlfn.XLOOKUP(packes[[#This Row],[productId]],bom[Id],bom[wgt])</f>
        <v>1.3469021251122417</v>
      </c>
      <c r="F103" s="12">
        <f>packes[[#This Row],[num]]*packes[[#This Row],[wtg]]</f>
        <v>2020.3531876683626</v>
      </c>
      <c r="G103" s="324">
        <v>2</v>
      </c>
      <c r="H103" s="21">
        <f>packes[[#This Row],[num]]-SUM(packes[[#This Row],[num2]])</f>
        <v>1500</v>
      </c>
      <c r="I103" s="324"/>
      <c r="J103" s="21"/>
      <c r="K103" s="287"/>
    </row>
    <row r="104" spans="1:11" ht="16.5">
      <c r="A104" s="1">
        <v>571</v>
      </c>
      <c r="B104" s="2" t="s">
        <v>256</v>
      </c>
      <c r="C104" s="1">
        <v>140010280</v>
      </c>
      <c r="D104" s="1">
        <v>99</v>
      </c>
      <c r="E104" s="12">
        <f>_xlfn.XLOOKUP(packes[[#This Row],[productId]],bom[Id],bom[wgt])</f>
        <v>1.0775217000897934</v>
      </c>
      <c r="F104" s="12">
        <f>packes[[#This Row],[num]]*packes[[#This Row],[wtg]]</f>
        <v>106.67464830888954</v>
      </c>
      <c r="G104" s="324">
        <v>1</v>
      </c>
      <c r="H104" s="21">
        <f>packes[[#This Row],[num]]-SUM(packes[[#This Row],[num2]])</f>
        <v>99</v>
      </c>
      <c r="I104" s="324"/>
      <c r="J104" s="21"/>
      <c r="K104" s="287"/>
    </row>
    <row r="105" spans="1:11" ht="16.5">
      <c r="A105" s="1">
        <v>572</v>
      </c>
      <c r="B105" s="2" t="s">
        <v>256</v>
      </c>
      <c r="C105" s="1">
        <v>141320055</v>
      </c>
      <c r="D105" s="1">
        <v>3200</v>
      </c>
      <c r="E105" s="12">
        <f>_xlfn.XLOOKUP(packes[[#This Row],[productId]],bom[Id],bom[wgt])</f>
        <v>1.1274069639828395</v>
      </c>
      <c r="F105" s="12">
        <f>packes[[#This Row],[num]]*packes[[#This Row],[wtg]]</f>
        <v>3607.7022847450862</v>
      </c>
      <c r="G105" s="324">
        <v>2</v>
      </c>
      <c r="H105" s="21">
        <f>packes[[#This Row],[num]]-SUM(packes[[#This Row],[num2]])</f>
        <v>3200</v>
      </c>
      <c r="I105" s="324"/>
      <c r="J105" s="21"/>
      <c r="K105" s="287"/>
    </row>
    <row r="106" spans="1:11" ht="16.5">
      <c r="A106" s="1">
        <v>573</v>
      </c>
      <c r="B106" s="2" t="s">
        <v>692</v>
      </c>
      <c r="C106" s="1">
        <v>140010230</v>
      </c>
      <c r="D106" s="1">
        <v>450</v>
      </c>
      <c r="E106" s="12">
        <f>_xlfn.XLOOKUP(packes[[#This Row],[productId]],bom[Id],bom[wgt])</f>
        <v>1.4486680634540554</v>
      </c>
      <c r="F106" s="12">
        <f>packes[[#This Row],[num]]*packes[[#This Row],[wtg]]</f>
        <v>651.90062855432495</v>
      </c>
      <c r="G106" s="324">
        <v>2</v>
      </c>
      <c r="H106" s="21">
        <f>packes[[#This Row],[num]]-SUM(packes[[#This Row],[num2]])</f>
        <v>450</v>
      </c>
      <c r="I106" s="324"/>
      <c r="J106" s="21"/>
      <c r="K106" s="287"/>
    </row>
    <row r="107" spans="1:11" ht="16.5">
      <c r="A107" s="1">
        <v>574</v>
      </c>
      <c r="B107" s="2" t="s">
        <v>692</v>
      </c>
      <c r="C107" s="1">
        <v>140030039</v>
      </c>
      <c r="D107" s="1">
        <v>200</v>
      </c>
      <c r="E107" s="12">
        <f>_xlfn.XLOOKUP(packes[[#This Row],[productId]],bom[Id],bom[wgt])</f>
        <v>1.1413748378728923</v>
      </c>
      <c r="F107" s="12">
        <f>packes[[#This Row],[num]]*packes[[#This Row],[wtg]]</f>
        <v>228.27496757457845</v>
      </c>
      <c r="G107" s="324" t="s">
        <v>1051</v>
      </c>
      <c r="H107" s="21">
        <f>packes[[#This Row],[num]]-SUM(packes[[#This Row],[num2]])</f>
        <v>200</v>
      </c>
      <c r="I107" s="324"/>
      <c r="J107" s="21"/>
      <c r="K107" s="287"/>
    </row>
    <row r="108" spans="1:11" ht="16.5">
      <c r="A108" s="1">
        <v>575</v>
      </c>
      <c r="B108" s="2" t="s">
        <v>692</v>
      </c>
      <c r="C108" s="1">
        <v>140030040</v>
      </c>
      <c r="D108" s="1">
        <v>1500</v>
      </c>
      <c r="E108" s="12">
        <f>_xlfn.XLOOKUP(packes[[#This Row],[productId]],bom[Id],bom[wgt])</f>
        <v>1.1092487279257708</v>
      </c>
      <c r="F108" s="12">
        <f>packes[[#This Row],[num]]*packes[[#This Row],[wtg]]</f>
        <v>1663.8730918886561</v>
      </c>
      <c r="G108" s="324" t="s">
        <v>1051</v>
      </c>
      <c r="H108" s="21">
        <f>packes[[#This Row],[num]]-SUM(packes[[#This Row],[num2]])</f>
        <v>1500</v>
      </c>
      <c r="I108" s="324"/>
      <c r="J108" s="21"/>
      <c r="K108" s="287"/>
    </row>
    <row r="109" spans="1:11" ht="16.5">
      <c r="A109" s="1">
        <v>576</v>
      </c>
      <c r="B109" s="2" t="s">
        <v>692</v>
      </c>
      <c r="C109" s="1">
        <v>140090143</v>
      </c>
      <c r="D109" s="1">
        <v>43</v>
      </c>
      <c r="E109" s="12">
        <f>_xlfn.XLOOKUP(packes[[#This Row],[productId]],bom[Id],bom[wgt])</f>
        <v>2.7237354085603114</v>
      </c>
      <c r="F109" s="12">
        <f>packes[[#This Row],[num]]*packes[[#This Row],[wtg]]</f>
        <v>117.1206225680934</v>
      </c>
      <c r="G109" s="324">
        <v>12</v>
      </c>
      <c r="H109" s="21">
        <f>packes[[#This Row],[num]]-SUM(packes[[#This Row],[num2]])</f>
        <v>43</v>
      </c>
      <c r="I109" s="324"/>
      <c r="J109" s="21"/>
      <c r="K109" s="287"/>
    </row>
    <row r="110" spans="1:11" ht="16.5">
      <c r="A110" s="1">
        <v>577</v>
      </c>
      <c r="B110" s="2" t="s">
        <v>692</v>
      </c>
      <c r="C110" s="1">
        <v>140310031</v>
      </c>
      <c r="D110" s="1">
        <v>514</v>
      </c>
      <c r="E110" s="12">
        <f>_xlfn.XLOOKUP(packes[[#This Row],[productId]],bom[Id],bom[wgt])</f>
        <v>1.9455252918287937</v>
      </c>
      <c r="F110" s="12">
        <f>packes[[#This Row],[num]]*packes[[#This Row],[wtg]]</f>
        <v>1000</v>
      </c>
      <c r="G110" s="324">
        <v>2</v>
      </c>
      <c r="H110" s="21">
        <f>packes[[#This Row],[num]]-SUM(packes[[#This Row],[num2]])</f>
        <v>514</v>
      </c>
      <c r="I110" s="324"/>
      <c r="J110" s="21"/>
      <c r="K110" s="287"/>
    </row>
    <row r="111" spans="1:11" ht="16.5">
      <c r="A111" s="1">
        <v>578</v>
      </c>
      <c r="B111" s="2" t="s">
        <v>692</v>
      </c>
      <c r="C111" s="1">
        <v>140310058</v>
      </c>
      <c r="D111" s="1">
        <v>450</v>
      </c>
      <c r="E111" s="12">
        <f>_xlfn.XLOOKUP(packes[[#This Row],[productId]],bom[Id],bom[wgt])</f>
        <v>1.3469021251122417</v>
      </c>
      <c r="F111" s="12">
        <f>packes[[#This Row],[num]]*packes[[#This Row],[wtg]]</f>
        <v>606.10595630050875</v>
      </c>
      <c r="G111" s="324">
        <v>2</v>
      </c>
      <c r="H111" s="21">
        <f>packes[[#This Row],[num]]-SUM(packes[[#This Row],[num2]])</f>
        <v>450</v>
      </c>
      <c r="I111" s="324"/>
      <c r="J111" s="21"/>
      <c r="K111" s="287"/>
    </row>
    <row r="112" spans="1:11" ht="16.5">
      <c r="A112" s="1">
        <v>579</v>
      </c>
      <c r="B112" s="2" t="s">
        <v>692</v>
      </c>
      <c r="C112" s="1">
        <v>140220012</v>
      </c>
      <c r="D112" s="1">
        <v>15</v>
      </c>
      <c r="E112" s="12">
        <f>_xlfn.XLOOKUP(packes[[#This Row],[productId]],bom[Id],bom[wgt])</f>
        <v>1.9455252918287937</v>
      </c>
      <c r="F112" s="12">
        <f>packes[[#This Row],[num]]*packes[[#This Row],[wtg]]</f>
        <v>29.182879377431906</v>
      </c>
      <c r="G112" s="324">
        <v>12</v>
      </c>
      <c r="H112" s="21">
        <f>packes[[#This Row],[num]]-SUM(packes[[#This Row],[num2]])</f>
        <v>15</v>
      </c>
      <c r="I112" s="324"/>
      <c r="J112" s="21"/>
      <c r="K112" s="287"/>
    </row>
    <row r="113" spans="1:11" ht="16.5">
      <c r="A113" s="1">
        <v>580</v>
      </c>
      <c r="B113" s="2" t="s">
        <v>692</v>
      </c>
      <c r="C113" s="1">
        <v>141320055</v>
      </c>
      <c r="D113" s="1">
        <v>2200</v>
      </c>
      <c r="E113" s="12">
        <f>_xlfn.XLOOKUP(packes[[#This Row],[productId]],bom[Id],bom[wgt])</f>
        <v>1.1274069639828395</v>
      </c>
      <c r="F113" s="12">
        <f>packes[[#This Row],[num]]*packes[[#This Row],[wtg]]</f>
        <v>2480.2953207622468</v>
      </c>
      <c r="G113" s="324">
        <v>2</v>
      </c>
      <c r="H113" s="21">
        <f>packes[[#This Row],[num]]-SUM(packes[[#This Row],[num2]])</f>
        <v>2200</v>
      </c>
      <c r="I113" s="324"/>
      <c r="J113" s="21"/>
      <c r="K113" s="287"/>
    </row>
    <row r="114" spans="1:11" ht="16.5">
      <c r="A114" s="1">
        <v>581</v>
      </c>
      <c r="B114" s="2" t="s">
        <v>693</v>
      </c>
      <c r="C114" s="1">
        <v>140010230</v>
      </c>
      <c r="D114" s="1">
        <v>1000</v>
      </c>
      <c r="E114" s="12">
        <f>_xlfn.XLOOKUP(packes[[#This Row],[productId]],bom[Id],bom[wgt])</f>
        <v>1.4486680634540554</v>
      </c>
      <c r="F114" s="12">
        <f>packes[[#This Row],[num]]*packes[[#This Row],[wtg]]</f>
        <v>1448.6680634540553</v>
      </c>
      <c r="G114" s="324">
        <v>2</v>
      </c>
      <c r="H114" s="21">
        <f>packes[[#This Row],[num]]-SUM(packes[[#This Row],[num2]])</f>
        <v>1000</v>
      </c>
      <c r="I114" s="324"/>
      <c r="J114" s="21"/>
      <c r="K114" s="287"/>
    </row>
    <row r="115" spans="1:11" ht="16.5">
      <c r="A115" s="1">
        <v>582</v>
      </c>
      <c r="B115" s="2" t="s">
        <v>693</v>
      </c>
      <c r="C115" s="1">
        <v>140310058</v>
      </c>
      <c r="D115" s="1">
        <v>1950</v>
      </c>
      <c r="E115" s="12">
        <f>_xlfn.XLOOKUP(packes[[#This Row],[productId]],bom[Id],bom[wgt])</f>
        <v>1.3469021251122417</v>
      </c>
      <c r="F115" s="12">
        <f>packes[[#This Row],[num]]*packes[[#This Row],[wtg]]</f>
        <v>2626.4591439688716</v>
      </c>
      <c r="G115" s="324">
        <v>2</v>
      </c>
      <c r="H115" s="21">
        <f>packes[[#This Row],[num]]-SUM(packes[[#This Row],[num2]])</f>
        <v>1950</v>
      </c>
      <c r="I115" s="324"/>
      <c r="J115" s="21"/>
      <c r="K115" s="287"/>
    </row>
    <row r="116" spans="1:11" ht="16.5">
      <c r="A116" s="1">
        <v>583</v>
      </c>
      <c r="B116" s="2" t="s">
        <v>693</v>
      </c>
      <c r="C116" s="1">
        <v>141320055</v>
      </c>
      <c r="D116" s="1">
        <v>900</v>
      </c>
      <c r="E116" s="12">
        <f>_xlfn.XLOOKUP(packes[[#This Row],[productId]],bom[Id],bom[wgt])</f>
        <v>1.1274069639828395</v>
      </c>
      <c r="F116" s="12">
        <f>packes[[#This Row],[num]]*packes[[#This Row],[wtg]]</f>
        <v>1014.6662675845555</v>
      </c>
      <c r="G116" s="324">
        <v>2</v>
      </c>
      <c r="H116" s="21">
        <f>packes[[#This Row],[num]]-SUM(packes[[#This Row],[num2]])</f>
        <v>900</v>
      </c>
      <c r="I116" s="324"/>
      <c r="J116" s="21"/>
      <c r="K116" s="287"/>
    </row>
    <row r="117" spans="1:11" ht="16.5">
      <c r="A117" s="1">
        <v>584</v>
      </c>
      <c r="B117" s="2" t="s">
        <v>694</v>
      </c>
      <c r="C117" s="1">
        <v>140010230</v>
      </c>
      <c r="D117" s="1">
        <v>2350</v>
      </c>
      <c r="E117" s="12">
        <f>_xlfn.XLOOKUP(packes[[#This Row],[productId]],bom[Id],bom[wgt])</f>
        <v>1.4486680634540554</v>
      </c>
      <c r="F117" s="12">
        <f>packes[[#This Row],[num]]*packes[[#This Row],[wtg]]</f>
        <v>3404.36994911703</v>
      </c>
      <c r="G117" s="324">
        <v>2</v>
      </c>
      <c r="H117" s="21">
        <f>packes[[#This Row],[num]]-SUM(packes[[#This Row],[num2]])</f>
        <v>2350</v>
      </c>
      <c r="I117" s="324"/>
      <c r="J117" s="21"/>
      <c r="K117" s="287"/>
    </row>
    <row r="118" spans="1:11" ht="16.5">
      <c r="A118" s="1">
        <v>585</v>
      </c>
      <c r="B118" s="2" t="s">
        <v>694</v>
      </c>
      <c r="C118" s="1">
        <v>140030040</v>
      </c>
      <c r="D118" s="1">
        <v>1400</v>
      </c>
      <c r="E118" s="12">
        <f>_xlfn.XLOOKUP(packes[[#This Row],[productId]],bom[Id],bom[wgt])</f>
        <v>1.1092487279257708</v>
      </c>
      <c r="F118" s="12">
        <f>packes[[#This Row],[num]]*packes[[#This Row],[wtg]]</f>
        <v>1552.9482190960791</v>
      </c>
      <c r="G118" s="324" t="s">
        <v>1051</v>
      </c>
      <c r="H118" s="21">
        <f>packes[[#This Row],[num]]-SUM(packes[[#This Row],[num2]])</f>
        <v>1400</v>
      </c>
      <c r="I118" s="324"/>
      <c r="J118" s="21"/>
      <c r="K118" s="287"/>
    </row>
    <row r="119" spans="1:11" ht="16.5">
      <c r="A119" s="1">
        <v>586</v>
      </c>
      <c r="B119" s="2" t="s">
        <v>695</v>
      </c>
      <c r="C119" s="1">
        <v>140010230</v>
      </c>
      <c r="D119" s="1">
        <v>3450</v>
      </c>
      <c r="E119" s="12">
        <f>_xlfn.XLOOKUP(packes[[#This Row],[productId]],bom[Id],bom[wgt])</f>
        <v>1.4486680634540554</v>
      </c>
      <c r="F119" s="12">
        <f>packes[[#This Row],[num]]*packes[[#This Row],[wtg]]</f>
        <v>4997.9048189164914</v>
      </c>
      <c r="G119" s="324">
        <v>2</v>
      </c>
      <c r="H119" s="21">
        <f>packes[[#This Row],[num]]-SUM(packes[[#This Row],[num2]])</f>
        <v>3450</v>
      </c>
      <c r="I119" s="324"/>
      <c r="J119" s="21"/>
      <c r="K119" s="287"/>
    </row>
    <row r="120" spans="1:11" ht="16.5">
      <c r="A120" s="1">
        <v>587</v>
      </c>
      <c r="B120" s="2" t="s">
        <v>254</v>
      </c>
      <c r="C120" s="1">
        <v>140010117</v>
      </c>
      <c r="D120" s="1">
        <v>1800</v>
      </c>
      <c r="E120" s="12">
        <f>_xlfn.XLOOKUP(packes[[#This Row],[productId]],bom[Id],bom[wgt])</f>
        <v>1</v>
      </c>
      <c r="F120" s="12">
        <f>packes[[#This Row],[num]]*packes[[#This Row],[wtg]]</f>
        <v>1800</v>
      </c>
      <c r="G120" s="324">
        <v>2</v>
      </c>
      <c r="H120" s="21">
        <f>packes[[#This Row],[num]]-SUM(packes[[#This Row],[num2]])</f>
        <v>1325</v>
      </c>
      <c r="I120" s="324" t="s">
        <v>1051</v>
      </c>
      <c r="J120" s="21">
        <v>475</v>
      </c>
      <c r="K120" s="287"/>
    </row>
    <row r="121" spans="1:11" ht="16.5">
      <c r="A121" s="1">
        <v>588</v>
      </c>
      <c r="B121" s="2" t="s">
        <v>254</v>
      </c>
      <c r="C121" s="1">
        <v>140010230</v>
      </c>
      <c r="D121" s="1">
        <v>1800</v>
      </c>
      <c r="E121" s="12">
        <f>_xlfn.XLOOKUP(packes[[#This Row],[productId]],bom[Id],bom[wgt])</f>
        <v>1.4486680634540554</v>
      </c>
      <c r="F121" s="12">
        <f>packes[[#This Row],[num]]*packes[[#This Row],[wtg]]</f>
        <v>2607.6025142172998</v>
      </c>
      <c r="G121" s="324">
        <v>2</v>
      </c>
      <c r="H121" s="21">
        <f>packes[[#This Row],[num]]-SUM(packes[[#This Row],[num2]])</f>
        <v>1800</v>
      </c>
      <c r="I121" s="324"/>
      <c r="J121" s="21"/>
      <c r="K121" s="287"/>
    </row>
    <row r="122" spans="1:11" ht="16.5">
      <c r="A122" s="1">
        <v>589</v>
      </c>
      <c r="B122" s="2" t="s">
        <v>254</v>
      </c>
      <c r="C122" s="1">
        <v>140030039</v>
      </c>
      <c r="D122" s="1">
        <v>400</v>
      </c>
      <c r="E122" s="12">
        <f>_xlfn.XLOOKUP(packes[[#This Row],[productId]],bom[Id],bom[wgt])</f>
        <v>1.1413748378728923</v>
      </c>
      <c r="F122" s="12">
        <f>packes[[#This Row],[num]]*packes[[#This Row],[wtg]]</f>
        <v>456.54993514915691</v>
      </c>
      <c r="G122" s="324" t="s">
        <v>1051</v>
      </c>
      <c r="H122" s="21">
        <f>packes[[#This Row],[num]]-SUM(packes[[#This Row],[num2]])</f>
        <v>400</v>
      </c>
      <c r="I122" s="324"/>
      <c r="J122" s="21"/>
      <c r="K122" s="287"/>
    </row>
    <row r="123" spans="1:11" ht="16.5">
      <c r="A123" s="1">
        <v>590</v>
      </c>
      <c r="B123" s="2" t="s">
        <v>254</v>
      </c>
      <c r="C123" s="1">
        <v>140030040</v>
      </c>
      <c r="D123" s="1">
        <v>100</v>
      </c>
      <c r="E123" s="12">
        <f>_xlfn.XLOOKUP(packes[[#This Row],[productId]],bom[Id],bom[wgt])</f>
        <v>1.1092487279257708</v>
      </c>
      <c r="F123" s="12">
        <f>packes[[#This Row],[num]]*packes[[#This Row],[wtg]]</f>
        <v>110.92487279257708</v>
      </c>
      <c r="G123" s="324" t="s">
        <v>1051</v>
      </c>
      <c r="H123" s="21">
        <f>packes[[#This Row],[num]]-SUM(packes[[#This Row],[num2]])</f>
        <v>100</v>
      </c>
      <c r="I123" s="324"/>
      <c r="J123" s="21"/>
      <c r="K123" s="287"/>
    </row>
    <row r="124" spans="1:11" ht="16.5">
      <c r="A124" s="1">
        <v>591</v>
      </c>
      <c r="B124" s="2" t="s">
        <v>280</v>
      </c>
      <c r="C124" s="1">
        <v>140010117</v>
      </c>
      <c r="D124" s="1">
        <v>1275</v>
      </c>
      <c r="E124" s="12">
        <f>_xlfn.XLOOKUP(packes[[#This Row],[productId]],bom[Id],bom[wgt])</f>
        <v>1</v>
      </c>
      <c r="F124" s="12">
        <f>packes[[#This Row],[num]]*packes[[#This Row],[wtg]]</f>
        <v>1275</v>
      </c>
      <c r="G124" s="324" t="s">
        <v>1051</v>
      </c>
      <c r="H124" s="21">
        <f>packes[[#This Row],[num]]-SUM(packes[[#This Row],[num2]])</f>
        <v>1275</v>
      </c>
      <c r="I124" s="324"/>
      <c r="J124" s="21"/>
      <c r="K124" s="287"/>
    </row>
    <row r="125" spans="1:11" ht="16.5">
      <c r="A125" s="1">
        <v>592</v>
      </c>
      <c r="B125" s="2" t="s">
        <v>280</v>
      </c>
      <c r="C125" s="1">
        <v>140010230</v>
      </c>
      <c r="D125" s="1">
        <v>450</v>
      </c>
      <c r="E125" s="12">
        <f>_xlfn.XLOOKUP(packes[[#This Row],[productId]],bom[Id],bom[wgt])</f>
        <v>1.4486680634540554</v>
      </c>
      <c r="F125" s="12">
        <f>packes[[#This Row],[num]]*packes[[#This Row],[wtg]]</f>
        <v>651.90062855432495</v>
      </c>
      <c r="G125" s="324">
        <v>2</v>
      </c>
      <c r="H125" s="21">
        <f>packes[[#This Row],[num]]-SUM(packes[[#This Row],[num2]])</f>
        <v>450</v>
      </c>
      <c r="I125" s="324"/>
      <c r="J125" s="21"/>
      <c r="K125" s="287"/>
    </row>
    <row r="126" spans="1:11" ht="16.5">
      <c r="A126" s="1">
        <v>593</v>
      </c>
      <c r="B126" s="2" t="s">
        <v>280</v>
      </c>
      <c r="C126" s="1">
        <v>140020181</v>
      </c>
      <c r="D126" s="1">
        <v>300</v>
      </c>
      <c r="E126" s="12">
        <f>_xlfn.XLOOKUP(packes[[#This Row],[productId]],bom[Id],bom[wgt])</f>
        <v>1.2670857028833682</v>
      </c>
      <c r="F126" s="12">
        <f>packes[[#This Row],[num]]*packes[[#This Row],[wtg]]</f>
        <v>380.12571086501043</v>
      </c>
      <c r="G126" s="324">
        <v>3</v>
      </c>
      <c r="H126" s="21">
        <f>packes[[#This Row],[num]]-SUM(packes[[#This Row],[num2]])</f>
        <v>300</v>
      </c>
      <c r="I126" s="324"/>
      <c r="J126" s="21"/>
      <c r="K126" s="287"/>
    </row>
    <row r="127" spans="1:11" ht="16.5">
      <c r="A127" s="1">
        <v>594</v>
      </c>
      <c r="B127" s="2" t="s">
        <v>698</v>
      </c>
      <c r="C127" s="1">
        <v>140010117</v>
      </c>
      <c r="D127" s="1">
        <v>825</v>
      </c>
      <c r="E127" s="12">
        <f>_xlfn.XLOOKUP(packes[[#This Row],[productId]],bom[Id],bom[wgt])</f>
        <v>1</v>
      </c>
      <c r="F127" s="12">
        <f>packes[[#This Row],[num]]*packes[[#This Row],[wtg]]</f>
        <v>825</v>
      </c>
      <c r="G127" s="324" t="s">
        <v>1051</v>
      </c>
      <c r="H127" s="21">
        <f>packes[[#This Row],[num]]-SUM(packes[[#This Row],[num2]])</f>
        <v>825</v>
      </c>
      <c r="I127" s="324"/>
      <c r="J127" s="21"/>
      <c r="K127" s="287"/>
    </row>
    <row r="128" spans="1:11" ht="16.5">
      <c r="A128" s="1">
        <v>595</v>
      </c>
      <c r="B128" s="2" t="s">
        <v>698</v>
      </c>
      <c r="C128" s="1">
        <v>140020181</v>
      </c>
      <c r="D128" s="1">
        <v>1350</v>
      </c>
      <c r="E128" s="12">
        <f>_xlfn.XLOOKUP(packes[[#This Row],[productId]],bom[Id],bom[wgt])</f>
        <v>1.2670857028833682</v>
      </c>
      <c r="F128" s="12">
        <f>packes[[#This Row],[num]]*packes[[#This Row],[wtg]]</f>
        <v>1710.5656988925471</v>
      </c>
      <c r="G128" s="324">
        <v>3</v>
      </c>
      <c r="H128" s="21">
        <f>packes[[#This Row],[num]]-SUM(packes[[#This Row],[num2]])</f>
        <v>1350</v>
      </c>
      <c r="I128" s="324"/>
      <c r="J128" s="21"/>
      <c r="K128" s="287"/>
    </row>
    <row r="129" spans="1:11" ht="16.5">
      <c r="A129" s="1">
        <v>596</v>
      </c>
      <c r="B129" s="2" t="s">
        <v>281</v>
      </c>
      <c r="C129" s="1">
        <v>140010230</v>
      </c>
      <c r="D129" s="1">
        <v>500</v>
      </c>
      <c r="E129" s="12">
        <f>_xlfn.XLOOKUP(packes[[#This Row],[productId]],bom[Id],bom[wgt])</f>
        <v>1.4486680634540554</v>
      </c>
      <c r="F129" s="12">
        <f>packes[[#This Row],[num]]*packes[[#This Row],[wtg]]</f>
        <v>724.33403172702765</v>
      </c>
      <c r="G129" s="324">
        <v>2</v>
      </c>
      <c r="H129" s="21">
        <f>packes[[#This Row],[num]]-SUM(packes[[#This Row],[num2]])</f>
        <v>500</v>
      </c>
      <c r="I129" s="324"/>
      <c r="J129" s="21"/>
      <c r="K129" s="287"/>
    </row>
    <row r="130" spans="1:11" ht="16.5">
      <c r="A130" s="1">
        <v>597</v>
      </c>
      <c r="B130" s="2" t="s">
        <v>281</v>
      </c>
      <c r="C130" s="1">
        <v>140020181</v>
      </c>
      <c r="D130" s="1">
        <v>3150</v>
      </c>
      <c r="E130" s="12">
        <f>_xlfn.XLOOKUP(packes[[#This Row],[productId]],bom[Id],bom[wgt])</f>
        <v>1.2670857028833682</v>
      </c>
      <c r="F130" s="12">
        <f>packes[[#This Row],[num]]*packes[[#This Row],[wtg]]</f>
        <v>3991.3199640826097</v>
      </c>
      <c r="G130" s="324">
        <v>3</v>
      </c>
      <c r="H130" s="21">
        <f>packes[[#This Row],[num]]-SUM(packes[[#This Row],[num2]])</f>
        <v>3150</v>
      </c>
      <c r="I130" s="324"/>
      <c r="J130" s="21"/>
      <c r="K130" s="287"/>
    </row>
    <row r="131" spans="1:11" ht="16.5">
      <c r="A131" s="1">
        <v>598</v>
      </c>
      <c r="B131" s="2" t="s">
        <v>281</v>
      </c>
      <c r="C131" s="1">
        <v>140030039</v>
      </c>
      <c r="D131" s="1">
        <v>600</v>
      </c>
      <c r="E131" s="12">
        <f>_xlfn.XLOOKUP(packes[[#This Row],[productId]],bom[Id],bom[wgt])</f>
        <v>1.1413748378728923</v>
      </c>
      <c r="F131" s="12">
        <f>packes[[#This Row],[num]]*packes[[#This Row],[wtg]]</f>
        <v>684.82490272373536</v>
      </c>
      <c r="G131" s="324" t="s">
        <v>1051</v>
      </c>
      <c r="H131" s="21">
        <f>packes[[#This Row],[num]]-SUM(packes[[#This Row],[num2]])</f>
        <v>600</v>
      </c>
      <c r="I131" s="324"/>
      <c r="J131" s="21"/>
      <c r="K131" s="287"/>
    </row>
    <row r="132" spans="1:11" ht="16.5">
      <c r="A132" s="1">
        <v>599</v>
      </c>
      <c r="B132" s="2" t="s">
        <v>255</v>
      </c>
      <c r="C132" s="1">
        <v>140010230</v>
      </c>
      <c r="D132" s="1">
        <v>1900</v>
      </c>
      <c r="E132" s="12">
        <f>_xlfn.XLOOKUP(packes[[#This Row],[productId]],bom[Id],bom[wgt])</f>
        <v>1.4486680634540554</v>
      </c>
      <c r="F132" s="12">
        <f>packes[[#This Row],[num]]*packes[[#This Row],[wtg]]</f>
        <v>2752.4693205627054</v>
      </c>
      <c r="G132" s="324">
        <v>2</v>
      </c>
      <c r="H132" s="21">
        <f>packes[[#This Row],[num]]-SUM(packes[[#This Row],[num2]])</f>
        <v>1900</v>
      </c>
      <c r="I132" s="324"/>
      <c r="J132" s="21"/>
      <c r="K132" s="287"/>
    </row>
    <row r="133" spans="1:11" ht="16.5">
      <c r="A133" s="1">
        <v>600</v>
      </c>
      <c r="B133" s="2" t="s">
        <v>255</v>
      </c>
      <c r="C133" s="1">
        <v>140020181</v>
      </c>
      <c r="D133" s="1">
        <v>975</v>
      </c>
      <c r="E133" s="12">
        <f>_xlfn.XLOOKUP(packes[[#This Row],[productId]],bom[Id],bom[wgt])</f>
        <v>1.2670857028833682</v>
      </c>
      <c r="F133" s="12">
        <f>packes[[#This Row],[num]]*packes[[#This Row],[wtg]]</f>
        <v>1235.408560311284</v>
      </c>
      <c r="G133" s="324">
        <v>3</v>
      </c>
      <c r="H133" s="21">
        <f>packes[[#This Row],[num]]-SUM(packes[[#This Row],[num2]])</f>
        <v>975</v>
      </c>
      <c r="I133" s="324"/>
      <c r="J133" s="21"/>
      <c r="K133" s="287"/>
    </row>
    <row r="134" spans="1:11" ht="16.5">
      <c r="A134" s="1">
        <v>601</v>
      </c>
      <c r="B134" s="2" t="s">
        <v>255</v>
      </c>
      <c r="C134" s="1">
        <v>140030039</v>
      </c>
      <c r="D134" s="1">
        <v>1100</v>
      </c>
      <c r="E134" s="12">
        <f>_xlfn.XLOOKUP(packes[[#This Row],[productId]],bom[Id],bom[wgt])</f>
        <v>1.1413748378728923</v>
      </c>
      <c r="F134" s="12">
        <f>packes[[#This Row],[num]]*packes[[#This Row],[wtg]]</f>
        <v>1255.5123216601814</v>
      </c>
      <c r="G134" s="324" t="s">
        <v>1051</v>
      </c>
      <c r="H134" s="21">
        <f>packes[[#This Row],[num]]-SUM(packes[[#This Row],[num2]])</f>
        <v>1100</v>
      </c>
      <c r="I134" s="324"/>
      <c r="J134" s="21"/>
      <c r="K134" s="287"/>
    </row>
    <row r="135" spans="1:11" ht="16.5">
      <c r="A135" s="1">
        <v>602</v>
      </c>
      <c r="B135" s="2" t="s">
        <v>699</v>
      </c>
      <c r="C135" s="1">
        <v>140010117</v>
      </c>
      <c r="D135" s="1">
        <v>375</v>
      </c>
      <c r="E135" s="12">
        <f>_xlfn.XLOOKUP(packes[[#This Row],[productId]],bom[Id],bom[wgt])</f>
        <v>1</v>
      </c>
      <c r="F135" s="12">
        <f>packes[[#This Row],[num]]*packes[[#This Row],[wtg]]</f>
        <v>375</v>
      </c>
      <c r="G135" s="324" t="s">
        <v>1051</v>
      </c>
      <c r="H135" s="21">
        <f>packes[[#This Row],[num]]-SUM(packes[[#This Row],[num2]])</f>
        <v>375</v>
      </c>
      <c r="I135" s="324"/>
      <c r="J135" s="21"/>
      <c r="K135" s="287"/>
    </row>
    <row r="136" spans="1:11" ht="16.5">
      <c r="A136" s="1">
        <v>603</v>
      </c>
      <c r="B136" s="2" t="s">
        <v>699</v>
      </c>
      <c r="C136" s="1">
        <v>140010230</v>
      </c>
      <c r="D136" s="1">
        <v>1050</v>
      </c>
      <c r="E136" s="12">
        <f>_xlfn.XLOOKUP(packes[[#This Row],[productId]],bom[Id],bom[wgt])</f>
        <v>1.4486680634540554</v>
      </c>
      <c r="F136" s="12">
        <f>packes[[#This Row],[num]]*packes[[#This Row],[wtg]]</f>
        <v>1521.1014666267581</v>
      </c>
      <c r="G136" s="324">
        <v>2</v>
      </c>
      <c r="H136" s="21">
        <f>packes[[#This Row],[num]]-SUM(packes[[#This Row],[num2]])</f>
        <v>1050</v>
      </c>
      <c r="I136" s="324"/>
      <c r="J136" s="21"/>
      <c r="K136" s="287"/>
    </row>
    <row r="137" spans="1:11" ht="16.5">
      <c r="A137" s="1">
        <v>604</v>
      </c>
      <c r="B137" s="2" t="s">
        <v>699</v>
      </c>
      <c r="C137" s="1">
        <v>140020181</v>
      </c>
      <c r="D137" s="1">
        <v>825</v>
      </c>
      <c r="E137" s="12">
        <f>_xlfn.XLOOKUP(packes[[#This Row],[productId]],bom[Id],bom[wgt])</f>
        <v>1.2670857028833682</v>
      </c>
      <c r="F137" s="12">
        <f>packes[[#This Row],[num]]*packes[[#This Row],[wtg]]</f>
        <v>1045.3457048787789</v>
      </c>
      <c r="G137" s="324">
        <v>3</v>
      </c>
      <c r="H137" s="21">
        <f>packes[[#This Row],[num]]-SUM(packes[[#This Row],[num2]])</f>
        <v>825</v>
      </c>
      <c r="I137" s="324"/>
      <c r="J137" s="21"/>
      <c r="K137" s="287"/>
    </row>
    <row r="138" spans="1:11" ht="16.5">
      <c r="A138" s="1">
        <v>605</v>
      </c>
      <c r="B138" s="2" t="s">
        <v>699</v>
      </c>
      <c r="C138" s="1">
        <v>140030039</v>
      </c>
      <c r="D138" s="1">
        <v>700</v>
      </c>
      <c r="E138" s="12">
        <f>_xlfn.XLOOKUP(packes[[#This Row],[productId]],bom[Id],bom[wgt])</f>
        <v>1.1413748378728923</v>
      </c>
      <c r="F138" s="12">
        <f>packes[[#This Row],[num]]*packes[[#This Row],[wtg]]</f>
        <v>798.96238651102465</v>
      </c>
      <c r="G138" s="324" t="s">
        <v>1051</v>
      </c>
      <c r="H138" s="21">
        <f>packes[[#This Row],[num]]-SUM(packes[[#This Row],[num2]])</f>
        <v>700</v>
      </c>
      <c r="I138" s="324"/>
      <c r="J138" s="21"/>
      <c r="K138" s="287"/>
    </row>
    <row r="139" spans="1:11" ht="16.5">
      <c r="A139" s="1">
        <v>606</v>
      </c>
      <c r="B139" s="2" t="s">
        <v>699</v>
      </c>
      <c r="C139" s="1">
        <v>140010279</v>
      </c>
      <c r="D139" s="1">
        <v>12</v>
      </c>
      <c r="E139" s="12">
        <f>_xlfn.XLOOKUP(packes[[#This Row],[productId]],bom[Id],bom[wgt])</f>
        <v>1.0675446473111843</v>
      </c>
      <c r="F139" s="12">
        <f>packes[[#This Row],[num]]*packes[[#This Row],[wtg]]</f>
        <v>12.810535767734212</v>
      </c>
      <c r="G139" s="324">
        <v>1</v>
      </c>
      <c r="H139" s="21">
        <f>packes[[#This Row],[num]]-SUM(packes[[#This Row],[num2]])</f>
        <v>12</v>
      </c>
      <c r="I139" s="324"/>
      <c r="J139" s="21"/>
      <c r="K139" s="287"/>
    </row>
    <row r="140" spans="1:11" ht="16.5">
      <c r="A140" s="1">
        <v>607</v>
      </c>
      <c r="B140" s="2" t="s">
        <v>699</v>
      </c>
      <c r="C140" s="1">
        <v>140550019</v>
      </c>
      <c r="D140" s="1">
        <v>11</v>
      </c>
      <c r="E140" s="12">
        <f>_xlfn.XLOOKUP(packes[[#This Row],[productId]],bom[Id],bom[wgt])</f>
        <v>2.6938042502244834</v>
      </c>
      <c r="F140" s="12">
        <f>packes[[#This Row],[num]]*packes[[#This Row],[wtg]]</f>
        <v>29.631846752469318</v>
      </c>
      <c r="G140" s="324">
        <v>1000</v>
      </c>
      <c r="H140" s="21">
        <f>packes[[#This Row],[num]]-SUM(packes[[#This Row],[num2]])</f>
        <v>11</v>
      </c>
      <c r="I140" s="324"/>
      <c r="J140" s="21"/>
      <c r="K140" s="287"/>
    </row>
    <row r="141" spans="1:11" ht="16.5">
      <c r="A141" s="1">
        <v>608</v>
      </c>
      <c r="B141" s="2" t="s">
        <v>699</v>
      </c>
      <c r="C141" s="1">
        <v>141320055</v>
      </c>
      <c r="D141" s="1">
        <v>1200</v>
      </c>
      <c r="E141" s="12">
        <f>_xlfn.XLOOKUP(packes[[#This Row],[productId]],bom[Id],bom[wgt])</f>
        <v>1.1274069639828395</v>
      </c>
      <c r="F141" s="12">
        <f>packes[[#This Row],[num]]*packes[[#This Row],[wtg]]</f>
        <v>1352.8883567794073</v>
      </c>
      <c r="G141" s="324">
        <v>2</v>
      </c>
      <c r="H141" s="21">
        <f>packes[[#This Row],[num]]-SUM(packes[[#This Row],[num2]])</f>
        <v>1200</v>
      </c>
      <c r="I141" s="324"/>
      <c r="J141" s="21"/>
      <c r="K141" s="287"/>
    </row>
    <row r="142" spans="1:11" ht="16.5">
      <c r="A142" s="1">
        <v>609</v>
      </c>
      <c r="B142" s="2" t="s">
        <v>700</v>
      </c>
      <c r="C142" s="1">
        <v>140020181</v>
      </c>
      <c r="D142" s="1">
        <v>1725</v>
      </c>
      <c r="E142" s="12">
        <f>_xlfn.XLOOKUP(packes[[#This Row],[productId]],bom[Id],bom[wgt])</f>
        <v>1.2670857028833682</v>
      </c>
      <c r="F142" s="12">
        <f>packes[[#This Row],[num]]*packes[[#This Row],[wtg]]</f>
        <v>2185.7228374738102</v>
      </c>
      <c r="G142" s="324">
        <v>3</v>
      </c>
      <c r="H142" s="21">
        <f>packes[[#This Row],[num]]-SUM(packes[[#This Row],[num2]])</f>
        <v>1725</v>
      </c>
      <c r="I142" s="324"/>
      <c r="J142" s="21"/>
      <c r="K142" s="287"/>
    </row>
    <row r="143" spans="1:11" ht="16.5">
      <c r="A143" s="1">
        <v>610</v>
      </c>
      <c r="B143" s="2" t="s">
        <v>700</v>
      </c>
      <c r="C143" s="1">
        <v>141320055</v>
      </c>
      <c r="D143" s="1">
        <v>2100</v>
      </c>
      <c r="E143" s="12">
        <f>_xlfn.XLOOKUP(packes[[#This Row],[productId]],bom[Id],bom[wgt])</f>
        <v>1.1274069639828395</v>
      </c>
      <c r="F143" s="12">
        <f>packes[[#This Row],[num]]*packes[[#This Row],[wtg]]</f>
        <v>2367.5546243639628</v>
      </c>
      <c r="G143" s="324">
        <v>2</v>
      </c>
      <c r="H143" s="21">
        <f>packes[[#This Row],[num]]-SUM(packes[[#This Row],[num2]])</f>
        <v>2100</v>
      </c>
      <c r="I143" s="324"/>
      <c r="J143" s="21"/>
      <c r="K143" s="287"/>
    </row>
    <row r="144" spans="1:11" ht="16.5">
      <c r="A144" s="1">
        <v>611</v>
      </c>
      <c r="B144" s="2" t="s">
        <v>701</v>
      </c>
      <c r="C144" s="1">
        <v>140020181</v>
      </c>
      <c r="D144" s="1">
        <v>1575</v>
      </c>
      <c r="E144" s="12">
        <f>_xlfn.XLOOKUP(packes[[#This Row],[productId]],bom[Id],bom[wgt])</f>
        <v>1.2670857028833682</v>
      </c>
      <c r="F144" s="12">
        <f>packes[[#This Row],[num]]*packes[[#This Row],[wtg]]</f>
        <v>1995.6599820413048</v>
      </c>
      <c r="G144" s="324">
        <v>3</v>
      </c>
      <c r="H144" s="21">
        <f>packes[[#This Row],[num]]-SUM(packes[[#This Row],[num2]])</f>
        <v>1575</v>
      </c>
      <c r="I144" s="324"/>
      <c r="J144" s="21"/>
      <c r="K144" s="287"/>
    </row>
    <row r="145" spans="1:11" ht="16.5">
      <c r="A145" s="1">
        <v>612</v>
      </c>
      <c r="B145" s="2" t="s">
        <v>701</v>
      </c>
      <c r="C145" s="1">
        <v>141320055</v>
      </c>
      <c r="D145" s="1">
        <v>1300</v>
      </c>
      <c r="E145" s="12">
        <f>_xlfn.XLOOKUP(packes[[#This Row],[productId]],bom[Id],bom[wgt])</f>
        <v>1.1274069639828395</v>
      </c>
      <c r="F145" s="12">
        <f>packes[[#This Row],[num]]*packes[[#This Row],[wtg]]</f>
        <v>1465.6290531776913</v>
      </c>
      <c r="G145" s="324">
        <v>2</v>
      </c>
      <c r="H145" s="21">
        <f>packes[[#This Row],[num]]-SUM(packes[[#This Row],[num2]])</f>
        <v>1300</v>
      </c>
      <c r="I145" s="324"/>
      <c r="J145" s="21"/>
      <c r="K145" s="287"/>
    </row>
    <row r="146" spans="1:11" ht="16.5">
      <c r="A146" s="1">
        <v>613</v>
      </c>
      <c r="B146" s="2" t="s">
        <v>703</v>
      </c>
      <c r="C146" s="1">
        <v>140310058</v>
      </c>
      <c r="D146" s="1">
        <v>1000</v>
      </c>
      <c r="E146" s="12">
        <f>_xlfn.XLOOKUP(packes[[#This Row],[productId]],bom[Id],bom[wgt])</f>
        <v>1.3469021251122417</v>
      </c>
      <c r="F146" s="12">
        <f>packes[[#This Row],[num]]*packes[[#This Row],[wtg]]</f>
        <v>1346.9021251122417</v>
      </c>
      <c r="G146" s="324">
        <v>3</v>
      </c>
      <c r="H146" s="21">
        <f>packes[[#This Row],[num]]-SUM(packes[[#This Row],[num2]])</f>
        <v>1000</v>
      </c>
      <c r="I146" s="324"/>
      <c r="J146" s="21"/>
      <c r="K146" s="287"/>
    </row>
    <row r="147" spans="1:11" ht="16.5">
      <c r="A147" s="1">
        <v>614</v>
      </c>
      <c r="B147" s="2" t="s">
        <v>703</v>
      </c>
      <c r="C147" s="1">
        <v>140310096</v>
      </c>
      <c r="D147" s="1">
        <v>400</v>
      </c>
      <c r="E147" s="12">
        <f>_xlfn.XLOOKUP(packes[[#This Row],[productId]],bom[Id],bom[wgt])</f>
        <v>1.3</v>
      </c>
      <c r="F147" s="12">
        <f>packes[[#This Row],[num]]*packes[[#This Row],[wtg]]</f>
        <v>520</v>
      </c>
      <c r="G147" s="324">
        <v>3</v>
      </c>
      <c r="H147" s="21">
        <f>packes[[#This Row],[num]]-SUM(packes[[#This Row],[num2]])</f>
        <v>400</v>
      </c>
      <c r="I147" s="324"/>
      <c r="J147" s="21"/>
      <c r="K147" s="287"/>
    </row>
    <row r="148" spans="1:11" ht="16.5">
      <c r="A148" s="1">
        <v>615</v>
      </c>
      <c r="B148" s="2" t="s">
        <v>703</v>
      </c>
      <c r="C148" s="1">
        <v>141320055</v>
      </c>
      <c r="D148" s="1">
        <v>2400</v>
      </c>
      <c r="E148" s="12">
        <f>_xlfn.XLOOKUP(packes[[#This Row],[productId]],bom[Id],bom[wgt])</f>
        <v>1.1274069639828395</v>
      </c>
      <c r="F148" s="12">
        <f>packes[[#This Row],[num]]*packes[[#This Row],[wtg]]</f>
        <v>2705.7767135588147</v>
      </c>
      <c r="G148" s="324">
        <v>2</v>
      </c>
      <c r="H148" s="21">
        <f>packes[[#This Row],[num]]-SUM(packes[[#This Row],[num2]])</f>
        <v>2400</v>
      </c>
      <c r="I148" s="324"/>
      <c r="J148" s="21"/>
      <c r="K148" s="287"/>
    </row>
    <row r="149" spans="1:11" ht="16.5">
      <c r="A149" s="1">
        <v>616</v>
      </c>
      <c r="B149" s="2" t="s">
        <v>704</v>
      </c>
      <c r="C149" s="1">
        <v>140310007</v>
      </c>
      <c r="D149" s="1">
        <v>1400</v>
      </c>
      <c r="E149" s="12">
        <f>_xlfn.XLOOKUP(packes[[#This Row],[productId]],bom[Id],bom[wgt])</f>
        <v>1.1413748378728923</v>
      </c>
      <c r="F149" s="12">
        <f>packes[[#This Row],[num]]*packes[[#This Row],[wtg]]</f>
        <v>1597.9247730220493</v>
      </c>
      <c r="G149" s="324">
        <v>3</v>
      </c>
      <c r="H149" s="21">
        <f>packes[[#This Row],[num]]-SUM(packes[[#This Row],[num2]])</f>
        <v>1400</v>
      </c>
      <c r="I149" s="324"/>
      <c r="J149" s="21"/>
      <c r="K149" s="287"/>
    </row>
    <row r="150" spans="1:11" ht="16.5">
      <c r="A150" s="1">
        <v>617</v>
      </c>
      <c r="B150" s="2" t="s">
        <v>704</v>
      </c>
      <c r="C150" s="1">
        <v>140310058</v>
      </c>
      <c r="D150" s="1">
        <v>1000</v>
      </c>
      <c r="E150" s="12">
        <f>_xlfn.XLOOKUP(packes[[#This Row],[productId]],bom[Id],bom[wgt])</f>
        <v>1.3469021251122417</v>
      </c>
      <c r="F150" s="12">
        <f>packes[[#This Row],[num]]*packes[[#This Row],[wtg]]</f>
        <v>1346.9021251122417</v>
      </c>
      <c r="G150" s="324">
        <v>3</v>
      </c>
      <c r="H150" s="21">
        <f>packes[[#This Row],[num]]-SUM(packes[[#This Row],[num2]])</f>
        <v>1000</v>
      </c>
      <c r="I150" s="324"/>
      <c r="J150" s="21"/>
      <c r="K150" s="287"/>
    </row>
    <row r="151" spans="1:11" ht="16.5">
      <c r="A151" s="1">
        <v>618</v>
      </c>
      <c r="B151" s="2" t="s">
        <v>704</v>
      </c>
      <c r="C151" s="1">
        <v>140310096</v>
      </c>
      <c r="D151" s="1">
        <v>950</v>
      </c>
      <c r="E151" s="12">
        <f>_xlfn.XLOOKUP(packes[[#This Row],[productId]],bom[Id],bom[wgt])</f>
        <v>1.3</v>
      </c>
      <c r="F151" s="12">
        <f>packes[[#This Row],[num]]*packes[[#This Row],[wtg]]</f>
        <v>1235</v>
      </c>
      <c r="G151" s="324">
        <v>3</v>
      </c>
      <c r="H151" s="21">
        <f>packes[[#This Row],[num]]-SUM(packes[[#This Row],[num2]])</f>
        <v>950</v>
      </c>
      <c r="I151" s="324"/>
      <c r="J151" s="21"/>
      <c r="K151" s="287"/>
    </row>
    <row r="152" spans="1:11" ht="16.5">
      <c r="A152" s="1">
        <v>619</v>
      </c>
      <c r="B152" s="2" t="s">
        <v>704</v>
      </c>
      <c r="C152" s="1">
        <v>141320055</v>
      </c>
      <c r="D152" s="1">
        <v>1200</v>
      </c>
      <c r="E152" s="12">
        <f>_xlfn.XLOOKUP(packes[[#This Row],[productId]],bom[Id],bom[wgt])</f>
        <v>1.1274069639828395</v>
      </c>
      <c r="F152" s="12">
        <f>packes[[#This Row],[num]]*packes[[#This Row],[wtg]]</f>
        <v>1352.8883567794073</v>
      </c>
      <c r="G152" s="324">
        <v>2</v>
      </c>
      <c r="H152" s="21">
        <f>packes[[#This Row],[num]]-SUM(packes[[#This Row],[num2]])</f>
        <v>1200</v>
      </c>
      <c r="I152" s="324"/>
      <c r="J152" s="21"/>
      <c r="K152" s="287"/>
    </row>
    <row r="153" spans="1:11" ht="16.5">
      <c r="A153" s="1">
        <v>620</v>
      </c>
      <c r="B153" s="2" t="s">
        <v>705</v>
      </c>
      <c r="C153" s="1">
        <v>140310007</v>
      </c>
      <c r="D153" s="1">
        <v>1800</v>
      </c>
      <c r="E153" s="12">
        <f>_xlfn.XLOOKUP(packes[[#This Row],[productId]],bom[Id],bom[wgt])</f>
        <v>1.1413748378728923</v>
      </c>
      <c r="F153" s="12">
        <f>packes[[#This Row],[num]]*packes[[#This Row],[wtg]]</f>
        <v>2054.4747081712062</v>
      </c>
      <c r="G153" s="324">
        <v>3</v>
      </c>
      <c r="H153" s="21">
        <f>packes[[#This Row],[num]]-SUM(packes[[#This Row],[num2]])</f>
        <v>1800</v>
      </c>
      <c r="I153" s="324"/>
      <c r="J153" s="21"/>
      <c r="K153" s="287"/>
    </row>
    <row r="154" spans="1:11" ht="16.5">
      <c r="A154" s="1">
        <v>621</v>
      </c>
      <c r="B154" s="2" t="s">
        <v>705</v>
      </c>
      <c r="C154" s="1">
        <v>140310096</v>
      </c>
      <c r="D154" s="1">
        <v>1000</v>
      </c>
      <c r="E154" s="12">
        <f>_xlfn.XLOOKUP(packes[[#This Row],[productId]],bom[Id],bom[wgt])</f>
        <v>1.3</v>
      </c>
      <c r="F154" s="12">
        <f>packes[[#This Row],[num]]*packes[[#This Row],[wtg]]</f>
        <v>1300</v>
      </c>
      <c r="G154" s="324">
        <v>3</v>
      </c>
      <c r="H154" s="21">
        <f>packes[[#This Row],[num]]-SUM(packes[[#This Row],[num2]])</f>
        <v>1000</v>
      </c>
      <c r="I154" s="324"/>
      <c r="J154" s="21"/>
      <c r="K154" s="287"/>
    </row>
    <row r="155" spans="1:11" ht="16.5">
      <c r="A155" s="1">
        <v>622</v>
      </c>
      <c r="B155" s="2" t="s">
        <v>705</v>
      </c>
      <c r="C155" s="1">
        <v>141320055</v>
      </c>
      <c r="D155" s="1">
        <v>2500</v>
      </c>
      <c r="E155" s="12">
        <f>_xlfn.XLOOKUP(packes[[#This Row],[productId]],bom[Id],bom[wgt])</f>
        <v>1.1274069639828395</v>
      </c>
      <c r="F155" s="12">
        <f>packes[[#This Row],[num]]*packes[[#This Row],[wtg]]</f>
        <v>2818.5174099570986</v>
      </c>
      <c r="G155" s="324">
        <v>2</v>
      </c>
      <c r="H155" s="21">
        <f>packes[[#This Row],[num]]-SUM(packes[[#This Row],[num2]])</f>
        <v>2500</v>
      </c>
      <c r="I155" s="324"/>
      <c r="J155" s="21"/>
      <c r="K155" s="287"/>
    </row>
    <row r="156" spans="1:11" ht="16.5">
      <c r="A156" s="1">
        <v>623</v>
      </c>
      <c r="B156" s="2" t="s">
        <v>706</v>
      </c>
      <c r="C156" s="1">
        <v>140310007</v>
      </c>
      <c r="D156" s="1">
        <v>1600</v>
      </c>
      <c r="E156" s="12">
        <f>_xlfn.XLOOKUP(packes[[#This Row],[productId]],bom[Id],bom[wgt])</f>
        <v>1.1413748378728923</v>
      </c>
      <c r="F156" s="12">
        <f>packes[[#This Row],[num]]*packes[[#This Row],[wtg]]</f>
        <v>1826.1997405966276</v>
      </c>
      <c r="G156" s="324">
        <v>3</v>
      </c>
      <c r="H156" s="21">
        <f>packes[[#This Row],[num]]-SUM(packes[[#This Row],[num2]])</f>
        <v>1600</v>
      </c>
      <c r="I156" s="324"/>
      <c r="J156" s="21"/>
      <c r="K156" s="287"/>
    </row>
    <row r="157" spans="1:11" ht="16.5">
      <c r="A157" s="1">
        <v>624</v>
      </c>
      <c r="B157" s="2" t="s">
        <v>706</v>
      </c>
      <c r="C157" s="1">
        <v>140310071</v>
      </c>
      <c r="D157" s="1">
        <v>2050</v>
      </c>
      <c r="E157" s="12">
        <f>_xlfn.XLOOKUP(packes[[#This Row],[productId]],bom[Id],bom[wgt])</f>
        <v>1.3</v>
      </c>
      <c r="F157" s="12">
        <f>packes[[#This Row],[num]]*packes[[#This Row],[wtg]]</f>
        <v>2665</v>
      </c>
      <c r="G157" s="324">
        <v>3</v>
      </c>
      <c r="H157" s="21">
        <f>packes[[#This Row],[num]]-SUM(packes[[#This Row],[num2]])</f>
        <v>2050</v>
      </c>
      <c r="I157" s="324"/>
      <c r="J157" s="21"/>
      <c r="K157" s="287"/>
    </row>
    <row r="158" spans="1:11" ht="16.5">
      <c r="A158" s="1">
        <v>625</v>
      </c>
      <c r="B158" s="2" t="s">
        <v>706</v>
      </c>
      <c r="C158" s="1">
        <v>140310083</v>
      </c>
      <c r="D158" s="1">
        <v>700</v>
      </c>
      <c r="E158" s="12">
        <f>_xlfn.XLOOKUP(packes[[#This Row],[productId]],bom[Id],bom[wgt])</f>
        <v>1.3369250723336326</v>
      </c>
      <c r="F158" s="12">
        <f>packes[[#This Row],[num]]*packes[[#This Row],[wtg]]</f>
        <v>935.84755063354282</v>
      </c>
      <c r="G158" s="324">
        <v>3</v>
      </c>
      <c r="H158" s="21">
        <f>packes[[#This Row],[num]]-SUM(packes[[#This Row],[num2]])</f>
        <v>700</v>
      </c>
      <c r="I158" s="324"/>
      <c r="J158" s="21"/>
      <c r="K158" s="287"/>
    </row>
    <row r="159" spans="1:11" ht="16.5">
      <c r="A159" s="1">
        <v>626</v>
      </c>
      <c r="B159" s="2" t="s">
        <v>707</v>
      </c>
      <c r="C159" s="1">
        <v>140010117</v>
      </c>
      <c r="D159" s="1">
        <v>975</v>
      </c>
      <c r="E159" s="12">
        <f>_xlfn.XLOOKUP(packes[[#This Row],[productId]],bom[Id],bom[wgt])</f>
        <v>1</v>
      </c>
      <c r="F159" s="12">
        <f>packes[[#This Row],[num]]*packes[[#This Row],[wtg]]</f>
        <v>975</v>
      </c>
      <c r="G159" s="324">
        <v>3</v>
      </c>
      <c r="H159" s="21">
        <f>packes[[#This Row],[num]]-SUM(packes[[#This Row],[num2]])</f>
        <v>925</v>
      </c>
      <c r="I159" s="324" t="s">
        <v>1051</v>
      </c>
      <c r="J159" s="21">
        <v>50</v>
      </c>
      <c r="K159" s="287"/>
    </row>
    <row r="160" spans="1:11" ht="16.5">
      <c r="A160" s="1">
        <v>627</v>
      </c>
      <c r="B160" s="2" t="s">
        <v>707</v>
      </c>
      <c r="C160" s="1">
        <v>140310007</v>
      </c>
      <c r="D160" s="1">
        <v>2600</v>
      </c>
      <c r="E160" s="12">
        <f>_xlfn.XLOOKUP(packes[[#This Row],[productId]],bom[Id],bom[wgt])</f>
        <v>1.1413748378728923</v>
      </c>
      <c r="F160" s="12">
        <f>packes[[#This Row],[num]]*packes[[#This Row],[wtg]]</f>
        <v>2967.57457846952</v>
      </c>
      <c r="G160" s="324">
        <v>3</v>
      </c>
      <c r="H160" s="21">
        <f>packes[[#This Row],[num]]-SUM(packes[[#This Row],[num2]])</f>
        <v>2600</v>
      </c>
      <c r="I160" s="324"/>
      <c r="J160" s="21"/>
      <c r="K160" s="287"/>
    </row>
    <row r="161" spans="1:11" ht="16.5">
      <c r="A161" s="1">
        <v>628</v>
      </c>
      <c r="B161" s="2" t="s">
        <v>707</v>
      </c>
      <c r="C161" s="1">
        <v>140310058</v>
      </c>
      <c r="D161" s="1">
        <v>800</v>
      </c>
      <c r="E161" s="12">
        <f>_xlfn.XLOOKUP(packes[[#This Row],[productId]],bom[Id],bom[wgt])</f>
        <v>1.3469021251122417</v>
      </c>
      <c r="F161" s="12">
        <f>packes[[#This Row],[num]]*packes[[#This Row],[wtg]]</f>
        <v>1077.5217000897933</v>
      </c>
      <c r="G161" s="324">
        <v>3</v>
      </c>
      <c r="H161" s="21">
        <f>packes[[#This Row],[num]]-SUM(packes[[#This Row],[num2]])</f>
        <v>800</v>
      </c>
      <c r="I161" s="324"/>
      <c r="J161" s="21"/>
      <c r="K161" s="287"/>
    </row>
    <row r="162" spans="1:11" ht="16.5">
      <c r="A162" s="1">
        <v>629</v>
      </c>
      <c r="B162" s="2" t="s">
        <v>707</v>
      </c>
      <c r="C162" s="1">
        <v>140310071</v>
      </c>
      <c r="D162" s="1">
        <v>300</v>
      </c>
      <c r="E162" s="12">
        <f>_xlfn.XLOOKUP(packes[[#This Row],[productId]],bom[Id],bom[wgt])</f>
        <v>1.3</v>
      </c>
      <c r="F162" s="12">
        <f>packes[[#This Row],[num]]*packes[[#This Row],[wtg]]</f>
        <v>390</v>
      </c>
      <c r="G162" s="324">
        <v>3</v>
      </c>
      <c r="H162" s="21">
        <f>packes[[#This Row],[num]]-SUM(packes[[#This Row],[num2]])</f>
        <v>300</v>
      </c>
      <c r="I162" s="324"/>
      <c r="J162" s="21"/>
      <c r="K162" s="287"/>
    </row>
    <row r="163" spans="1:11" ht="16.5">
      <c r="A163" s="1">
        <v>630</v>
      </c>
      <c r="B163" s="2" t="s">
        <v>707</v>
      </c>
      <c r="C163" s="1">
        <v>140310083</v>
      </c>
      <c r="D163" s="1">
        <v>1000</v>
      </c>
      <c r="E163" s="12">
        <f>_xlfn.XLOOKUP(packes[[#This Row],[productId]],bom[Id],bom[wgt])</f>
        <v>1.3369250723336326</v>
      </c>
      <c r="F163" s="12">
        <f>packes[[#This Row],[num]]*packes[[#This Row],[wtg]]</f>
        <v>1336.9250723336327</v>
      </c>
      <c r="G163" s="324">
        <v>3</v>
      </c>
      <c r="H163" s="21">
        <f>packes[[#This Row],[num]]-SUM(packes[[#This Row],[num2]])</f>
        <v>1000</v>
      </c>
      <c r="I163" s="324"/>
      <c r="J163" s="21"/>
      <c r="K163" s="287"/>
    </row>
    <row r="164" spans="1:11" ht="16.5">
      <c r="A164" s="1">
        <v>631</v>
      </c>
      <c r="B164" s="2" t="s">
        <v>707</v>
      </c>
      <c r="C164" s="1">
        <v>141320055</v>
      </c>
      <c r="D164" s="1">
        <v>1600</v>
      </c>
      <c r="E164" s="12">
        <f>_xlfn.XLOOKUP(packes[[#This Row],[productId]],bom[Id],bom[wgt])</f>
        <v>1.1274069639828395</v>
      </c>
      <c r="F164" s="12">
        <f>packes[[#This Row],[num]]*packes[[#This Row],[wtg]]</f>
        <v>1803.8511423725431</v>
      </c>
      <c r="G164" s="324">
        <v>2</v>
      </c>
      <c r="H164" s="21">
        <f>packes[[#This Row],[num]]-SUM(packes[[#This Row],[num2]])</f>
        <v>1600</v>
      </c>
      <c r="I164" s="324"/>
      <c r="J164" s="21"/>
      <c r="K164" s="287"/>
    </row>
    <row r="165" spans="1:11" ht="16.5">
      <c r="A165" s="1">
        <v>632</v>
      </c>
      <c r="B165" s="2" t="s">
        <v>708</v>
      </c>
      <c r="C165" s="1">
        <v>140010117</v>
      </c>
      <c r="D165" s="1">
        <f>375+100</f>
        <v>475</v>
      </c>
      <c r="E165" s="12">
        <f>_xlfn.XLOOKUP(packes[[#This Row],[productId]],bom[Id],bom[wgt])</f>
        <v>1</v>
      </c>
      <c r="F165" s="12">
        <f>packes[[#This Row],[num]]*packes[[#This Row],[wtg]]</f>
        <v>475</v>
      </c>
      <c r="G165" s="324">
        <v>3</v>
      </c>
      <c r="H165" s="21">
        <f>packes[[#This Row],[num]]-SUM(packes[[#This Row],[num2]])</f>
        <v>475</v>
      </c>
      <c r="I165" s="324"/>
      <c r="J165" s="21"/>
      <c r="K165" s="287"/>
    </row>
    <row r="166" spans="1:11" ht="16.5">
      <c r="A166" s="1">
        <v>633</v>
      </c>
      <c r="B166" s="2" t="s">
        <v>708</v>
      </c>
      <c r="C166" s="1">
        <v>140010230</v>
      </c>
      <c r="D166" s="1">
        <v>100</v>
      </c>
      <c r="E166" s="12">
        <f>_xlfn.XLOOKUP(packes[[#This Row],[productId]],bom[Id],bom[wgt])</f>
        <v>1.4486680634540554</v>
      </c>
      <c r="F166" s="12">
        <f>packes[[#This Row],[num]]*packes[[#This Row],[wtg]]</f>
        <v>144.86680634540554</v>
      </c>
      <c r="G166" s="324">
        <v>2</v>
      </c>
      <c r="H166" s="21">
        <f>packes[[#This Row],[num]]-SUM(packes[[#This Row],[num2]])</f>
        <v>100</v>
      </c>
      <c r="I166" s="324"/>
      <c r="J166" s="21"/>
      <c r="K166" s="287"/>
    </row>
    <row r="167" spans="1:11" ht="16.5">
      <c r="A167" s="1">
        <v>634</v>
      </c>
      <c r="B167" s="2" t="s">
        <v>708</v>
      </c>
      <c r="C167" s="1">
        <v>140310007</v>
      </c>
      <c r="D167" s="1">
        <v>800</v>
      </c>
      <c r="E167" s="12">
        <f>_xlfn.XLOOKUP(packes[[#This Row],[productId]],bom[Id],bom[wgt])</f>
        <v>1.1413748378728923</v>
      </c>
      <c r="F167" s="12">
        <f>packes[[#This Row],[num]]*packes[[#This Row],[wtg]]</f>
        <v>913.09987029831382</v>
      </c>
      <c r="G167" s="324">
        <v>3</v>
      </c>
      <c r="H167" s="21">
        <f>packes[[#This Row],[num]]-SUM(packes[[#This Row],[num2]])</f>
        <v>800</v>
      </c>
      <c r="I167" s="324"/>
      <c r="J167" s="21"/>
      <c r="K167" s="287"/>
    </row>
    <row r="168" spans="1:11" ht="16.5">
      <c r="A168" s="1">
        <v>635</v>
      </c>
      <c r="B168" s="2" t="s">
        <v>708</v>
      </c>
      <c r="C168" s="1">
        <v>140310071</v>
      </c>
      <c r="D168" s="1">
        <v>550</v>
      </c>
      <c r="E168" s="12">
        <f>_xlfn.XLOOKUP(packes[[#This Row],[productId]],bom[Id],bom[wgt])</f>
        <v>1.3</v>
      </c>
      <c r="F168" s="12">
        <f>packes[[#This Row],[num]]*packes[[#This Row],[wtg]]</f>
        <v>715</v>
      </c>
      <c r="G168" s="324">
        <v>3</v>
      </c>
      <c r="H168" s="21">
        <f>packes[[#This Row],[num]]-SUM(packes[[#This Row],[num2]])</f>
        <v>550</v>
      </c>
      <c r="I168" s="324"/>
      <c r="J168" s="21"/>
      <c r="K168" s="287"/>
    </row>
    <row r="169" spans="1:11" ht="16.5">
      <c r="A169" s="1">
        <v>636</v>
      </c>
      <c r="B169" s="2" t="s">
        <v>708</v>
      </c>
      <c r="C169" s="1">
        <v>140310083</v>
      </c>
      <c r="D169" s="1">
        <v>900</v>
      </c>
      <c r="E169" s="12">
        <f>_xlfn.XLOOKUP(packes[[#This Row],[productId]],bom[Id],bom[wgt])</f>
        <v>1.3369250723336326</v>
      </c>
      <c r="F169" s="12">
        <f>packes[[#This Row],[num]]*packes[[#This Row],[wtg]]</f>
        <v>1203.2325651002693</v>
      </c>
      <c r="G169" s="324">
        <v>3</v>
      </c>
      <c r="H169" s="21">
        <f>packes[[#This Row],[num]]-SUM(packes[[#This Row],[num2]])</f>
        <v>900</v>
      </c>
      <c r="I169" s="324"/>
      <c r="J169" s="21"/>
      <c r="K169" s="287"/>
    </row>
    <row r="170" spans="1:11" ht="16.5">
      <c r="A170" s="1">
        <v>637</v>
      </c>
      <c r="B170" s="2" t="s">
        <v>708</v>
      </c>
      <c r="C170" s="1">
        <v>141320055</v>
      </c>
      <c r="D170" s="1">
        <v>1000</v>
      </c>
      <c r="E170" s="12">
        <f>_xlfn.XLOOKUP(packes[[#This Row],[productId]],bom[Id],bom[wgt])</f>
        <v>1.1274069639828395</v>
      </c>
      <c r="F170" s="12">
        <f>packes[[#This Row],[num]]*packes[[#This Row],[wtg]]</f>
        <v>1127.4069639828394</v>
      </c>
      <c r="G170" s="324">
        <v>2</v>
      </c>
      <c r="H170" s="21">
        <f>packes[[#This Row],[num]]-SUM(packes[[#This Row],[num2]])</f>
        <v>1000</v>
      </c>
      <c r="I170" s="324"/>
      <c r="J170" s="21"/>
      <c r="K170" s="287"/>
    </row>
    <row r="171" spans="1:11" ht="16.5">
      <c r="A171" s="1">
        <v>638</v>
      </c>
      <c r="B171" s="2" t="s">
        <v>710</v>
      </c>
      <c r="C171" s="1">
        <v>140010117</v>
      </c>
      <c r="D171" s="1">
        <v>825</v>
      </c>
      <c r="E171" s="12">
        <f>_xlfn.XLOOKUP(packes[[#This Row],[productId]],bom[Id],bom[wgt])</f>
        <v>1</v>
      </c>
      <c r="F171" s="12">
        <f>packes[[#This Row],[num]]*packes[[#This Row],[wtg]]</f>
        <v>825</v>
      </c>
      <c r="G171" s="324">
        <v>3</v>
      </c>
      <c r="H171" s="21">
        <f>packes[[#This Row],[num]]-SUM(packes[[#This Row],[num2]])</f>
        <v>825</v>
      </c>
      <c r="I171" s="324"/>
      <c r="J171" s="21"/>
      <c r="K171" s="287"/>
    </row>
    <row r="172" spans="1:11" ht="16.5">
      <c r="A172" s="1">
        <v>639</v>
      </c>
      <c r="B172" s="2" t="s">
        <v>710</v>
      </c>
      <c r="C172" s="1">
        <v>140310007</v>
      </c>
      <c r="D172" s="1">
        <v>1000</v>
      </c>
      <c r="E172" s="12">
        <f>_xlfn.XLOOKUP(packes[[#This Row],[productId]],bom[Id],bom[wgt])</f>
        <v>1.1413748378728923</v>
      </c>
      <c r="F172" s="12">
        <f>packes[[#This Row],[num]]*packes[[#This Row],[wtg]]</f>
        <v>1141.3748378728924</v>
      </c>
      <c r="G172" s="324">
        <v>3</v>
      </c>
      <c r="H172" s="21">
        <f>packes[[#This Row],[num]]-SUM(packes[[#This Row],[num2]])</f>
        <v>1000</v>
      </c>
      <c r="I172" s="324"/>
      <c r="J172" s="21"/>
      <c r="K172" s="287"/>
    </row>
    <row r="173" spans="1:11" ht="16.5">
      <c r="A173" s="1">
        <v>640</v>
      </c>
      <c r="B173" s="2" t="s">
        <v>710</v>
      </c>
      <c r="C173" s="1">
        <v>140310058</v>
      </c>
      <c r="D173" s="1">
        <v>400</v>
      </c>
      <c r="E173" s="12">
        <f>_xlfn.XLOOKUP(packes[[#This Row],[productId]],bom[Id],bom[wgt])</f>
        <v>1.3469021251122417</v>
      </c>
      <c r="F173" s="12">
        <f>packes[[#This Row],[num]]*packes[[#This Row],[wtg]]</f>
        <v>538.76085004489664</v>
      </c>
      <c r="G173" s="324">
        <v>3</v>
      </c>
      <c r="H173" s="21">
        <f>packes[[#This Row],[num]]-SUM(packes[[#This Row],[num2]])</f>
        <v>400</v>
      </c>
      <c r="I173" s="324"/>
      <c r="J173" s="21"/>
      <c r="K173" s="287"/>
    </row>
    <row r="174" spans="1:11" ht="16.5">
      <c r="A174" s="1">
        <v>641</v>
      </c>
      <c r="B174" s="2" t="s">
        <v>710</v>
      </c>
      <c r="C174" s="1">
        <v>140310071</v>
      </c>
      <c r="D174" s="1">
        <v>1400</v>
      </c>
      <c r="E174" s="12">
        <f>_xlfn.XLOOKUP(packes[[#This Row],[productId]],bom[Id],bom[wgt])</f>
        <v>1.3</v>
      </c>
      <c r="F174" s="12">
        <f>packes[[#This Row],[num]]*packes[[#This Row],[wtg]]</f>
        <v>1820</v>
      </c>
      <c r="G174" s="324">
        <v>3</v>
      </c>
      <c r="H174" s="21">
        <f>packes[[#This Row],[num]]-SUM(packes[[#This Row],[num2]])</f>
        <v>1400</v>
      </c>
      <c r="I174" s="324"/>
      <c r="J174" s="21"/>
      <c r="K174" s="287"/>
    </row>
    <row r="175" spans="1:11" ht="16.5">
      <c r="A175" s="1">
        <v>642</v>
      </c>
      <c r="B175" s="2" t="s">
        <v>710</v>
      </c>
      <c r="C175" s="1">
        <v>140310083</v>
      </c>
      <c r="D175" s="1">
        <v>1500</v>
      </c>
      <c r="E175" s="12">
        <f>_xlfn.XLOOKUP(packes[[#This Row],[productId]],bom[Id],bom[wgt])</f>
        <v>1.3369250723336326</v>
      </c>
      <c r="F175" s="12">
        <f>packes[[#This Row],[num]]*packes[[#This Row],[wtg]]</f>
        <v>2005.3876085004488</v>
      </c>
      <c r="G175" s="324">
        <v>3</v>
      </c>
      <c r="H175" s="21">
        <f>packes[[#This Row],[num]]-SUM(packes[[#This Row],[num2]])</f>
        <v>1500</v>
      </c>
      <c r="I175" s="324"/>
      <c r="J175" s="21"/>
      <c r="K175" s="287"/>
    </row>
    <row r="176" spans="1:11" ht="16.5">
      <c r="A176" s="1">
        <v>643</v>
      </c>
      <c r="B176" s="2" t="s">
        <v>710</v>
      </c>
      <c r="C176" s="1">
        <v>141320055</v>
      </c>
      <c r="D176" s="1">
        <v>3900</v>
      </c>
      <c r="E176" s="12">
        <f>_xlfn.XLOOKUP(packes[[#This Row],[productId]],bom[Id],bom[wgt])</f>
        <v>1.1274069639828395</v>
      </c>
      <c r="F176" s="12">
        <f>packes[[#This Row],[num]]*packes[[#This Row],[wtg]]</f>
        <v>4396.8871595330738</v>
      </c>
      <c r="G176" s="324">
        <v>2</v>
      </c>
      <c r="H176" s="21">
        <f>packes[[#This Row],[num]]-SUM(packes[[#This Row],[num2]])</f>
        <v>3900</v>
      </c>
      <c r="I176" s="324"/>
      <c r="J176" s="21"/>
      <c r="K176" s="287"/>
    </row>
    <row r="177" spans="1:11" ht="16.5">
      <c r="A177" s="1">
        <v>644</v>
      </c>
      <c r="B177" s="2" t="s">
        <v>711</v>
      </c>
      <c r="C177" s="1">
        <v>140010117</v>
      </c>
      <c r="D177" s="1">
        <v>1275</v>
      </c>
      <c r="E177" s="12">
        <f>_xlfn.XLOOKUP(packes[[#This Row],[productId]],bom[Id],bom[wgt])</f>
        <v>1</v>
      </c>
      <c r="F177" s="12">
        <f>packes[[#This Row],[num]]*packes[[#This Row],[wtg]]</f>
        <v>1275</v>
      </c>
      <c r="G177" s="324">
        <v>3</v>
      </c>
      <c r="H177" s="21">
        <f>packes[[#This Row],[num]]-SUM(packes[[#This Row],[num2]])</f>
        <v>1275</v>
      </c>
      <c r="I177" s="324"/>
      <c r="J177" s="21"/>
      <c r="K177" s="287"/>
    </row>
    <row r="178" spans="1:11" ht="16.5">
      <c r="A178" s="1">
        <v>645</v>
      </c>
      <c r="B178" s="2" t="s">
        <v>711</v>
      </c>
      <c r="C178" s="1">
        <v>140030039</v>
      </c>
      <c r="D178" s="1">
        <v>300</v>
      </c>
      <c r="E178" s="12">
        <f>_xlfn.XLOOKUP(packes[[#This Row],[productId]],bom[Id],bom[wgt])</f>
        <v>1.1413748378728923</v>
      </c>
      <c r="F178" s="12">
        <f>packes[[#This Row],[num]]*packes[[#This Row],[wtg]]</f>
        <v>342.41245136186768</v>
      </c>
      <c r="G178" s="324">
        <v>3</v>
      </c>
      <c r="H178" s="21">
        <f>packes[[#This Row],[num]]-SUM(packes[[#This Row],[num2]])</f>
        <v>300</v>
      </c>
      <c r="I178" s="324"/>
      <c r="J178" s="21"/>
      <c r="K178" s="287"/>
    </row>
    <row r="179" spans="1:11" ht="16.5">
      <c r="A179" s="1">
        <v>646</v>
      </c>
      <c r="B179" s="2" t="s">
        <v>711</v>
      </c>
      <c r="C179" s="1">
        <v>140310007</v>
      </c>
      <c r="D179" s="1">
        <v>400</v>
      </c>
      <c r="E179" s="12">
        <f>_xlfn.XLOOKUP(packes[[#This Row],[productId]],bom[Id],bom[wgt])</f>
        <v>1.1413748378728923</v>
      </c>
      <c r="F179" s="12">
        <f>packes[[#This Row],[num]]*packes[[#This Row],[wtg]]</f>
        <v>456.54993514915691</v>
      </c>
      <c r="G179" s="324">
        <v>3</v>
      </c>
      <c r="H179" s="21">
        <f>packes[[#This Row],[num]]-SUM(packes[[#This Row],[num2]])</f>
        <v>400</v>
      </c>
      <c r="I179" s="324"/>
      <c r="J179" s="21"/>
      <c r="K179" s="287"/>
    </row>
    <row r="180" spans="1:11" ht="16.5">
      <c r="A180" s="1">
        <v>647</v>
      </c>
      <c r="B180" s="2" t="s">
        <v>711</v>
      </c>
      <c r="C180" s="1">
        <v>140310058</v>
      </c>
      <c r="D180" s="1">
        <v>700</v>
      </c>
      <c r="E180" s="12">
        <f>_xlfn.XLOOKUP(packes[[#This Row],[productId]],bom[Id],bom[wgt])</f>
        <v>1.3469021251122417</v>
      </c>
      <c r="F180" s="12">
        <f>packes[[#This Row],[num]]*packes[[#This Row],[wtg]]</f>
        <v>942.83148757856918</v>
      </c>
      <c r="G180" s="324">
        <v>3</v>
      </c>
      <c r="H180" s="21">
        <f>packes[[#This Row],[num]]-SUM(packes[[#This Row],[num2]])</f>
        <v>700</v>
      </c>
      <c r="I180" s="324"/>
      <c r="J180" s="21"/>
      <c r="K180" s="287"/>
    </row>
    <row r="181" spans="1:11" ht="16.5">
      <c r="A181" s="1">
        <v>648</v>
      </c>
      <c r="B181" s="2" t="s">
        <v>711</v>
      </c>
      <c r="C181" s="1">
        <v>140310071</v>
      </c>
      <c r="D181" s="1">
        <v>400</v>
      </c>
      <c r="E181" s="12">
        <f>_xlfn.XLOOKUP(packes[[#This Row],[productId]],bom[Id],bom[wgt])</f>
        <v>1.3</v>
      </c>
      <c r="F181" s="12">
        <f>packes[[#This Row],[num]]*packes[[#This Row],[wtg]]</f>
        <v>520</v>
      </c>
      <c r="G181" s="324">
        <v>3</v>
      </c>
      <c r="H181" s="21">
        <f>packes[[#This Row],[num]]-SUM(packes[[#This Row],[num2]])</f>
        <v>400</v>
      </c>
      <c r="I181" s="324"/>
      <c r="J181" s="21"/>
      <c r="K181" s="287"/>
    </row>
    <row r="182" spans="1:11" ht="16.5">
      <c r="A182" s="1">
        <v>649</v>
      </c>
      <c r="B182" s="2" t="s">
        <v>711</v>
      </c>
      <c r="C182" s="1">
        <v>140310083</v>
      </c>
      <c r="D182" s="1">
        <v>1100</v>
      </c>
      <c r="E182" s="12">
        <f>_xlfn.XLOOKUP(packes[[#This Row],[productId]],bom[Id],bom[wgt])</f>
        <v>1.3369250723336326</v>
      </c>
      <c r="F182" s="12">
        <f>packes[[#This Row],[num]]*packes[[#This Row],[wtg]]</f>
        <v>1470.6175795669958</v>
      </c>
      <c r="G182" s="324">
        <v>3</v>
      </c>
      <c r="H182" s="21">
        <f>packes[[#This Row],[num]]-SUM(packes[[#This Row],[num2]])</f>
        <v>1100</v>
      </c>
      <c r="I182" s="324"/>
      <c r="J182" s="21"/>
      <c r="K182" s="287"/>
    </row>
    <row r="183" spans="1:11" ht="16.5">
      <c r="A183" s="1">
        <v>650</v>
      </c>
      <c r="B183" s="2" t="s">
        <v>711</v>
      </c>
      <c r="C183" s="1">
        <v>140310096</v>
      </c>
      <c r="D183" s="1">
        <v>900</v>
      </c>
      <c r="E183" s="12">
        <f>_xlfn.XLOOKUP(packes[[#This Row],[productId]],bom[Id],bom[wgt])</f>
        <v>1.3</v>
      </c>
      <c r="F183" s="12">
        <f>packes[[#This Row],[num]]*packes[[#This Row],[wtg]]</f>
        <v>1170</v>
      </c>
      <c r="G183" s="324">
        <v>3</v>
      </c>
      <c r="H183" s="21">
        <f>packes[[#This Row],[num]]-SUM(packes[[#This Row],[num2]])</f>
        <v>900</v>
      </c>
      <c r="I183" s="324"/>
      <c r="J183" s="21"/>
      <c r="K183" s="287"/>
    </row>
    <row r="184" spans="1:11" ht="16.5">
      <c r="A184" s="1">
        <v>651</v>
      </c>
      <c r="B184" s="2" t="s">
        <v>711</v>
      </c>
      <c r="C184" s="1">
        <v>140450027</v>
      </c>
      <c r="D184" s="1">
        <v>440</v>
      </c>
      <c r="E184" s="12">
        <f>_xlfn.XLOOKUP(packes[[#This Row],[productId]],bom[Id],bom[wgt])</f>
        <v>1.5264890751272073</v>
      </c>
      <c r="F184" s="12">
        <f>packes[[#This Row],[num]]*packes[[#This Row],[wtg]]</f>
        <v>671.65519305597127</v>
      </c>
      <c r="G184" s="324">
        <v>11</v>
      </c>
      <c r="H184" s="21">
        <f>packes[[#This Row],[num]]-SUM(packes[[#This Row],[num2]])</f>
        <v>440</v>
      </c>
      <c r="I184" s="324"/>
      <c r="J184" s="21"/>
      <c r="K184" s="287"/>
    </row>
    <row r="185" spans="1:11" ht="16.5">
      <c r="A185" s="1">
        <v>652</v>
      </c>
      <c r="B185" s="2" t="s">
        <v>711</v>
      </c>
      <c r="C185" s="1">
        <v>141320055</v>
      </c>
      <c r="D185" s="1">
        <v>2000</v>
      </c>
      <c r="E185" s="12">
        <f>_xlfn.XLOOKUP(packes[[#This Row],[productId]],bom[Id],bom[wgt])</f>
        <v>1.1274069639828395</v>
      </c>
      <c r="F185" s="12">
        <f>packes[[#This Row],[num]]*packes[[#This Row],[wtg]]</f>
        <v>2254.8139279656789</v>
      </c>
      <c r="G185" s="324">
        <v>2</v>
      </c>
      <c r="H185" s="21">
        <f>packes[[#This Row],[num]]-SUM(packes[[#This Row],[num2]])</f>
        <v>2000</v>
      </c>
      <c r="I185" s="324"/>
      <c r="J185" s="21"/>
      <c r="K185" s="287"/>
    </row>
    <row r="186" spans="1:11" ht="16.5">
      <c r="A186" s="1">
        <v>653</v>
      </c>
      <c r="B186" s="2" t="s">
        <v>712</v>
      </c>
      <c r="C186" s="1">
        <v>140010117</v>
      </c>
      <c r="D186" s="1">
        <v>900</v>
      </c>
      <c r="E186" s="12">
        <f>_xlfn.XLOOKUP(packes[[#This Row],[productId]],bom[Id],bom[wgt])</f>
        <v>1</v>
      </c>
      <c r="F186" s="12">
        <f>packes[[#This Row],[num]]*packes[[#This Row],[wtg]]</f>
        <v>900</v>
      </c>
      <c r="G186" s="324">
        <v>3</v>
      </c>
      <c r="H186" s="21">
        <f>packes[[#This Row],[num]]-SUM(packes[[#This Row],[num2]])</f>
        <v>900</v>
      </c>
      <c r="I186" s="324"/>
      <c r="J186" s="21"/>
      <c r="K186" s="287"/>
    </row>
    <row r="187" spans="1:11" ht="16.5">
      <c r="A187" s="1">
        <v>654</v>
      </c>
      <c r="B187" s="2" t="s">
        <v>712</v>
      </c>
      <c r="C187" s="1">
        <v>140030039</v>
      </c>
      <c r="D187" s="1">
        <v>600</v>
      </c>
      <c r="E187" s="12">
        <f>_xlfn.XLOOKUP(packes[[#This Row],[productId]],bom[Id],bom[wgt])</f>
        <v>1.1413748378728923</v>
      </c>
      <c r="F187" s="12">
        <f>packes[[#This Row],[num]]*packes[[#This Row],[wtg]]</f>
        <v>684.82490272373536</v>
      </c>
      <c r="G187" s="324">
        <v>3</v>
      </c>
      <c r="H187" s="21">
        <f>packes[[#This Row],[num]]-SUM(packes[[#This Row],[num2]])</f>
        <v>600</v>
      </c>
      <c r="I187" s="324"/>
      <c r="J187" s="21"/>
      <c r="K187" s="287"/>
    </row>
    <row r="188" spans="1:11" ht="16.5">
      <c r="A188" s="1">
        <v>655</v>
      </c>
      <c r="B188" s="2" t="s">
        <v>712</v>
      </c>
      <c r="C188" s="1">
        <v>140310007</v>
      </c>
      <c r="D188" s="1">
        <v>300</v>
      </c>
      <c r="E188" s="12">
        <f>_xlfn.XLOOKUP(packes[[#This Row],[productId]],bom[Id],bom[wgt])</f>
        <v>1.1413748378728923</v>
      </c>
      <c r="F188" s="12">
        <f>packes[[#This Row],[num]]*packes[[#This Row],[wtg]]</f>
        <v>342.41245136186768</v>
      </c>
      <c r="G188" s="324">
        <v>3</v>
      </c>
      <c r="H188" s="21">
        <f>packes[[#This Row],[num]]-SUM(packes[[#This Row],[num2]])</f>
        <v>300</v>
      </c>
      <c r="I188" s="324"/>
      <c r="J188" s="21"/>
      <c r="K188" s="287"/>
    </row>
    <row r="189" spans="1:11" ht="16.5">
      <c r="A189" s="1">
        <v>656</v>
      </c>
      <c r="B189" s="2" t="s">
        <v>712</v>
      </c>
      <c r="C189" s="1">
        <v>140310071</v>
      </c>
      <c r="D189" s="1">
        <v>1200</v>
      </c>
      <c r="E189" s="12">
        <f>_xlfn.XLOOKUP(packes[[#This Row],[productId]],bom[Id],bom[wgt])</f>
        <v>1.3</v>
      </c>
      <c r="F189" s="12">
        <f>packes[[#This Row],[num]]*packes[[#This Row],[wtg]]</f>
        <v>1560</v>
      </c>
      <c r="G189" s="324">
        <v>3</v>
      </c>
      <c r="H189" s="21">
        <f>packes[[#This Row],[num]]-SUM(packes[[#This Row],[num2]])</f>
        <v>1200</v>
      </c>
      <c r="I189" s="324"/>
      <c r="J189" s="21"/>
      <c r="K189" s="287"/>
    </row>
    <row r="190" spans="1:11" ht="16.5">
      <c r="A190" s="1">
        <v>657</v>
      </c>
      <c r="B190" s="2" t="s">
        <v>712</v>
      </c>
      <c r="C190" s="1">
        <v>140310083</v>
      </c>
      <c r="D190" s="1">
        <v>1000</v>
      </c>
      <c r="E190" s="12">
        <f>_xlfn.XLOOKUP(packes[[#This Row],[productId]],bom[Id],bom[wgt])</f>
        <v>1.3369250723336326</v>
      </c>
      <c r="F190" s="12">
        <f>packes[[#This Row],[num]]*packes[[#This Row],[wtg]]</f>
        <v>1336.9250723336327</v>
      </c>
      <c r="G190" s="324">
        <v>3</v>
      </c>
      <c r="H190" s="21">
        <f>packes[[#This Row],[num]]-SUM(packes[[#This Row],[num2]])</f>
        <v>1000</v>
      </c>
      <c r="I190" s="324"/>
      <c r="J190" s="21"/>
      <c r="K190" s="287"/>
    </row>
    <row r="191" spans="1:11" ht="16.5">
      <c r="A191" s="1">
        <v>658</v>
      </c>
      <c r="B191" s="2" t="s">
        <v>712</v>
      </c>
      <c r="C191" s="1">
        <v>140310096</v>
      </c>
      <c r="D191" s="1">
        <v>250</v>
      </c>
      <c r="E191" s="12">
        <f>_xlfn.XLOOKUP(packes[[#This Row],[productId]],bom[Id],bom[wgt])</f>
        <v>1.3</v>
      </c>
      <c r="F191" s="12">
        <f>packes[[#This Row],[num]]*packes[[#This Row],[wtg]]</f>
        <v>325</v>
      </c>
      <c r="G191" s="324">
        <v>3</v>
      </c>
      <c r="H191" s="21">
        <f>packes[[#This Row],[num]]-SUM(packes[[#This Row],[num2]])</f>
        <v>250</v>
      </c>
      <c r="I191" s="324"/>
      <c r="J191" s="21"/>
      <c r="K191" s="287"/>
    </row>
    <row r="192" spans="1:11" ht="16.5">
      <c r="A192" s="1">
        <v>659</v>
      </c>
      <c r="B192" s="2" t="s">
        <v>712</v>
      </c>
      <c r="C192" s="1">
        <v>140450027</v>
      </c>
      <c r="D192" s="1">
        <v>960</v>
      </c>
      <c r="E192" s="12">
        <f>_xlfn.XLOOKUP(packes[[#This Row],[productId]],bom[Id],bom[wgt])</f>
        <v>1.5264890751272073</v>
      </c>
      <c r="F192" s="12">
        <f>packes[[#This Row],[num]]*packes[[#This Row],[wtg]]</f>
        <v>1465.4295121221189</v>
      </c>
      <c r="G192" s="324">
        <v>11</v>
      </c>
      <c r="H192" s="21">
        <f>packes[[#This Row],[num]]-SUM(packes[[#This Row],[num2]])</f>
        <v>960</v>
      </c>
      <c r="I192" s="324"/>
      <c r="J192" s="21"/>
      <c r="K192" s="287"/>
    </row>
    <row r="193" spans="1:11" ht="16.5">
      <c r="A193" s="1">
        <v>660</v>
      </c>
      <c r="B193" s="2" t="s">
        <v>712</v>
      </c>
      <c r="C193" s="1">
        <v>141320055</v>
      </c>
      <c r="D193" s="1">
        <v>2400</v>
      </c>
      <c r="E193" s="12">
        <f>_xlfn.XLOOKUP(packes[[#This Row],[productId]],bom[Id],bom[wgt])</f>
        <v>1.1274069639828395</v>
      </c>
      <c r="F193" s="12">
        <f>packes[[#This Row],[num]]*packes[[#This Row],[wtg]]</f>
        <v>2705.7767135588147</v>
      </c>
      <c r="G193" s="324">
        <v>2</v>
      </c>
      <c r="H193" s="21">
        <f>packes[[#This Row],[num]]-SUM(packes[[#This Row],[num2]])</f>
        <v>2400</v>
      </c>
      <c r="I193" s="324"/>
      <c r="J193" s="21"/>
      <c r="K193" s="287"/>
    </row>
    <row r="194" spans="1:11" ht="16.5">
      <c r="A194" s="1">
        <v>661</v>
      </c>
      <c r="B194" s="2" t="s">
        <v>713</v>
      </c>
      <c r="C194" s="1">
        <v>140010117</v>
      </c>
      <c r="D194" s="1">
        <v>225</v>
      </c>
      <c r="E194" s="12">
        <f>_xlfn.XLOOKUP(packes[[#This Row],[productId]],bom[Id],bom[wgt])</f>
        <v>1</v>
      </c>
      <c r="F194" s="12">
        <f>packes[[#This Row],[num]]*packes[[#This Row],[wtg]]</f>
        <v>225</v>
      </c>
      <c r="G194" s="324">
        <v>3</v>
      </c>
      <c r="H194" s="21">
        <f>packes[[#This Row],[num]]-SUM(packes[[#This Row],[num2]])</f>
        <v>225</v>
      </c>
      <c r="I194" s="324"/>
      <c r="J194" s="21"/>
      <c r="K194" s="287"/>
    </row>
    <row r="195" spans="1:11" ht="16.5">
      <c r="A195" s="1">
        <v>662</v>
      </c>
      <c r="B195" s="2" t="s">
        <v>713</v>
      </c>
      <c r="C195" s="1">
        <v>140030039</v>
      </c>
      <c r="D195" s="1">
        <v>1200</v>
      </c>
      <c r="E195" s="12">
        <f>_xlfn.XLOOKUP(packes[[#This Row],[productId]],bom[Id],bom[wgt])</f>
        <v>1.1413748378728923</v>
      </c>
      <c r="F195" s="12">
        <f>packes[[#This Row],[num]]*packes[[#This Row],[wtg]]</f>
        <v>1369.6498054474707</v>
      </c>
      <c r="G195" s="324">
        <v>3</v>
      </c>
      <c r="H195" s="21">
        <f>packes[[#This Row],[num]]-SUM(packes[[#This Row],[num2]])</f>
        <v>1200</v>
      </c>
      <c r="I195" s="324"/>
      <c r="J195" s="21"/>
      <c r="K195" s="287"/>
    </row>
    <row r="196" spans="1:11" ht="16.5">
      <c r="A196" s="1">
        <v>663</v>
      </c>
      <c r="B196" s="2" t="s">
        <v>713</v>
      </c>
      <c r="C196" s="1">
        <v>140030040</v>
      </c>
      <c r="D196" s="1">
        <v>500</v>
      </c>
      <c r="E196" s="12">
        <f>_xlfn.XLOOKUP(packes[[#This Row],[productId]],bom[Id],bom[wgt])</f>
        <v>1.1092487279257708</v>
      </c>
      <c r="F196" s="12">
        <f>packes[[#This Row],[num]]*packes[[#This Row],[wtg]]</f>
        <v>554.62436396288535</v>
      </c>
      <c r="G196" s="324">
        <v>3</v>
      </c>
      <c r="H196" s="21">
        <f>packes[[#This Row],[num]]-SUM(packes[[#This Row],[num2]])</f>
        <v>500</v>
      </c>
      <c r="I196" s="324"/>
      <c r="J196" s="21"/>
      <c r="K196" s="287"/>
    </row>
    <row r="197" spans="1:11" ht="16.5">
      <c r="A197" s="1">
        <v>664</v>
      </c>
      <c r="B197" s="2" t="s">
        <v>713</v>
      </c>
      <c r="C197" s="1">
        <v>140310071</v>
      </c>
      <c r="D197" s="1">
        <v>1450</v>
      </c>
      <c r="E197" s="12">
        <f>_xlfn.XLOOKUP(packes[[#This Row],[productId]],bom[Id],bom[wgt])</f>
        <v>1.3</v>
      </c>
      <c r="F197" s="12">
        <f>packes[[#This Row],[num]]*packes[[#This Row],[wtg]]</f>
        <v>1885</v>
      </c>
      <c r="G197" s="324">
        <v>3</v>
      </c>
      <c r="H197" s="21">
        <f>packes[[#This Row],[num]]-SUM(packes[[#This Row],[num2]])</f>
        <v>1450</v>
      </c>
      <c r="I197" s="324"/>
      <c r="J197" s="21"/>
      <c r="K197" s="287"/>
    </row>
    <row r="198" spans="1:11" ht="16.5">
      <c r="A198" s="1">
        <v>665</v>
      </c>
      <c r="B198" s="2" t="s">
        <v>713</v>
      </c>
      <c r="C198" s="1">
        <v>140310083</v>
      </c>
      <c r="D198" s="1">
        <v>1600</v>
      </c>
      <c r="E198" s="12">
        <f>_xlfn.XLOOKUP(packes[[#This Row],[productId]],bom[Id],bom[wgt])</f>
        <v>1.3369250723336326</v>
      </c>
      <c r="F198" s="12">
        <f>packes[[#This Row],[num]]*packes[[#This Row],[wtg]]</f>
        <v>2139.0801157338119</v>
      </c>
      <c r="G198" s="324">
        <v>3</v>
      </c>
      <c r="H198" s="21">
        <f>packes[[#This Row],[num]]-SUM(packes[[#This Row],[num2]])</f>
        <v>1600</v>
      </c>
      <c r="I198" s="324"/>
      <c r="J198" s="21"/>
      <c r="K198" s="287"/>
    </row>
    <row r="199" spans="1:11" ht="16.5">
      <c r="A199" s="1">
        <v>666</v>
      </c>
      <c r="B199" s="2" t="s">
        <v>713</v>
      </c>
      <c r="C199" s="1">
        <v>140450027</v>
      </c>
      <c r="D199" s="1">
        <v>1760</v>
      </c>
      <c r="E199" s="12">
        <f>_xlfn.XLOOKUP(packes[[#This Row],[productId]],bom[Id],bom[wgt])</f>
        <v>1.5264890751272073</v>
      </c>
      <c r="F199" s="12">
        <f>packes[[#This Row],[num]]*packes[[#This Row],[wtg]]</f>
        <v>2686.6207722238851</v>
      </c>
      <c r="G199" s="324">
        <v>11</v>
      </c>
      <c r="H199" s="21">
        <f>packes[[#This Row],[num]]-SUM(packes[[#This Row],[num2]])</f>
        <v>1760</v>
      </c>
      <c r="I199" s="324"/>
      <c r="J199" s="21"/>
      <c r="K199" s="287"/>
    </row>
    <row r="200" spans="1:11" ht="16.5">
      <c r="A200" s="1">
        <v>667</v>
      </c>
      <c r="B200" s="2" t="s">
        <v>713</v>
      </c>
      <c r="C200" s="1">
        <v>141320055</v>
      </c>
      <c r="D200" s="1">
        <v>2700</v>
      </c>
      <c r="E200" s="12">
        <f>_xlfn.XLOOKUP(packes[[#This Row],[productId]],bom[Id],bom[wgt])</f>
        <v>1.1274069639828395</v>
      </c>
      <c r="F200" s="12">
        <f>packes[[#This Row],[num]]*packes[[#This Row],[wtg]]</f>
        <v>3043.9988027536665</v>
      </c>
      <c r="G200" s="324">
        <v>2</v>
      </c>
      <c r="H200" s="21">
        <f>packes[[#This Row],[num]]-SUM(packes[[#This Row],[num2]])</f>
        <v>2700</v>
      </c>
      <c r="I200" s="324"/>
      <c r="J200" s="21"/>
      <c r="K200" s="287"/>
    </row>
    <row r="201" spans="1:11" ht="16.5">
      <c r="A201" s="1">
        <v>668</v>
      </c>
      <c r="B201" s="2" t="s">
        <v>714</v>
      </c>
      <c r="C201" s="1">
        <v>140010117</v>
      </c>
      <c r="D201" s="1">
        <v>1275</v>
      </c>
      <c r="E201" s="12">
        <f>_xlfn.XLOOKUP(packes[[#This Row],[productId]],bom[Id],bom[wgt])</f>
        <v>1</v>
      </c>
      <c r="F201" s="12">
        <f>packes[[#This Row],[num]]*packes[[#This Row],[wtg]]</f>
        <v>1275</v>
      </c>
      <c r="G201" s="324">
        <v>3</v>
      </c>
      <c r="H201" s="21">
        <f>packes[[#This Row],[num]]-SUM(packes[[#This Row],[num2]])</f>
        <v>1275</v>
      </c>
      <c r="I201" s="324"/>
      <c r="J201" s="21"/>
      <c r="K201" s="287"/>
    </row>
    <row r="202" spans="1:11" ht="16.5">
      <c r="A202" s="1">
        <v>669</v>
      </c>
      <c r="B202" s="2" t="s">
        <v>714</v>
      </c>
      <c r="C202" s="1">
        <v>140010255</v>
      </c>
      <c r="D202" s="1">
        <v>500</v>
      </c>
      <c r="E202" s="12">
        <f>_xlfn.XLOOKUP(packes[[#This Row],[productId]],bom[Id],bom[wgt])</f>
        <v>1</v>
      </c>
      <c r="F202" s="12">
        <f>packes[[#This Row],[num]]*packes[[#This Row],[wtg]]</f>
        <v>500</v>
      </c>
      <c r="G202" s="324">
        <v>3</v>
      </c>
      <c r="H202" s="21">
        <f>packes[[#This Row],[num]]-SUM(packes[[#This Row],[num2]])</f>
        <v>500</v>
      </c>
      <c r="I202" s="324"/>
      <c r="J202" s="21"/>
      <c r="K202" s="287"/>
    </row>
    <row r="203" spans="1:11" ht="16.5">
      <c r="A203" s="1">
        <v>670</v>
      </c>
      <c r="B203" s="2" t="s">
        <v>714</v>
      </c>
      <c r="C203" s="1">
        <v>140030039</v>
      </c>
      <c r="D203" s="1">
        <v>1200</v>
      </c>
      <c r="E203" s="12">
        <f>_xlfn.XLOOKUP(packes[[#This Row],[productId]],bom[Id],bom[wgt])</f>
        <v>1.1413748378728923</v>
      </c>
      <c r="F203" s="12">
        <f>packes[[#This Row],[num]]*packes[[#This Row],[wtg]]</f>
        <v>1369.6498054474707</v>
      </c>
      <c r="G203" s="324">
        <v>3</v>
      </c>
      <c r="H203" s="21">
        <f>packes[[#This Row],[num]]-SUM(packes[[#This Row],[num2]])</f>
        <v>1200</v>
      </c>
      <c r="I203" s="324"/>
      <c r="J203" s="21"/>
      <c r="K203" s="287"/>
    </row>
    <row r="204" spans="1:11" ht="16.5">
      <c r="A204" s="1">
        <v>671</v>
      </c>
      <c r="B204" s="2" t="s">
        <v>714</v>
      </c>
      <c r="C204" s="1">
        <v>140030040</v>
      </c>
      <c r="D204" s="1">
        <v>1500</v>
      </c>
      <c r="E204" s="12">
        <f>_xlfn.XLOOKUP(packes[[#This Row],[productId]],bom[Id],bom[wgt])</f>
        <v>1.1092487279257708</v>
      </c>
      <c r="F204" s="12">
        <f>packes[[#This Row],[num]]*packes[[#This Row],[wtg]]</f>
        <v>1663.8730918886561</v>
      </c>
      <c r="G204" s="324">
        <v>3</v>
      </c>
      <c r="H204" s="21">
        <f>packes[[#This Row],[num]]-SUM(packes[[#This Row],[num2]])</f>
        <v>1500</v>
      </c>
      <c r="I204" s="324"/>
      <c r="J204" s="21"/>
      <c r="K204" s="287"/>
    </row>
    <row r="205" spans="1:11" ht="16.5">
      <c r="A205" s="1">
        <v>672</v>
      </c>
      <c r="B205" s="2" t="s">
        <v>714</v>
      </c>
      <c r="C205" s="1">
        <v>140310071</v>
      </c>
      <c r="D205" s="1">
        <v>1350</v>
      </c>
      <c r="E205" s="12">
        <f>_xlfn.XLOOKUP(packes[[#This Row],[productId]],bom[Id],bom[wgt])</f>
        <v>1.3</v>
      </c>
      <c r="F205" s="12">
        <f>packes[[#This Row],[num]]*packes[[#This Row],[wtg]]</f>
        <v>1755</v>
      </c>
      <c r="G205" s="324">
        <v>3</v>
      </c>
      <c r="H205" s="21">
        <f>packes[[#This Row],[num]]-SUM(packes[[#This Row],[num2]])</f>
        <v>1350</v>
      </c>
      <c r="I205" s="324"/>
      <c r="J205" s="21"/>
      <c r="K205" s="287"/>
    </row>
    <row r="206" spans="1:11" ht="16.5">
      <c r="A206" s="1">
        <v>673</v>
      </c>
      <c r="B206" s="2" t="s">
        <v>714</v>
      </c>
      <c r="C206" s="1">
        <v>140310083</v>
      </c>
      <c r="D206" s="1">
        <v>1400</v>
      </c>
      <c r="E206" s="12">
        <f>_xlfn.XLOOKUP(packes[[#This Row],[productId]],bom[Id],bom[wgt])</f>
        <v>1.3369250723336326</v>
      </c>
      <c r="F206" s="12">
        <f>packes[[#This Row],[num]]*packes[[#This Row],[wtg]]</f>
        <v>1871.6951012670856</v>
      </c>
      <c r="G206" s="324">
        <v>3</v>
      </c>
      <c r="H206" s="21">
        <f>packes[[#This Row],[num]]-SUM(packes[[#This Row],[num2]])</f>
        <v>1400</v>
      </c>
      <c r="I206" s="324"/>
      <c r="J206" s="21"/>
      <c r="K206" s="287"/>
    </row>
    <row r="207" spans="1:11" ht="16.5">
      <c r="A207" s="1">
        <v>674</v>
      </c>
      <c r="B207" s="2" t="s">
        <v>714</v>
      </c>
      <c r="C207" s="1">
        <v>140310096</v>
      </c>
      <c r="D207" s="1">
        <v>450</v>
      </c>
      <c r="E207" s="12">
        <f>_xlfn.XLOOKUP(packes[[#This Row],[productId]],bom[Id],bom[wgt])</f>
        <v>1.3</v>
      </c>
      <c r="F207" s="12">
        <f>packes[[#This Row],[num]]*packes[[#This Row],[wtg]]</f>
        <v>585</v>
      </c>
      <c r="G207" s="324">
        <v>3</v>
      </c>
      <c r="H207" s="21">
        <f>packes[[#This Row],[num]]-SUM(packes[[#This Row],[num2]])</f>
        <v>450</v>
      </c>
      <c r="I207" s="324"/>
      <c r="J207" s="21"/>
      <c r="K207" s="287"/>
    </row>
    <row r="208" spans="1:11" ht="16.5">
      <c r="A208" s="1">
        <v>675</v>
      </c>
      <c r="B208" s="2" t="s">
        <v>714</v>
      </c>
      <c r="C208" s="1">
        <v>140450027</v>
      </c>
      <c r="D208" s="1">
        <v>200</v>
      </c>
      <c r="E208" s="12">
        <f>_xlfn.XLOOKUP(packes[[#This Row],[productId]],bom[Id],bom[wgt])</f>
        <v>1.5264890751272073</v>
      </c>
      <c r="F208" s="12">
        <f>packes[[#This Row],[num]]*packes[[#This Row],[wtg]]</f>
        <v>305.29781502544148</v>
      </c>
      <c r="G208" s="324">
        <v>11</v>
      </c>
      <c r="H208" s="21">
        <f>packes[[#This Row],[num]]-SUM(packes[[#This Row],[num2]])</f>
        <v>200</v>
      </c>
      <c r="I208" s="324"/>
      <c r="J208" s="21"/>
      <c r="K208" s="287"/>
    </row>
    <row r="209" spans="1:11" ht="16.5">
      <c r="A209" s="1">
        <v>676</v>
      </c>
      <c r="B209" s="2" t="s">
        <v>714</v>
      </c>
      <c r="C209" s="1">
        <v>140450035</v>
      </c>
      <c r="D209" s="1">
        <v>750</v>
      </c>
      <c r="E209" s="12">
        <f>_xlfn.XLOOKUP(packes[[#This Row],[productId]],bom[Id],bom[wgt])</f>
        <v>1.6761448668063454</v>
      </c>
      <c r="F209" s="12">
        <f>packes[[#This Row],[num]]*packes[[#This Row],[wtg]]</f>
        <v>1257.1086501047591</v>
      </c>
      <c r="G209" s="324">
        <v>11</v>
      </c>
      <c r="H209" s="21">
        <f>packes[[#This Row],[num]]-SUM(packes[[#This Row],[num2]])</f>
        <v>750</v>
      </c>
      <c r="I209" s="324"/>
      <c r="J209" s="21"/>
      <c r="K209" s="287"/>
    </row>
    <row r="210" spans="1:11" ht="16.5">
      <c r="A210" s="1">
        <v>677</v>
      </c>
      <c r="B210" s="2" t="s">
        <v>714</v>
      </c>
      <c r="C210" s="1">
        <v>141320055</v>
      </c>
      <c r="D210" s="1">
        <v>1900</v>
      </c>
      <c r="E210" s="12">
        <f>_xlfn.XLOOKUP(packes[[#This Row],[productId]],bom[Id],bom[wgt])</f>
        <v>1.1274069639828395</v>
      </c>
      <c r="F210" s="12">
        <f>packes[[#This Row],[num]]*packes[[#This Row],[wtg]]</f>
        <v>2142.0732315673949</v>
      </c>
      <c r="G210" s="324">
        <v>2</v>
      </c>
      <c r="H210" s="21">
        <f>packes[[#This Row],[num]]-SUM(packes[[#This Row],[num2]])</f>
        <v>1900</v>
      </c>
      <c r="I210" s="324"/>
      <c r="J210" s="21"/>
      <c r="K210" s="287"/>
    </row>
    <row r="211" spans="1:11" ht="16.5">
      <c r="A211" s="1">
        <v>678</v>
      </c>
      <c r="B211" s="2" t="s">
        <v>717</v>
      </c>
      <c r="C211" s="1">
        <v>140010117</v>
      </c>
      <c r="D211" s="1">
        <v>300</v>
      </c>
      <c r="E211" s="12">
        <f>_xlfn.XLOOKUP(packes[[#This Row],[productId]],bom[Id],bom[wgt])</f>
        <v>1</v>
      </c>
      <c r="F211" s="12">
        <f>packes[[#This Row],[num]]*packes[[#This Row],[wtg]]</f>
        <v>300</v>
      </c>
      <c r="G211" s="324">
        <v>3</v>
      </c>
      <c r="H211" s="21">
        <f>packes[[#This Row],[num]]-SUM(packes[[#This Row],[num2]])</f>
        <v>300</v>
      </c>
      <c r="I211" s="324"/>
      <c r="J211" s="21"/>
      <c r="K211" s="287"/>
    </row>
    <row r="212" spans="1:11" ht="16.5">
      <c r="A212" s="1">
        <v>679</v>
      </c>
      <c r="B212" s="2" t="s">
        <v>717</v>
      </c>
      <c r="C212" s="1">
        <v>140010230</v>
      </c>
      <c r="D212" s="1">
        <v>2550</v>
      </c>
      <c r="E212" s="12">
        <f>_xlfn.XLOOKUP(packes[[#This Row],[productId]],bom[Id],bom[wgt])</f>
        <v>1.4486680634540554</v>
      </c>
      <c r="F212" s="12">
        <f>packes[[#This Row],[num]]*packes[[#This Row],[wtg]]</f>
        <v>3694.1035618078413</v>
      </c>
      <c r="G212" s="324">
        <v>3</v>
      </c>
      <c r="H212" s="21">
        <f>packes[[#This Row],[num]]-SUM(packes[[#This Row],[num2]])</f>
        <v>2550</v>
      </c>
      <c r="I212" s="324"/>
      <c r="J212" s="21"/>
      <c r="K212" s="287"/>
    </row>
    <row r="213" spans="1:11" ht="16.5">
      <c r="A213" s="1">
        <v>680</v>
      </c>
      <c r="B213" s="2" t="s">
        <v>717</v>
      </c>
      <c r="C213" s="1">
        <v>140030039</v>
      </c>
      <c r="D213" s="1">
        <v>800</v>
      </c>
      <c r="E213" s="12">
        <f>_xlfn.XLOOKUP(packes[[#This Row],[productId]],bom[Id],bom[wgt])</f>
        <v>1.1413748378728923</v>
      </c>
      <c r="F213" s="12">
        <f>packes[[#This Row],[num]]*packes[[#This Row],[wtg]]</f>
        <v>913.09987029831382</v>
      </c>
      <c r="G213" s="324">
        <v>3</v>
      </c>
      <c r="H213" s="21">
        <f>packes[[#This Row],[num]]-SUM(packes[[#This Row],[num2]])</f>
        <v>800</v>
      </c>
      <c r="I213" s="324"/>
      <c r="J213" s="21"/>
      <c r="K213" s="287"/>
    </row>
    <row r="214" spans="1:11" ht="16.5">
      <c r="A214" s="1">
        <v>681</v>
      </c>
      <c r="B214" s="2" t="s">
        <v>717</v>
      </c>
      <c r="C214" s="1">
        <v>140030040</v>
      </c>
      <c r="D214" s="1">
        <v>1500</v>
      </c>
      <c r="E214" s="12">
        <f>_xlfn.XLOOKUP(packes[[#This Row],[productId]],bom[Id],bom[wgt])</f>
        <v>1.1092487279257708</v>
      </c>
      <c r="F214" s="12">
        <f>packes[[#This Row],[num]]*packes[[#This Row],[wtg]]</f>
        <v>1663.8730918886561</v>
      </c>
      <c r="G214" s="324">
        <v>3</v>
      </c>
      <c r="H214" s="21">
        <f>packes[[#This Row],[num]]-SUM(packes[[#This Row],[num2]])</f>
        <v>1500</v>
      </c>
      <c r="I214" s="324"/>
      <c r="J214" s="21"/>
      <c r="K214" s="287"/>
    </row>
    <row r="215" spans="1:11" ht="16.5">
      <c r="A215" s="1">
        <v>682</v>
      </c>
      <c r="B215" s="2" t="s">
        <v>717</v>
      </c>
      <c r="C215" s="1">
        <v>140310071</v>
      </c>
      <c r="D215" s="1">
        <v>950</v>
      </c>
      <c r="E215" s="12">
        <f>_xlfn.XLOOKUP(packes[[#This Row],[productId]],bom[Id],bom[wgt])</f>
        <v>1.3</v>
      </c>
      <c r="F215" s="12">
        <f>packes[[#This Row],[num]]*packes[[#This Row],[wtg]]</f>
        <v>1235</v>
      </c>
      <c r="G215" s="324">
        <v>3</v>
      </c>
      <c r="H215" s="21">
        <f>packes[[#This Row],[num]]-SUM(packes[[#This Row],[num2]])</f>
        <v>950</v>
      </c>
      <c r="I215" s="324"/>
      <c r="J215" s="21"/>
      <c r="K215" s="287"/>
    </row>
    <row r="216" spans="1:11" ht="16.5">
      <c r="A216" s="1">
        <v>683</v>
      </c>
      <c r="B216" s="2" t="s">
        <v>717</v>
      </c>
      <c r="C216" s="1">
        <v>140310083</v>
      </c>
      <c r="D216" s="1">
        <v>800</v>
      </c>
      <c r="E216" s="12">
        <f>_xlfn.XLOOKUP(packes[[#This Row],[productId]],bom[Id],bom[wgt])</f>
        <v>1.3369250723336326</v>
      </c>
      <c r="F216" s="12">
        <f>packes[[#This Row],[num]]*packes[[#This Row],[wtg]]</f>
        <v>1069.540057866906</v>
      </c>
      <c r="G216" s="324">
        <v>3</v>
      </c>
      <c r="H216" s="21">
        <f>packes[[#This Row],[num]]-SUM(packes[[#This Row],[num2]])</f>
        <v>800</v>
      </c>
      <c r="I216" s="324"/>
      <c r="J216" s="21"/>
      <c r="K216" s="287"/>
    </row>
    <row r="217" spans="1:11" ht="16.5">
      <c r="A217" s="1">
        <v>684</v>
      </c>
      <c r="B217" s="2" t="s">
        <v>717</v>
      </c>
      <c r="C217" s="1">
        <v>140530039</v>
      </c>
      <c r="D217" s="1">
        <v>2400</v>
      </c>
      <c r="E217" s="12">
        <f>_xlfn.XLOOKUP(packes[[#This Row],[productId]],bom[Id],bom[wgt])</f>
        <v>1.1274069639828395</v>
      </c>
      <c r="F217" s="12">
        <f>packes[[#This Row],[num]]*packes[[#This Row],[wtg]]</f>
        <v>2705.7767135588147</v>
      </c>
      <c r="G217" s="324">
        <v>3</v>
      </c>
      <c r="H217" s="21">
        <f>packes[[#This Row],[num]]-SUM(packes[[#This Row],[num2]])</f>
        <v>2400</v>
      </c>
      <c r="I217" s="324"/>
      <c r="J217" s="21"/>
      <c r="K217" s="287"/>
    </row>
    <row r="218" spans="1:11" ht="16.5">
      <c r="A218" s="1">
        <v>685</v>
      </c>
      <c r="B218" s="2" t="s">
        <v>718</v>
      </c>
      <c r="C218" s="1">
        <v>140010117</v>
      </c>
      <c r="D218" s="1">
        <v>300</v>
      </c>
      <c r="E218" s="12">
        <f>_xlfn.XLOOKUP(packes[[#This Row],[productId]],bom[Id],bom[wgt])</f>
        <v>1</v>
      </c>
      <c r="F218" s="12">
        <f>packes[[#This Row],[num]]*packes[[#This Row],[wtg]]</f>
        <v>300</v>
      </c>
      <c r="G218" s="324">
        <v>3</v>
      </c>
      <c r="H218" s="21">
        <f>packes[[#This Row],[num]]-SUM(packes[[#This Row],[num2]])</f>
        <v>300</v>
      </c>
      <c r="I218" s="324"/>
      <c r="J218" s="21"/>
      <c r="K218" s="287"/>
    </row>
    <row r="219" spans="1:11" ht="16.5">
      <c r="A219" s="1">
        <v>686</v>
      </c>
      <c r="B219" s="2" t="s">
        <v>718</v>
      </c>
      <c r="C219" s="1">
        <v>140010230</v>
      </c>
      <c r="D219" s="1">
        <v>450</v>
      </c>
      <c r="E219" s="12">
        <f>_xlfn.XLOOKUP(packes[[#This Row],[productId]],bom[Id],bom[wgt])</f>
        <v>1.4486680634540554</v>
      </c>
      <c r="F219" s="12">
        <f>packes[[#This Row],[num]]*packes[[#This Row],[wtg]]</f>
        <v>651.90062855432495</v>
      </c>
      <c r="G219" s="324">
        <v>3</v>
      </c>
      <c r="H219" s="21">
        <f>packes[[#This Row],[num]]-SUM(packes[[#This Row],[num2]])</f>
        <v>450</v>
      </c>
      <c r="I219" s="324"/>
      <c r="J219" s="21"/>
      <c r="K219" s="287"/>
    </row>
    <row r="220" spans="1:11" ht="16.5">
      <c r="A220" s="1">
        <v>687</v>
      </c>
      <c r="B220" s="2" t="s">
        <v>718</v>
      </c>
      <c r="C220" s="1">
        <v>140030039</v>
      </c>
      <c r="D220" s="1">
        <v>1700</v>
      </c>
      <c r="E220" s="12">
        <f>_xlfn.XLOOKUP(packes[[#This Row],[productId]],bom[Id],bom[wgt])</f>
        <v>1.1413748378728923</v>
      </c>
      <c r="F220" s="12">
        <f>packes[[#This Row],[num]]*packes[[#This Row],[wtg]]</f>
        <v>1940.3372243839169</v>
      </c>
      <c r="G220" s="324">
        <v>3</v>
      </c>
      <c r="H220" s="21">
        <f>packes[[#This Row],[num]]-SUM(packes[[#This Row],[num2]])</f>
        <v>1700</v>
      </c>
      <c r="I220" s="324"/>
      <c r="J220" s="21"/>
      <c r="K220" s="287"/>
    </row>
    <row r="221" spans="1:11" ht="16.5">
      <c r="A221" s="1">
        <v>688</v>
      </c>
      <c r="B221" s="2" t="s">
        <v>718</v>
      </c>
      <c r="C221" s="1">
        <v>140030040</v>
      </c>
      <c r="D221" s="1">
        <v>200</v>
      </c>
      <c r="E221" s="12">
        <f>_xlfn.XLOOKUP(packes[[#This Row],[productId]],bom[Id],bom[wgt])</f>
        <v>1.1092487279257708</v>
      </c>
      <c r="F221" s="12">
        <f>packes[[#This Row],[num]]*packes[[#This Row],[wtg]]</f>
        <v>221.84974558515415</v>
      </c>
      <c r="G221" s="324">
        <v>3</v>
      </c>
      <c r="H221" s="21">
        <f>packes[[#This Row],[num]]-SUM(packes[[#This Row],[num2]])</f>
        <v>200</v>
      </c>
      <c r="I221" s="324"/>
      <c r="J221" s="21"/>
      <c r="K221" s="287"/>
    </row>
    <row r="222" spans="1:11" ht="16.5">
      <c r="A222" s="1">
        <v>689</v>
      </c>
      <c r="B222" s="2" t="s">
        <v>718</v>
      </c>
      <c r="C222" s="1">
        <v>140310071</v>
      </c>
      <c r="D222" s="1">
        <v>1800</v>
      </c>
      <c r="E222" s="12">
        <f>_xlfn.XLOOKUP(packes[[#This Row],[productId]],bom[Id],bom[wgt])</f>
        <v>1.3</v>
      </c>
      <c r="F222" s="12">
        <f>packes[[#This Row],[num]]*packes[[#This Row],[wtg]]</f>
        <v>2340</v>
      </c>
      <c r="G222" s="324">
        <v>3</v>
      </c>
      <c r="H222" s="21">
        <f>packes[[#This Row],[num]]-SUM(packes[[#This Row],[num2]])</f>
        <v>1800</v>
      </c>
      <c r="I222" s="324"/>
      <c r="J222" s="21"/>
      <c r="K222" s="287"/>
    </row>
    <row r="223" spans="1:11" ht="16.5">
      <c r="A223" s="1">
        <v>690</v>
      </c>
      <c r="B223" s="2" t="s">
        <v>718</v>
      </c>
      <c r="C223" s="1">
        <v>140310083</v>
      </c>
      <c r="D223" s="1">
        <v>1600</v>
      </c>
      <c r="E223" s="12">
        <f>_xlfn.XLOOKUP(packes[[#This Row],[productId]],bom[Id],bom[wgt])</f>
        <v>1.3369250723336326</v>
      </c>
      <c r="F223" s="12">
        <f>packes[[#This Row],[num]]*packes[[#This Row],[wtg]]</f>
        <v>2139.0801157338119</v>
      </c>
      <c r="G223" s="324">
        <v>3</v>
      </c>
      <c r="H223" s="21">
        <f>packes[[#This Row],[num]]-SUM(packes[[#This Row],[num2]])</f>
        <v>1600</v>
      </c>
      <c r="I223" s="324"/>
      <c r="J223" s="21"/>
      <c r="K223" s="287"/>
    </row>
    <row r="224" spans="1:11" ht="16.5">
      <c r="A224" s="1">
        <v>691</v>
      </c>
      <c r="B224" s="2" t="s">
        <v>718</v>
      </c>
      <c r="C224" s="1">
        <v>140640007</v>
      </c>
      <c r="D224" s="1">
        <v>800</v>
      </c>
      <c r="E224" s="12">
        <f>_xlfn.XLOOKUP(packes[[#This Row],[productId]],bom[Id],bom[wgt])</f>
        <v>1.1413748378728923</v>
      </c>
      <c r="F224" s="12">
        <f>packes[[#This Row],[num]]*packes[[#This Row],[wtg]]</f>
        <v>913.09987029831382</v>
      </c>
      <c r="G224" s="324">
        <v>2</v>
      </c>
      <c r="H224" s="21">
        <f>packes[[#This Row],[num]]-SUM(packes[[#This Row],[num2]])</f>
        <v>800</v>
      </c>
      <c r="I224" s="324"/>
      <c r="J224" s="21"/>
      <c r="K224" s="287"/>
    </row>
    <row r="225" spans="1:11" ht="16.5">
      <c r="A225" s="1">
        <v>692</v>
      </c>
      <c r="B225" s="2" t="s">
        <v>718</v>
      </c>
      <c r="C225" s="1">
        <v>140530039</v>
      </c>
      <c r="D225" s="1">
        <v>2400</v>
      </c>
      <c r="E225" s="12">
        <f>_xlfn.XLOOKUP(packes[[#This Row],[productId]],bom[Id],bom[wgt])</f>
        <v>1.1274069639828395</v>
      </c>
      <c r="F225" s="12">
        <f>packes[[#This Row],[num]]*packes[[#This Row],[wtg]]</f>
        <v>2705.7767135588147</v>
      </c>
      <c r="G225" s="324">
        <v>3</v>
      </c>
      <c r="H225" s="21">
        <f>packes[[#This Row],[num]]-SUM(packes[[#This Row],[num2]])</f>
        <v>2400</v>
      </c>
      <c r="I225" s="324"/>
      <c r="J225" s="21"/>
      <c r="K225" s="287"/>
    </row>
    <row r="226" spans="1:11" ht="16.5">
      <c r="A226" s="1">
        <v>693</v>
      </c>
      <c r="B226" s="2" t="s">
        <v>719</v>
      </c>
      <c r="C226" s="1">
        <v>140010117</v>
      </c>
      <c r="D226" s="1">
        <v>1200</v>
      </c>
      <c r="E226" s="12">
        <f>_xlfn.XLOOKUP(packes[[#This Row],[productId]],bom[Id],bom[wgt])</f>
        <v>1</v>
      </c>
      <c r="F226" s="12">
        <f>packes[[#This Row],[num]]*packes[[#This Row],[wtg]]</f>
        <v>1200</v>
      </c>
      <c r="G226" s="324">
        <v>3</v>
      </c>
      <c r="H226" s="21">
        <f>packes[[#This Row],[num]]-SUM(packes[[#This Row],[num2]])</f>
        <v>1200</v>
      </c>
      <c r="I226" s="324"/>
      <c r="J226" s="21"/>
      <c r="K226" s="287"/>
    </row>
    <row r="227" spans="1:11" ht="16.5">
      <c r="A227" s="1">
        <v>694</v>
      </c>
      <c r="B227" s="2" t="s">
        <v>719</v>
      </c>
      <c r="C227" s="1">
        <v>140020181</v>
      </c>
      <c r="D227" s="1">
        <v>100</v>
      </c>
      <c r="E227" s="12">
        <f>_xlfn.XLOOKUP(packes[[#This Row],[productId]],bom[Id],bom[wgt])</f>
        <v>1.2670857028833682</v>
      </c>
      <c r="F227" s="12">
        <f>packes[[#This Row],[num]]*packes[[#This Row],[wtg]]</f>
        <v>126.70857028833682</v>
      </c>
      <c r="G227" s="324">
        <v>3</v>
      </c>
      <c r="H227" s="21">
        <f>packes[[#This Row],[num]]-SUM(packes[[#This Row],[num2]])</f>
        <v>100</v>
      </c>
      <c r="I227" s="324"/>
      <c r="J227" s="21"/>
      <c r="K227" s="287"/>
    </row>
    <row r="228" spans="1:11" ht="16.5">
      <c r="A228" s="1">
        <v>695</v>
      </c>
      <c r="B228" s="2" t="s">
        <v>719</v>
      </c>
      <c r="C228" s="1">
        <v>140030039</v>
      </c>
      <c r="D228" s="1">
        <v>400</v>
      </c>
      <c r="E228" s="12">
        <f>_xlfn.XLOOKUP(packes[[#This Row],[productId]],bom[Id],bom[wgt])</f>
        <v>1.1413748378728923</v>
      </c>
      <c r="F228" s="12">
        <f>packes[[#This Row],[num]]*packes[[#This Row],[wtg]]</f>
        <v>456.54993514915691</v>
      </c>
      <c r="G228" s="324">
        <v>3</v>
      </c>
      <c r="H228" s="21">
        <f>packes[[#This Row],[num]]-SUM(packes[[#This Row],[num2]])</f>
        <v>400</v>
      </c>
      <c r="I228" s="324"/>
      <c r="J228" s="21"/>
      <c r="K228" s="287"/>
    </row>
    <row r="229" spans="1:11" ht="16.5">
      <c r="A229" s="1">
        <v>696</v>
      </c>
      <c r="B229" s="2" t="s">
        <v>719</v>
      </c>
      <c r="C229" s="1">
        <v>140030040</v>
      </c>
      <c r="D229" s="1">
        <v>600</v>
      </c>
      <c r="E229" s="12">
        <f>_xlfn.XLOOKUP(packes[[#This Row],[productId]],bom[Id],bom[wgt])</f>
        <v>1.1092487279257708</v>
      </c>
      <c r="F229" s="12">
        <f>packes[[#This Row],[num]]*packes[[#This Row],[wtg]]</f>
        <v>665.54923675546252</v>
      </c>
      <c r="G229" s="324">
        <v>3</v>
      </c>
      <c r="H229" s="21">
        <f>packes[[#This Row],[num]]-SUM(packes[[#This Row],[num2]])</f>
        <v>600</v>
      </c>
      <c r="I229" s="324"/>
      <c r="J229" s="21"/>
      <c r="K229" s="287"/>
    </row>
    <row r="230" spans="1:11" ht="16.5">
      <c r="A230" s="1">
        <v>697</v>
      </c>
      <c r="B230" s="2" t="s">
        <v>719</v>
      </c>
      <c r="C230" s="1">
        <v>140310071</v>
      </c>
      <c r="D230" s="1">
        <v>1550</v>
      </c>
      <c r="E230" s="12">
        <f>_xlfn.XLOOKUP(packes[[#This Row],[productId]],bom[Id],bom[wgt])</f>
        <v>1.3</v>
      </c>
      <c r="F230" s="12">
        <f>packes[[#This Row],[num]]*packes[[#This Row],[wtg]]</f>
        <v>2015</v>
      </c>
      <c r="G230" s="324">
        <v>3</v>
      </c>
      <c r="H230" s="21">
        <f>packes[[#This Row],[num]]-SUM(packes[[#This Row],[num2]])</f>
        <v>1550</v>
      </c>
      <c r="I230" s="324"/>
      <c r="J230" s="21"/>
      <c r="K230" s="287"/>
    </row>
    <row r="231" spans="1:11" ht="16.5">
      <c r="A231" s="1">
        <v>698</v>
      </c>
      <c r="B231" s="2" t="s">
        <v>719</v>
      </c>
      <c r="C231" s="1">
        <v>140310083</v>
      </c>
      <c r="D231" s="1">
        <v>2200</v>
      </c>
      <c r="E231" s="12">
        <f>_xlfn.XLOOKUP(packes[[#This Row],[productId]],bom[Id],bom[wgt])</f>
        <v>1.3369250723336326</v>
      </c>
      <c r="F231" s="12">
        <f>packes[[#This Row],[num]]*packes[[#This Row],[wtg]]</f>
        <v>2941.2351591339916</v>
      </c>
      <c r="G231" s="324">
        <v>3</v>
      </c>
      <c r="H231" s="21">
        <f>packes[[#This Row],[num]]-SUM(packes[[#This Row],[num2]])</f>
        <v>2200</v>
      </c>
      <c r="I231" s="324"/>
      <c r="J231" s="21"/>
      <c r="K231" s="287"/>
    </row>
    <row r="232" spans="1:11" ht="16.5">
      <c r="A232" s="1">
        <v>699</v>
      </c>
      <c r="B232" s="2" t="s">
        <v>719</v>
      </c>
      <c r="C232" s="1">
        <v>140450027</v>
      </c>
      <c r="D232" s="1">
        <v>49</v>
      </c>
      <c r="E232" s="12">
        <f>_xlfn.XLOOKUP(packes[[#This Row],[productId]],bom[Id],bom[wgt])</f>
        <v>1.5264890751272073</v>
      </c>
      <c r="F232" s="12">
        <f>packes[[#This Row],[num]]*packes[[#This Row],[wtg]]</f>
        <v>74.797964681233154</v>
      </c>
      <c r="G232" s="324">
        <v>11</v>
      </c>
      <c r="H232" s="21">
        <f>packes[[#This Row],[num]]-SUM(packes[[#This Row],[num2]])</f>
        <v>49</v>
      </c>
      <c r="I232" s="324"/>
      <c r="J232" s="21"/>
      <c r="K232" s="287"/>
    </row>
    <row r="233" spans="1:11" ht="16.5">
      <c r="A233" s="1">
        <v>700</v>
      </c>
      <c r="B233" s="2" t="s">
        <v>719</v>
      </c>
      <c r="C233" s="1">
        <v>140450035</v>
      </c>
      <c r="D233" s="1">
        <v>64</v>
      </c>
      <c r="E233" s="12">
        <f>_xlfn.XLOOKUP(packes[[#This Row],[productId]],bom[Id],bom[wgt])</f>
        <v>1.6761448668063454</v>
      </c>
      <c r="F233" s="12">
        <f>packes[[#This Row],[num]]*packes[[#This Row],[wtg]]</f>
        <v>107.27327147560611</v>
      </c>
      <c r="G233" s="324">
        <v>11</v>
      </c>
      <c r="H233" s="21">
        <f>packes[[#This Row],[num]]-SUM(packes[[#This Row],[num2]])</f>
        <v>64</v>
      </c>
      <c r="I233" s="324"/>
      <c r="J233" s="21"/>
      <c r="K233" s="287"/>
    </row>
    <row r="234" spans="1:11" ht="16.5">
      <c r="A234" s="1">
        <v>701</v>
      </c>
      <c r="B234" s="2" t="s">
        <v>719</v>
      </c>
      <c r="C234" s="1">
        <v>140640007</v>
      </c>
      <c r="D234" s="1">
        <v>1400</v>
      </c>
      <c r="E234" s="12">
        <f>_xlfn.XLOOKUP(packes[[#This Row],[productId]],bom[Id],bom[wgt])</f>
        <v>1.1413748378728923</v>
      </c>
      <c r="F234" s="12">
        <f>packes[[#This Row],[num]]*packes[[#This Row],[wtg]]</f>
        <v>1597.9247730220493</v>
      </c>
      <c r="G234" s="324">
        <v>2</v>
      </c>
      <c r="H234" s="21">
        <f>packes[[#This Row],[num]]-SUM(packes[[#This Row],[num2]])</f>
        <v>1400</v>
      </c>
      <c r="I234" s="324"/>
      <c r="J234" s="21"/>
      <c r="K234" s="287"/>
    </row>
    <row r="235" spans="1:11" ht="16.5">
      <c r="A235" s="1">
        <v>702</v>
      </c>
      <c r="B235" s="2" t="s">
        <v>719</v>
      </c>
      <c r="C235" s="1">
        <v>140530039</v>
      </c>
      <c r="D235" s="1">
        <v>2100</v>
      </c>
      <c r="E235" s="12">
        <f>_xlfn.XLOOKUP(packes[[#This Row],[productId]],bom[Id],bom[wgt])</f>
        <v>1.1274069639828395</v>
      </c>
      <c r="F235" s="12">
        <f>packes[[#This Row],[num]]*packes[[#This Row],[wtg]]</f>
        <v>2367.5546243639628</v>
      </c>
      <c r="G235" s="324">
        <v>3</v>
      </c>
      <c r="H235" s="21">
        <f>packes[[#This Row],[num]]-SUM(packes[[#This Row],[num2]])</f>
        <v>2100</v>
      </c>
      <c r="I235" s="324"/>
      <c r="J235" s="21"/>
      <c r="K235" s="287"/>
    </row>
    <row r="236" spans="1:11" ht="16.5">
      <c r="A236" s="1">
        <v>703</v>
      </c>
      <c r="B236" s="2" t="s">
        <v>725</v>
      </c>
      <c r="C236" s="1">
        <v>140010117</v>
      </c>
      <c r="D236" s="1">
        <v>450</v>
      </c>
      <c r="E236" s="12">
        <f>_xlfn.XLOOKUP(packes[[#This Row],[productId]],bom[Id],bom[wgt])</f>
        <v>1</v>
      </c>
      <c r="F236" s="12">
        <f>packes[[#This Row],[num]]*packes[[#This Row],[wtg]]</f>
        <v>450</v>
      </c>
      <c r="G236" s="324">
        <v>3</v>
      </c>
      <c r="H236" s="21">
        <f>packes[[#This Row],[num]]-SUM(packes[[#This Row],[num2]])</f>
        <v>450</v>
      </c>
      <c r="I236" s="324"/>
      <c r="J236" s="21"/>
      <c r="K236" s="287"/>
    </row>
    <row r="237" spans="1:11" ht="16.5">
      <c r="A237" s="1">
        <v>704</v>
      </c>
      <c r="B237" s="2" t="s">
        <v>725</v>
      </c>
      <c r="C237" s="1">
        <v>140310083</v>
      </c>
      <c r="D237" s="1">
        <v>2500</v>
      </c>
      <c r="E237" s="12">
        <f>_xlfn.XLOOKUP(packes[[#This Row],[productId]],bom[Id],bom[wgt])</f>
        <v>1.3369250723336326</v>
      </c>
      <c r="F237" s="12">
        <f>packes[[#This Row],[num]]*packes[[#This Row],[wtg]]</f>
        <v>3342.3126808340812</v>
      </c>
      <c r="G237" s="324">
        <v>3</v>
      </c>
      <c r="H237" s="21">
        <f>packes[[#This Row],[num]]-SUM(packes[[#This Row],[num2]])</f>
        <v>2500</v>
      </c>
      <c r="I237" s="324"/>
      <c r="J237" s="21"/>
      <c r="K237" s="287"/>
    </row>
    <row r="238" spans="1:11" ht="16.5">
      <c r="A238" s="1">
        <v>705</v>
      </c>
      <c r="B238" s="2" t="s">
        <v>725</v>
      </c>
      <c r="C238" s="1">
        <v>140640007</v>
      </c>
      <c r="D238" s="1">
        <v>1300</v>
      </c>
      <c r="E238" s="12">
        <f>_xlfn.XLOOKUP(packes[[#This Row],[productId]],bom[Id],bom[wgt])</f>
        <v>1.1413748378728923</v>
      </c>
      <c r="F238" s="12">
        <f>packes[[#This Row],[num]]*packes[[#This Row],[wtg]]</f>
        <v>1483.78728923476</v>
      </c>
      <c r="G238" s="324">
        <v>2</v>
      </c>
      <c r="H238" s="21">
        <f>packes[[#This Row],[num]]-SUM(packes[[#This Row],[num2]])</f>
        <v>1300</v>
      </c>
      <c r="I238" s="324"/>
      <c r="J238" s="21"/>
      <c r="K238" s="287"/>
    </row>
    <row r="239" spans="1:11" ht="16.5">
      <c r="A239" s="1">
        <v>706</v>
      </c>
      <c r="B239" s="2" t="s">
        <v>725</v>
      </c>
      <c r="C239" s="1">
        <v>141320055</v>
      </c>
      <c r="D239" s="1">
        <v>2800</v>
      </c>
      <c r="E239" s="12">
        <f>_xlfn.XLOOKUP(packes[[#This Row],[productId]],bom[Id],bom[wgt])</f>
        <v>1.1274069639828395</v>
      </c>
      <c r="F239" s="12">
        <f>packes[[#This Row],[num]]*packes[[#This Row],[wtg]]</f>
        <v>3156.7394991519504</v>
      </c>
      <c r="G239" s="324">
        <v>2</v>
      </c>
      <c r="H239" s="21">
        <f>packes[[#This Row],[num]]-SUM(packes[[#This Row],[num2]])</f>
        <v>2800</v>
      </c>
      <c r="I239" s="324"/>
      <c r="J239" s="21"/>
      <c r="K239" s="287"/>
    </row>
    <row r="240" spans="1:11" ht="16.5">
      <c r="A240" s="1">
        <v>707</v>
      </c>
      <c r="B240" s="2" t="s">
        <v>726</v>
      </c>
      <c r="C240" s="1">
        <v>140010117</v>
      </c>
      <c r="D240" s="1">
        <v>1500</v>
      </c>
      <c r="E240" s="12">
        <f>_xlfn.XLOOKUP(packes[[#This Row],[productId]],bom[Id],bom[wgt])</f>
        <v>1</v>
      </c>
      <c r="F240" s="12">
        <f>packes[[#This Row],[num]]*packes[[#This Row],[wtg]]</f>
        <v>1500</v>
      </c>
      <c r="G240" s="324">
        <v>3</v>
      </c>
      <c r="H240" s="21">
        <f>packes[[#This Row],[num]]-SUM(packes[[#This Row],[num2]])</f>
        <v>1500</v>
      </c>
      <c r="I240" s="324"/>
      <c r="J240" s="21"/>
      <c r="K240" s="287"/>
    </row>
    <row r="241" spans="1:11" ht="16.5">
      <c r="A241" s="1">
        <v>708</v>
      </c>
      <c r="B241" s="2" t="s">
        <v>726</v>
      </c>
      <c r="C241" s="1">
        <v>140030039</v>
      </c>
      <c r="D241" s="1">
        <v>1200</v>
      </c>
      <c r="E241" s="12">
        <f>_xlfn.XLOOKUP(packes[[#This Row],[productId]],bom[Id],bom[wgt])</f>
        <v>1.1413748378728923</v>
      </c>
      <c r="F241" s="12">
        <f>packes[[#This Row],[num]]*packes[[#This Row],[wtg]]</f>
        <v>1369.6498054474707</v>
      </c>
      <c r="G241" s="324">
        <v>3</v>
      </c>
      <c r="H241" s="21">
        <f>packes[[#This Row],[num]]-SUM(packes[[#This Row],[num2]])</f>
        <v>1200</v>
      </c>
      <c r="I241" s="324"/>
      <c r="J241" s="21"/>
      <c r="K241" s="287"/>
    </row>
    <row r="242" spans="1:11" ht="16.5">
      <c r="A242" s="1">
        <v>709</v>
      </c>
      <c r="B242" s="2" t="s">
        <v>726</v>
      </c>
      <c r="C242" s="1">
        <v>140310071</v>
      </c>
      <c r="D242" s="1">
        <v>500</v>
      </c>
      <c r="E242" s="12">
        <f>_xlfn.XLOOKUP(packes[[#This Row],[productId]],bom[Id],bom[wgt])</f>
        <v>1.3</v>
      </c>
      <c r="F242" s="12">
        <f>packes[[#This Row],[num]]*packes[[#This Row],[wtg]]</f>
        <v>650</v>
      </c>
      <c r="G242" s="324">
        <v>3</v>
      </c>
      <c r="H242" s="21">
        <f>packes[[#This Row],[num]]-SUM(packes[[#This Row],[num2]])</f>
        <v>500</v>
      </c>
      <c r="I242" s="324"/>
      <c r="J242" s="21"/>
      <c r="K242" s="287"/>
    </row>
    <row r="243" spans="1:11" ht="16.5">
      <c r="A243" s="1">
        <v>710</v>
      </c>
      <c r="B243" s="2" t="s">
        <v>726</v>
      </c>
      <c r="C243" s="1">
        <v>140310083</v>
      </c>
      <c r="D243" s="1">
        <v>1200</v>
      </c>
      <c r="E243" s="12">
        <f>_xlfn.XLOOKUP(packes[[#This Row],[productId]],bom[Id],bom[wgt])</f>
        <v>1.3369250723336326</v>
      </c>
      <c r="F243" s="12">
        <f>packes[[#This Row],[num]]*packes[[#This Row],[wtg]]</f>
        <v>1604.3100868003592</v>
      </c>
      <c r="G243" s="324">
        <v>3</v>
      </c>
      <c r="H243" s="21">
        <f>packes[[#This Row],[num]]-SUM(packes[[#This Row],[num2]])</f>
        <v>1200</v>
      </c>
      <c r="I243" s="324"/>
      <c r="J243" s="21"/>
      <c r="K243" s="287"/>
    </row>
    <row r="244" spans="1:11" ht="16.5">
      <c r="A244" s="1">
        <v>711</v>
      </c>
      <c r="B244" s="2" t="s">
        <v>726</v>
      </c>
      <c r="C244" s="1">
        <v>140640007</v>
      </c>
      <c r="D244" s="1">
        <v>1200</v>
      </c>
      <c r="E244" s="12">
        <f>_xlfn.XLOOKUP(packes[[#This Row],[productId]],bom[Id],bom[wgt])</f>
        <v>1.1413748378728923</v>
      </c>
      <c r="F244" s="12">
        <f>packes[[#This Row],[num]]*packes[[#This Row],[wtg]]</f>
        <v>1369.6498054474707</v>
      </c>
      <c r="G244" s="324">
        <v>2</v>
      </c>
      <c r="H244" s="21">
        <f>packes[[#This Row],[num]]-SUM(packes[[#This Row],[num2]])</f>
        <v>1200</v>
      </c>
      <c r="I244" s="324"/>
      <c r="J244" s="21"/>
      <c r="K244" s="287"/>
    </row>
    <row r="245" spans="1:11" ht="16.5">
      <c r="A245" s="1">
        <v>712</v>
      </c>
      <c r="B245" s="2" t="s">
        <v>726</v>
      </c>
      <c r="C245" s="1">
        <v>141320055</v>
      </c>
      <c r="D245" s="1">
        <v>2400</v>
      </c>
      <c r="E245" s="12">
        <f>_xlfn.XLOOKUP(packes[[#This Row],[productId]],bom[Id],bom[wgt])</f>
        <v>1.1274069639828395</v>
      </c>
      <c r="F245" s="12">
        <f>packes[[#This Row],[num]]*packes[[#This Row],[wtg]]</f>
        <v>2705.7767135588147</v>
      </c>
      <c r="G245" s="324">
        <v>2</v>
      </c>
      <c r="H245" s="21">
        <f>packes[[#This Row],[num]]-SUM(packes[[#This Row],[num2]])</f>
        <v>2400</v>
      </c>
      <c r="I245" s="324"/>
      <c r="J245" s="21"/>
      <c r="K245" s="287"/>
    </row>
    <row r="246" spans="1:11" ht="16.5">
      <c r="A246" s="1">
        <v>713</v>
      </c>
      <c r="B246" s="2" t="s">
        <v>727</v>
      </c>
      <c r="C246" s="1">
        <v>140010117</v>
      </c>
      <c r="D246" s="1">
        <v>1050</v>
      </c>
      <c r="E246" s="12">
        <f>_xlfn.XLOOKUP(packes[[#This Row],[productId]],bom[Id],bom[wgt])</f>
        <v>1</v>
      </c>
      <c r="F246" s="12">
        <f>packes[[#This Row],[num]]*packes[[#This Row],[wtg]]</f>
        <v>1050</v>
      </c>
      <c r="G246" s="324">
        <v>3</v>
      </c>
      <c r="H246" s="21">
        <f>packes[[#This Row],[num]]-SUM(packes[[#This Row],[num2]])</f>
        <v>1050</v>
      </c>
      <c r="I246" s="324"/>
      <c r="J246" s="21"/>
      <c r="K246" s="287"/>
    </row>
    <row r="247" spans="1:11" ht="16.5">
      <c r="A247" s="1">
        <v>714</v>
      </c>
      <c r="B247" s="2" t="s">
        <v>727</v>
      </c>
      <c r="C247" s="1">
        <v>140030039</v>
      </c>
      <c r="D247" s="1">
        <v>900</v>
      </c>
      <c r="E247" s="12">
        <f>_xlfn.XLOOKUP(packes[[#This Row],[productId]],bom[Id],bom[wgt])</f>
        <v>1.1413748378728923</v>
      </c>
      <c r="F247" s="12">
        <f>packes[[#This Row],[num]]*packes[[#This Row],[wtg]]</f>
        <v>1027.2373540856031</v>
      </c>
      <c r="G247" s="324">
        <v>3</v>
      </c>
      <c r="H247" s="21">
        <f>packes[[#This Row],[num]]-SUM(packes[[#This Row],[num2]])</f>
        <v>900</v>
      </c>
      <c r="I247" s="324"/>
      <c r="J247" s="21"/>
      <c r="K247" s="287"/>
    </row>
    <row r="248" spans="1:11" ht="16.5">
      <c r="A248" s="1">
        <v>715</v>
      </c>
      <c r="B248" s="2" t="s">
        <v>727</v>
      </c>
      <c r="C248" s="1">
        <v>140310071</v>
      </c>
      <c r="D248" s="1">
        <v>2000</v>
      </c>
      <c r="E248" s="12">
        <f>_xlfn.XLOOKUP(packes[[#This Row],[productId]],bom[Id],bom[wgt])</f>
        <v>1.3</v>
      </c>
      <c r="F248" s="12">
        <f>packes[[#This Row],[num]]*packes[[#This Row],[wtg]]</f>
        <v>2600</v>
      </c>
      <c r="G248" s="324">
        <v>3</v>
      </c>
      <c r="H248" s="21">
        <f>packes[[#This Row],[num]]-SUM(packes[[#This Row],[num2]])</f>
        <v>2000</v>
      </c>
      <c r="I248" s="324"/>
      <c r="J248" s="21"/>
      <c r="K248" s="287"/>
    </row>
    <row r="249" spans="1:11" ht="16.5">
      <c r="A249" s="1">
        <v>716</v>
      </c>
      <c r="B249" s="2" t="s">
        <v>727</v>
      </c>
      <c r="C249" s="1">
        <v>140310083</v>
      </c>
      <c r="D249" s="1">
        <v>1100</v>
      </c>
      <c r="E249" s="12">
        <f>_xlfn.XLOOKUP(packes[[#This Row],[productId]],bom[Id],bom[wgt])</f>
        <v>1.3369250723336326</v>
      </c>
      <c r="F249" s="12">
        <f>packes[[#This Row],[num]]*packes[[#This Row],[wtg]]</f>
        <v>1470.6175795669958</v>
      </c>
      <c r="G249" s="324">
        <v>3</v>
      </c>
      <c r="H249" s="21">
        <f>packes[[#This Row],[num]]-SUM(packes[[#This Row],[num2]])</f>
        <v>1100</v>
      </c>
      <c r="I249" s="324"/>
      <c r="J249" s="21"/>
      <c r="K249" s="287"/>
    </row>
    <row r="250" spans="1:11" ht="16.5">
      <c r="A250" s="1">
        <v>717</v>
      </c>
      <c r="B250" s="2" t="s">
        <v>727</v>
      </c>
      <c r="C250" s="1">
        <v>140640007</v>
      </c>
      <c r="D250" s="1">
        <v>2300</v>
      </c>
      <c r="E250" s="12">
        <f>_xlfn.XLOOKUP(packes[[#This Row],[productId]],bom[Id],bom[wgt])</f>
        <v>1.1413748378728923</v>
      </c>
      <c r="F250" s="12">
        <f>packes[[#This Row],[num]]*packes[[#This Row],[wtg]]</f>
        <v>2625.1621271076524</v>
      </c>
      <c r="G250" s="324">
        <v>2</v>
      </c>
      <c r="H250" s="21">
        <f>packes[[#This Row],[num]]-SUM(packes[[#This Row],[num2]])</f>
        <v>2300</v>
      </c>
      <c r="I250" s="324"/>
      <c r="J250" s="21"/>
      <c r="K250" s="287"/>
    </row>
    <row r="251" spans="1:11" ht="16.5">
      <c r="A251" s="1">
        <v>718</v>
      </c>
      <c r="B251" s="2" t="s">
        <v>727</v>
      </c>
      <c r="C251" s="1">
        <v>140530039</v>
      </c>
      <c r="D251" s="1">
        <v>1700</v>
      </c>
      <c r="E251" s="12">
        <f>_xlfn.XLOOKUP(packes[[#This Row],[productId]],bom[Id],bom[wgt])</f>
        <v>1.1274069639828395</v>
      </c>
      <c r="F251" s="12">
        <f>packes[[#This Row],[num]]*packes[[#This Row],[wtg]]</f>
        <v>1916.5918387708271</v>
      </c>
      <c r="G251" s="324">
        <v>3</v>
      </c>
      <c r="H251" s="21">
        <f>packes[[#This Row],[num]]-SUM(packes[[#This Row],[num2]])</f>
        <v>1700</v>
      </c>
      <c r="I251" s="324"/>
      <c r="J251" s="21"/>
      <c r="K251" s="287"/>
    </row>
    <row r="252" spans="1:11" ht="16.5">
      <c r="A252" s="1">
        <v>719</v>
      </c>
      <c r="B252" s="2" t="s">
        <v>739</v>
      </c>
      <c r="C252" s="1">
        <v>140010117</v>
      </c>
      <c r="D252" s="1">
        <v>750</v>
      </c>
      <c r="E252" s="12">
        <f>_xlfn.XLOOKUP(packes[[#This Row],[productId]],bom[Id],bom[wgt])</f>
        <v>1</v>
      </c>
      <c r="F252" s="12">
        <f>packes[[#This Row],[num]]*packes[[#This Row],[wtg]]</f>
        <v>750</v>
      </c>
      <c r="G252" s="324">
        <v>3</v>
      </c>
      <c r="H252" s="21">
        <f>packes[[#This Row],[num]]-SUM(packes[[#This Row],[num2]])</f>
        <v>750</v>
      </c>
      <c r="I252" s="324"/>
      <c r="J252" s="21"/>
      <c r="K252" s="287"/>
    </row>
    <row r="253" spans="1:11" ht="16.5">
      <c r="A253" s="1">
        <v>720</v>
      </c>
      <c r="B253" s="2" t="s">
        <v>739</v>
      </c>
      <c r="C253" s="1">
        <v>140310071</v>
      </c>
      <c r="D253" s="1">
        <v>4800</v>
      </c>
      <c r="E253" s="12">
        <f>_xlfn.XLOOKUP(packes[[#This Row],[productId]],bom[Id],bom[wgt])</f>
        <v>1.3</v>
      </c>
      <c r="F253" s="12">
        <f>packes[[#This Row],[num]]*packes[[#This Row],[wtg]]</f>
        <v>6240</v>
      </c>
      <c r="G253" s="324">
        <v>3</v>
      </c>
      <c r="H253" s="21">
        <f>packes[[#This Row],[num]]-SUM(packes[[#This Row],[num2]])</f>
        <v>4800</v>
      </c>
      <c r="I253" s="324"/>
      <c r="J253" s="21"/>
      <c r="K253" s="287"/>
    </row>
    <row r="254" spans="1:11" ht="16.5">
      <c r="A254" s="1">
        <v>721</v>
      </c>
      <c r="B254" s="2" t="s">
        <v>739</v>
      </c>
      <c r="C254" s="1">
        <v>140310083</v>
      </c>
      <c r="D254" s="1">
        <v>1400</v>
      </c>
      <c r="E254" s="12">
        <f>_xlfn.XLOOKUP(packes[[#This Row],[productId]],bom[Id],bom[wgt])</f>
        <v>1.3369250723336326</v>
      </c>
      <c r="F254" s="12">
        <f>packes[[#This Row],[num]]*packes[[#This Row],[wtg]]</f>
        <v>1871.6951012670856</v>
      </c>
      <c r="G254" s="324">
        <v>3</v>
      </c>
      <c r="H254" s="21">
        <f>packes[[#This Row],[num]]-SUM(packes[[#This Row],[num2]])</f>
        <v>1400</v>
      </c>
      <c r="I254" s="324"/>
      <c r="J254" s="21"/>
      <c r="K254" s="287"/>
    </row>
    <row r="255" spans="1:11" ht="16.5">
      <c r="A255" s="1">
        <v>722</v>
      </c>
      <c r="B255" s="2" t="s">
        <v>739</v>
      </c>
      <c r="C255" s="1">
        <v>140640007</v>
      </c>
      <c r="D255" s="1">
        <v>1900</v>
      </c>
      <c r="E255" s="12">
        <f>_xlfn.XLOOKUP(packes[[#This Row],[productId]],bom[Id],bom[wgt])</f>
        <v>1.1413748378728923</v>
      </c>
      <c r="F255" s="12">
        <f>packes[[#This Row],[num]]*packes[[#This Row],[wtg]]</f>
        <v>2168.6121919584953</v>
      </c>
      <c r="G255" s="324">
        <v>2</v>
      </c>
      <c r="H255" s="21">
        <f>packes[[#This Row],[num]]-SUM(packes[[#This Row],[num2]])</f>
        <v>1900</v>
      </c>
      <c r="I255" s="324"/>
      <c r="J255" s="21"/>
      <c r="K255" s="287"/>
    </row>
    <row r="256" spans="1:11" ht="16.5">
      <c r="A256" s="1">
        <v>723</v>
      </c>
      <c r="B256" s="2" t="s">
        <v>739</v>
      </c>
      <c r="C256" s="1">
        <v>140530039</v>
      </c>
      <c r="D256" s="1">
        <v>1400</v>
      </c>
      <c r="E256" s="12">
        <f>_xlfn.XLOOKUP(packes[[#This Row],[productId]],bom[Id],bom[wgt])</f>
        <v>1.1274069639828395</v>
      </c>
      <c r="F256" s="12">
        <f>packes[[#This Row],[num]]*packes[[#This Row],[wtg]]</f>
        <v>1578.3697495759752</v>
      </c>
      <c r="G256" s="324">
        <v>3</v>
      </c>
      <c r="H256" s="21">
        <f>packes[[#This Row],[num]]-SUM(packes[[#This Row],[num2]])</f>
        <v>1400</v>
      </c>
      <c r="I256" s="324"/>
      <c r="J256" s="21"/>
      <c r="K256" s="287"/>
    </row>
    <row r="257" spans="1:11" ht="16.5">
      <c r="A257" s="1">
        <v>724</v>
      </c>
      <c r="B257" s="2" t="s">
        <v>739</v>
      </c>
      <c r="C257" s="1">
        <v>141320055</v>
      </c>
      <c r="D257" s="1">
        <v>1100</v>
      </c>
      <c r="E257" s="12">
        <f>_xlfn.XLOOKUP(packes[[#This Row],[productId]],bom[Id],bom[wgt])</f>
        <v>1.1274069639828395</v>
      </c>
      <c r="F257" s="12">
        <f>packes[[#This Row],[num]]*packes[[#This Row],[wtg]]</f>
        <v>1240.1476603811234</v>
      </c>
      <c r="G257" s="324">
        <v>2</v>
      </c>
      <c r="H257" s="21">
        <f>packes[[#This Row],[num]]-SUM(packes[[#This Row],[num2]])</f>
        <v>1100</v>
      </c>
      <c r="I257" s="324"/>
      <c r="J257" s="21"/>
      <c r="K257" s="287"/>
    </row>
    <row r="258" spans="1:11" ht="16.5">
      <c r="A258" s="1">
        <v>725</v>
      </c>
      <c r="B258" s="2" t="s">
        <v>740</v>
      </c>
      <c r="C258" s="1">
        <v>140010117</v>
      </c>
      <c r="D258" s="1">
        <v>300</v>
      </c>
      <c r="E258" s="12">
        <f>_xlfn.XLOOKUP(packes[[#This Row],[productId]],bom[Id],bom[wgt])</f>
        <v>1</v>
      </c>
      <c r="F258" s="12">
        <f>packes[[#This Row],[num]]*packes[[#This Row],[wtg]]</f>
        <v>300</v>
      </c>
      <c r="G258" s="324">
        <v>3</v>
      </c>
      <c r="H258" s="21">
        <f>packes[[#This Row],[num]]-SUM(packes[[#This Row],[num2]])</f>
        <v>300</v>
      </c>
      <c r="I258" s="324"/>
      <c r="J258" s="21"/>
      <c r="K258" s="287"/>
    </row>
    <row r="259" spans="1:11" ht="16.5">
      <c r="A259" s="1">
        <v>726</v>
      </c>
      <c r="B259" s="2" t="s">
        <v>740</v>
      </c>
      <c r="C259" s="1">
        <v>140310071</v>
      </c>
      <c r="D259" s="1">
        <v>2600</v>
      </c>
      <c r="E259" s="12">
        <f>_xlfn.XLOOKUP(packes[[#This Row],[productId]],bom[Id],bom[wgt])</f>
        <v>1.3</v>
      </c>
      <c r="F259" s="12">
        <f>packes[[#This Row],[num]]*packes[[#This Row],[wtg]]</f>
        <v>3380</v>
      </c>
      <c r="G259" s="324">
        <v>3</v>
      </c>
      <c r="H259" s="21">
        <f>packes[[#This Row],[num]]-SUM(packes[[#This Row],[num2]])</f>
        <v>2600</v>
      </c>
      <c r="I259" s="324"/>
      <c r="J259" s="21"/>
      <c r="K259" s="287"/>
    </row>
    <row r="260" spans="1:11" ht="16.5">
      <c r="A260" s="1">
        <v>727</v>
      </c>
      <c r="B260" s="2" t="s">
        <v>740</v>
      </c>
      <c r="C260" s="1">
        <v>141320055</v>
      </c>
      <c r="D260" s="1">
        <v>2200</v>
      </c>
      <c r="E260" s="12">
        <f>_xlfn.XLOOKUP(packes[[#This Row],[productId]],bom[Id],bom[wgt])</f>
        <v>1.1274069639828395</v>
      </c>
      <c r="F260" s="12">
        <f>packes[[#This Row],[num]]*packes[[#This Row],[wtg]]</f>
        <v>2480.2953207622468</v>
      </c>
      <c r="G260" s="324">
        <v>2</v>
      </c>
      <c r="H260" s="21">
        <f>packes[[#This Row],[num]]-SUM(packes[[#This Row],[num2]])</f>
        <v>2200</v>
      </c>
      <c r="I260" s="324"/>
      <c r="J260" s="21"/>
      <c r="K260" s="287"/>
    </row>
    <row r="261" spans="1:11" ht="16.5">
      <c r="A261" s="1">
        <v>728</v>
      </c>
      <c r="B261" s="2" t="s">
        <v>741</v>
      </c>
      <c r="C261" s="1">
        <v>140010117</v>
      </c>
      <c r="D261" s="1">
        <v>150</v>
      </c>
      <c r="E261" s="12">
        <f>_xlfn.XLOOKUP(packes[[#This Row],[productId]],bom[Id],bom[wgt])</f>
        <v>1</v>
      </c>
      <c r="F261" s="12">
        <f>packes[[#This Row],[num]]*packes[[#This Row],[wtg]]</f>
        <v>150</v>
      </c>
      <c r="G261" s="324">
        <v>3</v>
      </c>
      <c r="H261" s="21">
        <f>packes[[#This Row],[num]]-SUM(packes[[#This Row],[num2]])</f>
        <v>150</v>
      </c>
      <c r="I261" s="324"/>
      <c r="J261" s="21"/>
      <c r="K261" s="287"/>
    </row>
    <row r="262" spans="1:11" ht="16.5">
      <c r="A262" s="1">
        <v>729</v>
      </c>
      <c r="B262" s="2" t="s">
        <v>741</v>
      </c>
      <c r="C262" s="1">
        <v>140010255</v>
      </c>
      <c r="D262" s="1">
        <v>500</v>
      </c>
      <c r="E262" s="12">
        <f>_xlfn.XLOOKUP(packes[[#This Row],[productId]],bom[Id],bom[wgt])</f>
        <v>1</v>
      </c>
      <c r="F262" s="12">
        <f>packes[[#This Row],[num]]*packes[[#This Row],[wtg]]</f>
        <v>500</v>
      </c>
      <c r="G262" s="324">
        <v>4</v>
      </c>
      <c r="H262" s="21">
        <f>packes[[#This Row],[num]]-SUM(packes[[#This Row],[num2]])</f>
        <v>500</v>
      </c>
      <c r="I262" s="324"/>
      <c r="J262" s="21"/>
      <c r="K262" s="287"/>
    </row>
    <row r="263" spans="1:11" ht="16.5">
      <c r="A263" s="1">
        <v>730</v>
      </c>
      <c r="B263" s="2" t="s">
        <v>741</v>
      </c>
      <c r="C263" s="1">
        <v>140310071</v>
      </c>
      <c r="D263" s="1">
        <v>2700</v>
      </c>
      <c r="E263" s="12">
        <f>_xlfn.XLOOKUP(packes[[#This Row],[productId]],bom[Id],bom[wgt])</f>
        <v>1.3</v>
      </c>
      <c r="F263" s="12">
        <f>packes[[#This Row],[num]]*packes[[#This Row],[wtg]]</f>
        <v>3510</v>
      </c>
      <c r="G263" s="324">
        <v>3</v>
      </c>
      <c r="H263" s="21">
        <f>packes[[#This Row],[num]]-SUM(packes[[#This Row],[num2]])</f>
        <v>2700</v>
      </c>
      <c r="I263" s="324"/>
      <c r="J263" s="21"/>
      <c r="K263" s="287"/>
    </row>
    <row r="264" spans="1:11" ht="16.5">
      <c r="A264" s="1">
        <v>731</v>
      </c>
      <c r="B264" s="2" t="s">
        <v>741</v>
      </c>
      <c r="C264" s="1">
        <v>140640007</v>
      </c>
      <c r="D264" s="1">
        <v>1300</v>
      </c>
      <c r="E264" s="12">
        <f>_xlfn.XLOOKUP(packes[[#This Row],[productId]],bom[Id],bom[wgt])</f>
        <v>1.1413748378728923</v>
      </c>
      <c r="F264" s="12">
        <f>packes[[#This Row],[num]]*packes[[#This Row],[wtg]]</f>
        <v>1483.78728923476</v>
      </c>
      <c r="G264" s="324">
        <v>2</v>
      </c>
      <c r="H264" s="21">
        <f>packes[[#This Row],[num]]-SUM(packes[[#This Row],[num2]])</f>
        <v>1300</v>
      </c>
      <c r="I264" s="324"/>
      <c r="J264" s="21"/>
      <c r="K264" s="287"/>
    </row>
    <row r="265" spans="1:11" ht="16.5">
      <c r="A265" s="1">
        <v>732</v>
      </c>
      <c r="B265" s="2" t="s">
        <v>741</v>
      </c>
      <c r="C265" s="1">
        <v>141320055</v>
      </c>
      <c r="D265" s="1">
        <v>1900</v>
      </c>
      <c r="E265" s="12">
        <f>_xlfn.XLOOKUP(packes[[#This Row],[productId]],bom[Id],bom[wgt])</f>
        <v>1.1274069639828395</v>
      </c>
      <c r="F265" s="12">
        <f>packes[[#This Row],[num]]*packes[[#This Row],[wtg]]</f>
        <v>2142.0732315673949</v>
      </c>
      <c r="G265" s="324">
        <v>2</v>
      </c>
      <c r="H265" s="21">
        <f>packes[[#This Row],[num]]-SUM(packes[[#This Row],[num2]])</f>
        <v>1900</v>
      </c>
      <c r="I265" s="324"/>
      <c r="J265" s="21"/>
      <c r="K265" s="287"/>
    </row>
    <row r="266" spans="1:11" ht="16.5">
      <c r="A266" s="1">
        <v>733</v>
      </c>
      <c r="B266" s="2" t="s">
        <v>742</v>
      </c>
      <c r="C266" s="1">
        <v>140030039</v>
      </c>
      <c r="D266" s="1">
        <v>1200</v>
      </c>
      <c r="E266" s="12">
        <f>_xlfn.XLOOKUP(packes[[#This Row],[productId]],bom[Id],bom[wgt])</f>
        <v>1.1413748378728923</v>
      </c>
      <c r="F266" s="12">
        <f>packes[[#This Row],[num]]*packes[[#This Row],[wtg]]</f>
        <v>1369.6498054474707</v>
      </c>
      <c r="G266" s="324">
        <v>4</v>
      </c>
      <c r="H266" s="21">
        <f>packes[[#This Row],[num]]-SUM(packes[[#This Row],[num2]])</f>
        <v>1200</v>
      </c>
      <c r="I266" s="324"/>
      <c r="J266" s="21"/>
      <c r="K266" s="287"/>
    </row>
    <row r="267" spans="1:11" ht="16.5">
      <c r="A267" s="1">
        <v>734</v>
      </c>
      <c r="B267" s="2" t="s">
        <v>742</v>
      </c>
      <c r="C267" s="1">
        <v>140310071</v>
      </c>
      <c r="D267" s="1">
        <v>5200</v>
      </c>
      <c r="E267" s="12">
        <f>_xlfn.XLOOKUP(packes[[#This Row],[productId]],bom[Id],bom[wgt])</f>
        <v>1.3</v>
      </c>
      <c r="F267" s="12">
        <f>packes[[#This Row],[num]]*packes[[#This Row],[wtg]]</f>
        <v>6760</v>
      </c>
      <c r="G267" s="324">
        <v>3</v>
      </c>
      <c r="H267" s="21">
        <f>packes[[#This Row],[num]]-SUM(packes[[#This Row],[num2]])</f>
        <v>5200</v>
      </c>
      <c r="I267" s="324"/>
      <c r="J267" s="21"/>
      <c r="K267" s="287"/>
    </row>
    <row r="268" spans="1:11" ht="16.5">
      <c r="A268" s="1">
        <v>735</v>
      </c>
      <c r="B268" s="2" t="s">
        <v>742</v>
      </c>
      <c r="C268" s="1">
        <v>140640007</v>
      </c>
      <c r="D268" s="1">
        <v>950</v>
      </c>
      <c r="E268" s="12">
        <f>_xlfn.XLOOKUP(packes[[#This Row],[productId]],bom[Id],bom[wgt])</f>
        <v>1.1413748378728923</v>
      </c>
      <c r="F268" s="12">
        <f>packes[[#This Row],[num]]*packes[[#This Row],[wtg]]</f>
        <v>1084.3060959792476</v>
      </c>
      <c r="G268" s="324">
        <v>2</v>
      </c>
      <c r="H268" s="21">
        <f>packes[[#This Row],[num]]-SUM(packes[[#This Row],[num2]])</f>
        <v>950</v>
      </c>
      <c r="I268" s="324"/>
      <c r="J268" s="21"/>
      <c r="K268" s="287"/>
    </row>
    <row r="269" spans="1:11" ht="16.5">
      <c r="A269" s="1">
        <v>736</v>
      </c>
      <c r="B269" s="2" t="s">
        <v>745</v>
      </c>
      <c r="C269" s="1">
        <v>140030039</v>
      </c>
      <c r="D269" s="1">
        <v>700</v>
      </c>
      <c r="E269" s="12">
        <f>_xlfn.XLOOKUP(packes[[#This Row],[productId]],bom[Id],bom[wgt])</f>
        <v>1.1413748378728923</v>
      </c>
      <c r="F269" s="12">
        <f>packes[[#This Row],[num]]*packes[[#This Row],[wtg]]</f>
        <v>798.96238651102465</v>
      </c>
      <c r="G269" s="324">
        <v>4</v>
      </c>
      <c r="H269" s="21">
        <f>packes[[#This Row],[num]]-SUM(packes[[#This Row],[num2]])</f>
        <v>700</v>
      </c>
      <c r="I269" s="324"/>
      <c r="J269" s="21"/>
      <c r="K269" s="287"/>
    </row>
    <row r="270" spans="1:11" ht="16.5">
      <c r="A270" s="1">
        <v>737</v>
      </c>
      <c r="B270" s="2" t="s">
        <v>745</v>
      </c>
      <c r="C270" s="1">
        <v>140030040</v>
      </c>
      <c r="D270" s="1">
        <v>1300</v>
      </c>
      <c r="E270" s="12">
        <f>_xlfn.XLOOKUP(packes[[#This Row],[productId]],bom[Id],bom[wgt])</f>
        <v>1.1092487279257708</v>
      </c>
      <c r="F270" s="12">
        <f>packes[[#This Row],[num]]*packes[[#This Row],[wtg]]</f>
        <v>1442.023346303502</v>
      </c>
      <c r="G270" s="324">
        <v>4</v>
      </c>
      <c r="H270" s="21">
        <f>packes[[#This Row],[num]]-SUM(packes[[#This Row],[num2]])</f>
        <v>1300</v>
      </c>
      <c r="I270" s="324"/>
      <c r="J270" s="21"/>
      <c r="K270" s="287"/>
    </row>
    <row r="271" spans="1:11" ht="16.5">
      <c r="A271" s="1">
        <v>738</v>
      </c>
      <c r="B271" s="2" t="s">
        <v>745</v>
      </c>
      <c r="C271" s="1">
        <v>140310071</v>
      </c>
      <c r="D271" s="1">
        <v>2900</v>
      </c>
      <c r="E271" s="12">
        <f>_xlfn.XLOOKUP(packes[[#This Row],[productId]],bom[Id],bom[wgt])</f>
        <v>1.3</v>
      </c>
      <c r="F271" s="12">
        <f>packes[[#This Row],[num]]*packes[[#This Row],[wtg]]</f>
        <v>3770</v>
      </c>
      <c r="G271" s="324">
        <v>3</v>
      </c>
      <c r="H271" s="21">
        <f>packes[[#This Row],[num]]-SUM(packes[[#This Row],[num2]])</f>
        <v>2900</v>
      </c>
      <c r="I271" s="324"/>
      <c r="J271" s="21"/>
      <c r="K271" s="287"/>
    </row>
    <row r="272" spans="1:11" ht="16.5">
      <c r="A272" s="1">
        <v>739</v>
      </c>
      <c r="B272" s="2" t="s">
        <v>745</v>
      </c>
      <c r="C272" s="1">
        <v>140640007</v>
      </c>
      <c r="D272" s="1">
        <v>400</v>
      </c>
      <c r="E272" s="12">
        <f>_xlfn.XLOOKUP(packes[[#This Row],[productId]],bom[Id],bom[wgt])</f>
        <v>1.1413748378728923</v>
      </c>
      <c r="F272" s="12">
        <f>packes[[#This Row],[num]]*packes[[#This Row],[wtg]]</f>
        <v>456.54993514915691</v>
      </c>
      <c r="G272" s="324">
        <v>2</v>
      </c>
      <c r="H272" s="21">
        <f>packes[[#This Row],[num]]-SUM(packes[[#This Row],[num2]])</f>
        <v>400</v>
      </c>
      <c r="I272" s="324"/>
      <c r="J272" s="21"/>
      <c r="K272" s="287"/>
    </row>
    <row r="273" spans="1:11" ht="16.5">
      <c r="A273" s="1">
        <v>740</v>
      </c>
      <c r="B273" s="2" t="s">
        <v>745</v>
      </c>
      <c r="C273" s="1">
        <v>141320055</v>
      </c>
      <c r="D273" s="1">
        <v>400</v>
      </c>
      <c r="E273" s="12">
        <f>_xlfn.XLOOKUP(packes[[#This Row],[productId]],bom[Id],bom[wgt])</f>
        <v>1.1274069639828395</v>
      </c>
      <c r="F273" s="12">
        <f>packes[[#This Row],[num]]*packes[[#This Row],[wtg]]</f>
        <v>450.96278559313578</v>
      </c>
      <c r="G273" s="324">
        <v>2</v>
      </c>
      <c r="H273" s="21">
        <f>packes[[#This Row],[num]]-SUM(packes[[#This Row],[num2]])</f>
        <v>400</v>
      </c>
      <c r="I273" s="324"/>
      <c r="J273" s="21"/>
      <c r="K273" s="287"/>
    </row>
    <row r="274" spans="1:11" ht="16.5">
      <c r="A274" s="1">
        <v>741</v>
      </c>
      <c r="B274" s="2" t="s">
        <v>746</v>
      </c>
      <c r="C274" s="1">
        <v>140030039</v>
      </c>
      <c r="D274" s="1">
        <v>200</v>
      </c>
      <c r="E274" s="12">
        <f>_xlfn.XLOOKUP(packes[[#This Row],[productId]],bom[Id],bom[wgt])</f>
        <v>1.1413748378728923</v>
      </c>
      <c r="F274" s="12">
        <f>packes[[#This Row],[num]]*packes[[#This Row],[wtg]]</f>
        <v>228.27496757457845</v>
      </c>
      <c r="G274" s="324">
        <v>4</v>
      </c>
      <c r="H274" s="21">
        <f>packes[[#This Row],[num]]-SUM(packes[[#This Row],[num2]])</f>
        <v>200</v>
      </c>
      <c r="I274" s="324"/>
      <c r="J274" s="21"/>
      <c r="K274" s="287"/>
    </row>
    <row r="275" spans="1:11" ht="16.5">
      <c r="A275" s="1">
        <v>742</v>
      </c>
      <c r="B275" s="2" t="s">
        <v>746</v>
      </c>
      <c r="C275" s="1">
        <v>140030040</v>
      </c>
      <c r="D275" s="1">
        <v>700</v>
      </c>
      <c r="E275" s="12">
        <f>_xlfn.XLOOKUP(packes[[#This Row],[productId]],bom[Id],bom[wgt])</f>
        <v>1.1092487279257708</v>
      </c>
      <c r="F275" s="12">
        <f>packes[[#This Row],[num]]*packes[[#This Row],[wtg]]</f>
        <v>776.47410954803956</v>
      </c>
      <c r="G275" s="324">
        <v>4</v>
      </c>
      <c r="H275" s="21">
        <f>packes[[#This Row],[num]]-SUM(packes[[#This Row],[num2]])</f>
        <v>700</v>
      </c>
      <c r="I275" s="324"/>
      <c r="J275" s="21"/>
      <c r="K275" s="287"/>
    </row>
    <row r="276" spans="1:11" ht="16.5">
      <c r="A276" s="1">
        <v>743</v>
      </c>
      <c r="B276" s="2" t="s">
        <v>746</v>
      </c>
      <c r="C276" s="1">
        <v>140310071</v>
      </c>
      <c r="D276" s="1">
        <v>2250</v>
      </c>
      <c r="E276" s="12">
        <f>_xlfn.XLOOKUP(packes[[#This Row],[productId]],bom[Id],bom[wgt])</f>
        <v>1.3</v>
      </c>
      <c r="F276" s="12">
        <f>packes[[#This Row],[num]]*packes[[#This Row],[wtg]]</f>
        <v>2925</v>
      </c>
      <c r="G276" s="324">
        <v>3</v>
      </c>
      <c r="H276" s="21">
        <f>packes[[#This Row],[num]]-SUM(packes[[#This Row],[num2]])</f>
        <v>2250</v>
      </c>
      <c r="I276" s="324"/>
      <c r="J276" s="21"/>
      <c r="K276" s="287"/>
    </row>
    <row r="277" spans="1:11" ht="16.5">
      <c r="A277" s="1">
        <v>744</v>
      </c>
      <c r="B277" s="2" t="s">
        <v>746</v>
      </c>
      <c r="C277" s="1">
        <v>140310083</v>
      </c>
      <c r="D277" s="1">
        <v>700</v>
      </c>
      <c r="E277" s="12">
        <f>_xlfn.XLOOKUP(packes[[#This Row],[productId]],bom[Id],bom[wgt])</f>
        <v>1.3369250723336326</v>
      </c>
      <c r="F277" s="12">
        <f>packes[[#This Row],[num]]*packes[[#This Row],[wtg]]</f>
        <v>935.84755063354282</v>
      </c>
      <c r="G277" s="324">
        <v>3</v>
      </c>
      <c r="H277" s="21">
        <f>packes[[#This Row],[num]]-SUM(packes[[#This Row],[num2]])</f>
        <v>700</v>
      </c>
      <c r="I277" s="324"/>
      <c r="J277" s="21"/>
      <c r="K277" s="287"/>
    </row>
    <row r="278" spans="1:11" ht="16.5">
      <c r="A278" s="1">
        <v>745</v>
      </c>
      <c r="B278" s="2" t="s">
        <v>746</v>
      </c>
      <c r="C278" s="1">
        <v>140640007</v>
      </c>
      <c r="D278" s="1">
        <v>250</v>
      </c>
      <c r="E278" s="12">
        <f>_xlfn.XLOOKUP(packes[[#This Row],[productId]],bom[Id],bom[wgt])</f>
        <v>1.1413748378728923</v>
      </c>
      <c r="F278" s="12">
        <f>packes[[#This Row],[num]]*packes[[#This Row],[wtg]]</f>
        <v>285.3437094682231</v>
      </c>
      <c r="G278" s="324">
        <v>2</v>
      </c>
      <c r="H278" s="21">
        <f>packes[[#This Row],[num]]-SUM(packes[[#This Row],[num2]])</f>
        <v>250</v>
      </c>
      <c r="I278" s="324"/>
      <c r="J278" s="21"/>
      <c r="K278" s="287"/>
    </row>
    <row r="279" spans="1:11" ht="16.5">
      <c r="A279" s="1">
        <v>746</v>
      </c>
      <c r="B279" s="2" t="s">
        <v>746</v>
      </c>
      <c r="C279" s="1">
        <v>140530039</v>
      </c>
      <c r="D279" s="1">
        <v>200</v>
      </c>
      <c r="E279" s="12">
        <f>_xlfn.XLOOKUP(packes[[#This Row],[productId]],bom[Id],bom[wgt])</f>
        <v>1.1274069639828395</v>
      </c>
      <c r="F279" s="12">
        <f>packes[[#This Row],[num]]*packes[[#This Row],[wtg]]</f>
        <v>225.48139279656789</v>
      </c>
      <c r="G279" s="324">
        <v>3</v>
      </c>
      <c r="H279" s="21">
        <f>packes[[#This Row],[num]]-SUM(packes[[#This Row],[num2]])</f>
        <v>200</v>
      </c>
      <c r="I279" s="324"/>
      <c r="J279" s="21"/>
      <c r="K279" s="287"/>
    </row>
    <row r="280" spans="1:11" ht="16.5">
      <c r="A280" s="1">
        <v>747</v>
      </c>
      <c r="B280" s="2" t="s">
        <v>746</v>
      </c>
      <c r="C280" s="1">
        <v>141320055</v>
      </c>
      <c r="D280" s="1">
        <v>1300</v>
      </c>
      <c r="E280" s="12">
        <f>_xlfn.XLOOKUP(packes[[#This Row],[productId]],bom[Id],bom[wgt])</f>
        <v>1.1274069639828395</v>
      </c>
      <c r="F280" s="12">
        <f>packes[[#This Row],[num]]*packes[[#This Row],[wtg]]</f>
        <v>1465.6290531776913</v>
      </c>
      <c r="G280" s="324">
        <v>2</v>
      </c>
      <c r="H280" s="21">
        <f>packes[[#This Row],[num]]-SUM(packes[[#This Row],[num2]])</f>
        <v>1300</v>
      </c>
      <c r="I280" s="324"/>
      <c r="J280" s="21"/>
      <c r="K280" s="287"/>
    </row>
    <row r="281" spans="1:11" ht="16.5">
      <c r="A281" s="1">
        <v>748</v>
      </c>
      <c r="B281" s="2" t="s">
        <v>747</v>
      </c>
      <c r="C281" s="1">
        <v>140030040</v>
      </c>
      <c r="D281" s="1">
        <v>800</v>
      </c>
      <c r="E281" s="12">
        <f>_xlfn.XLOOKUP(packes[[#This Row],[productId]],bom[Id],bom[wgt])</f>
        <v>1.1092487279257708</v>
      </c>
      <c r="F281" s="12">
        <f>packes[[#This Row],[num]]*packes[[#This Row],[wtg]]</f>
        <v>887.39898234061661</v>
      </c>
      <c r="G281" s="324">
        <v>3</v>
      </c>
      <c r="H281" s="21">
        <f>packes[[#This Row],[num]]-SUM(packes[[#This Row],[num2]])</f>
        <v>100</v>
      </c>
      <c r="I281" s="324">
        <v>4</v>
      </c>
      <c r="J281" s="21">
        <v>700</v>
      </c>
      <c r="K281" s="287"/>
    </row>
    <row r="282" spans="1:11" ht="16.5">
      <c r="A282" s="1">
        <v>749</v>
      </c>
      <c r="B282" s="2" t="s">
        <v>747</v>
      </c>
      <c r="C282" s="1">
        <v>140310071</v>
      </c>
      <c r="D282" s="1">
        <v>1500</v>
      </c>
      <c r="E282" s="12">
        <f>_xlfn.XLOOKUP(packes[[#This Row],[productId]],bom[Id],bom[wgt])</f>
        <v>1.3</v>
      </c>
      <c r="F282" s="12">
        <f>packes[[#This Row],[num]]*packes[[#This Row],[wtg]]</f>
        <v>1950</v>
      </c>
      <c r="G282" s="324">
        <v>3</v>
      </c>
      <c r="H282" s="21">
        <f>packes[[#This Row],[num]]-SUM(packes[[#This Row],[num2]])</f>
        <v>1500</v>
      </c>
      <c r="I282" s="324"/>
      <c r="J282" s="21"/>
      <c r="K282" s="287"/>
    </row>
    <row r="283" spans="1:11" ht="16.5">
      <c r="A283" s="1">
        <v>750</v>
      </c>
      <c r="B283" s="2" t="s">
        <v>747</v>
      </c>
      <c r="C283" s="1">
        <v>140310083</v>
      </c>
      <c r="D283" s="1">
        <v>400</v>
      </c>
      <c r="E283" s="12">
        <f>_xlfn.XLOOKUP(packes[[#This Row],[productId]],bom[Id],bom[wgt])</f>
        <v>1.3369250723336326</v>
      </c>
      <c r="F283" s="12">
        <f>packes[[#This Row],[num]]*packes[[#This Row],[wtg]]</f>
        <v>534.77002893345298</v>
      </c>
      <c r="G283" s="324">
        <v>3</v>
      </c>
      <c r="H283" s="21">
        <f>packes[[#This Row],[num]]-SUM(packes[[#This Row],[num2]])</f>
        <v>400</v>
      </c>
      <c r="I283" s="324"/>
      <c r="J283" s="21"/>
      <c r="K283" s="287"/>
    </row>
    <row r="284" spans="1:11" ht="16.5">
      <c r="A284" s="1">
        <v>751</v>
      </c>
      <c r="B284" s="2" t="s">
        <v>747</v>
      </c>
      <c r="C284" s="1">
        <v>140530039</v>
      </c>
      <c r="D284" s="1">
        <v>200</v>
      </c>
      <c r="E284" s="12">
        <f>_xlfn.XLOOKUP(packes[[#This Row],[productId]],bom[Id],bom[wgt])</f>
        <v>1.1274069639828395</v>
      </c>
      <c r="F284" s="12">
        <f>packes[[#This Row],[num]]*packes[[#This Row],[wtg]]</f>
        <v>225.48139279656789</v>
      </c>
      <c r="G284" s="324">
        <v>3</v>
      </c>
      <c r="H284" s="21">
        <f>packes[[#This Row],[num]]-SUM(packes[[#This Row],[num2]])</f>
        <v>200</v>
      </c>
      <c r="I284" s="324"/>
      <c r="J284" s="21"/>
      <c r="K284" s="287"/>
    </row>
    <row r="285" spans="1:11" ht="16.5">
      <c r="A285" s="1">
        <v>752</v>
      </c>
      <c r="B285" s="2" t="s">
        <v>747</v>
      </c>
      <c r="C285" s="1">
        <v>141320055</v>
      </c>
      <c r="D285" s="1">
        <v>2200</v>
      </c>
      <c r="E285" s="12">
        <f>_xlfn.XLOOKUP(packes[[#This Row],[productId]],bom[Id],bom[wgt])</f>
        <v>1.1274069639828395</v>
      </c>
      <c r="F285" s="12">
        <f>packes[[#This Row],[num]]*packes[[#This Row],[wtg]]</f>
        <v>2480.2953207622468</v>
      </c>
      <c r="G285" s="324">
        <v>3</v>
      </c>
      <c r="H285" s="21">
        <f>packes[[#This Row],[num]]-SUM(packes[[#This Row],[num2]])</f>
        <v>1800</v>
      </c>
      <c r="I285" s="324">
        <v>2</v>
      </c>
      <c r="J285" s="21">
        <v>400</v>
      </c>
      <c r="K285" s="287"/>
    </row>
    <row r="286" spans="1:11" ht="16.5">
      <c r="A286" s="1">
        <v>753</v>
      </c>
      <c r="B286" s="2" t="s">
        <v>748</v>
      </c>
      <c r="C286" s="1">
        <v>140010117</v>
      </c>
      <c r="D286" s="1">
        <v>600</v>
      </c>
      <c r="E286" s="12">
        <f>_xlfn.XLOOKUP(packes[[#This Row],[productId]],bom[Id],bom[wgt])</f>
        <v>1</v>
      </c>
      <c r="F286" s="12">
        <f>packes[[#This Row],[num]]*packes[[#This Row],[wtg]]</f>
        <v>600</v>
      </c>
      <c r="G286" s="324">
        <v>4</v>
      </c>
      <c r="H286" s="21">
        <f>packes[[#This Row],[num]]-SUM(packes[[#This Row],[num2]])</f>
        <v>500</v>
      </c>
      <c r="I286" s="324">
        <v>3</v>
      </c>
      <c r="J286" s="21">
        <v>100</v>
      </c>
      <c r="K286" s="287"/>
    </row>
    <row r="287" spans="1:11" ht="16.5">
      <c r="A287" s="1">
        <v>754</v>
      </c>
      <c r="B287" s="2" t="s">
        <v>748</v>
      </c>
      <c r="C287" s="1">
        <v>140030040</v>
      </c>
      <c r="D287" s="1">
        <v>200</v>
      </c>
      <c r="E287" s="12">
        <f>_xlfn.XLOOKUP(packes[[#This Row],[productId]],bom[Id],bom[wgt])</f>
        <v>1.1092487279257708</v>
      </c>
      <c r="F287" s="12">
        <f>packes[[#This Row],[num]]*packes[[#This Row],[wtg]]</f>
        <v>221.84974558515415</v>
      </c>
      <c r="G287" s="324">
        <v>4</v>
      </c>
      <c r="H287" s="21">
        <f>packes[[#This Row],[num]]-SUM(packes[[#This Row],[num2]])</f>
        <v>200</v>
      </c>
      <c r="I287" s="324"/>
      <c r="J287" s="21"/>
      <c r="K287" s="287"/>
    </row>
    <row r="288" spans="1:11" ht="16.5">
      <c r="A288" s="1">
        <v>755</v>
      </c>
      <c r="B288" s="2" t="s">
        <v>748</v>
      </c>
      <c r="C288" s="1">
        <v>140090143</v>
      </c>
      <c r="D288" s="1">
        <v>14</v>
      </c>
      <c r="E288" s="12">
        <f>_xlfn.XLOOKUP(packes[[#This Row],[productId]],bom[Id],bom[wgt])</f>
        <v>2.7237354085603114</v>
      </c>
      <c r="F288" s="12">
        <f>packes[[#This Row],[num]]*packes[[#This Row],[wtg]]</f>
        <v>38.132295719844358</v>
      </c>
      <c r="G288" s="324" t="s">
        <v>122</v>
      </c>
      <c r="H288" s="21">
        <f>packes[[#This Row],[num]]-SUM(packes[[#This Row],[num2]])</f>
        <v>14</v>
      </c>
      <c r="I288" s="324"/>
      <c r="J288" s="21"/>
      <c r="K288" s="287"/>
    </row>
    <row r="289" spans="1:11" ht="16.5">
      <c r="A289" s="1">
        <v>756</v>
      </c>
      <c r="B289" s="2" t="s">
        <v>748</v>
      </c>
      <c r="C289" s="1">
        <v>140310016</v>
      </c>
      <c r="D289" s="1">
        <v>2</v>
      </c>
      <c r="E289" s="12">
        <f>_xlfn.XLOOKUP(packes[[#This Row],[productId]],bom[Id],bom[wgt])</f>
        <v>3</v>
      </c>
      <c r="F289" s="12">
        <f>packes[[#This Row],[num]]*packes[[#This Row],[wtg]]</f>
        <v>6</v>
      </c>
      <c r="G289" s="324" t="s">
        <v>122</v>
      </c>
      <c r="H289" s="21">
        <f>packes[[#This Row],[num]]-SUM(packes[[#This Row],[num2]])</f>
        <v>2</v>
      </c>
      <c r="I289" s="324"/>
      <c r="J289" s="21"/>
      <c r="K289" s="287"/>
    </row>
    <row r="290" spans="1:11" ht="16.5">
      <c r="A290" s="1">
        <v>757</v>
      </c>
      <c r="B290" s="2" t="s">
        <v>748</v>
      </c>
      <c r="C290" s="1">
        <v>140310071</v>
      </c>
      <c r="D290" s="1">
        <f>1900+500</f>
        <v>2400</v>
      </c>
      <c r="E290" s="12">
        <f>_xlfn.XLOOKUP(packes[[#This Row],[productId]],bom[Id],bom[wgt])</f>
        <v>1.3</v>
      </c>
      <c r="F290" s="12">
        <f>packes[[#This Row],[num]]*packes[[#This Row],[wtg]]</f>
        <v>3120</v>
      </c>
      <c r="G290" s="324">
        <v>3</v>
      </c>
      <c r="H290" s="21">
        <f>packes[[#This Row],[num]]-SUM(packes[[#This Row],[num2]])</f>
        <v>2400</v>
      </c>
      <c r="I290" s="324"/>
      <c r="J290" s="21"/>
      <c r="K290" s="287"/>
    </row>
    <row r="291" spans="1:11" ht="16.5">
      <c r="A291" s="1">
        <v>758</v>
      </c>
      <c r="B291" s="2" t="s">
        <v>748</v>
      </c>
      <c r="C291" s="1">
        <v>140310075</v>
      </c>
      <c r="D291" s="1">
        <v>24</v>
      </c>
      <c r="E291" s="12">
        <f>_xlfn.XLOOKUP(packes[[#This Row],[productId]],bom[Id],bom[wgt])</f>
        <v>1.6063054973560809</v>
      </c>
      <c r="F291" s="12">
        <f>packes[[#This Row],[num]]*packes[[#This Row],[wtg]]</f>
        <v>38.551331936545942</v>
      </c>
      <c r="G291" s="324" t="s">
        <v>122</v>
      </c>
      <c r="H291" s="21">
        <f>packes[[#This Row],[num]]-SUM(packes[[#This Row],[num2]])</f>
        <v>24</v>
      </c>
      <c r="I291" s="324"/>
      <c r="J291" s="21"/>
      <c r="K291" s="287"/>
    </row>
    <row r="292" spans="1:11" ht="16.5">
      <c r="A292" s="1">
        <v>759</v>
      </c>
      <c r="B292" s="2" t="s">
        <v>748</v>
      </c>
      <c r="C292" s="1">
        <v>140310083</v>
      </c>
      <c r="D292" s="1">
        <v>400</v>
      </c>
      <c r="E292" s="12">
        <f>_xlfn.XLOOKUP(packes[[#This Row],[productId]],bom[Id],bom[wgt])</f>
        <v>1.3369250723336326</v>
      </c>
      <c r="F292" s="12">
        <f>packes[[#This Row],[num]]*packes[[#This Row],[wtg]]</f>
        <v>534.77002893345298</v>
      </c>
      <c r="G292" s="324">
        <v>3</v>
      </c>
      <c r="H292" s="21">
        <f>packes[[#This Row],[num]]-SUM(packes[[#This Row],[num2]])</f>
        <v>400</v>
      </c>
      <c r="I292" s="324"/>
      <c r="J292" s="21"/>
      <c r="K292" s="287"/>
    </row>
    <row r="293" spans="1:11" ht="16.5">
      <c r="A293" s="1">
        <v>760</v>
      </c>
      <c r="B293" s="2" t="s">
        <v>748</v>
      </c>
      <c r="C293" s="1">
        <v>140220012</v>
      </c>
      <c r="D293" s="1">
        <v>19</v>
      </c>
      <c r="E293" s="12">
        <f>_xlfn.XLOOKUP(packes[[#This Row],[productId]],bom[Id],bom[wgt])</f>
        <v>1.9455252918287937</v>
      </c>
      <c r="F293" s="12">
        <f>packes[[#This Row],[num]]*packes[[#This Row],[wtg]]</f>
        <v>36.964980544747078</v>
      </c>
      <c r="G293" s="324" t="s">
        <v>122</v>
      </c>
      <c r="H293" s="21">
        <f>packes[[#This Row],[num]]-SUM(packes[[#This Row],[num2]])</f>
        <v>19</v>
      </c>
      <c r="I293" s="324"/>
      <c r="J293" s="21"/>
      <c r="K293" s="287"/>
    </row>
    <row r="294" spans="1:11" ht="16.5">
      <c r="A294" s="1">
        <v>761</v>
      </c>
      <c r="B294" s="2" t="s">
        <v>748</v>
      </c>
      <c r="C294" s="1">
        <v>141650001</v>
      </c>
      <c r="D294" s="1">
        <v>6</v>
      </c>
      <c r="E294" s="12">
        <f>_xlfn.XLOOKUP(packes[[#This Row],[productId]],bom[Id],bom[wgt])</f>
        <v>1.207223386211713</v>
      </c>
      <c r="F294" s="12">
        <f>packes[[#This Row],[num]]*packes[[#This Row],[wtg]]</f>
        <v>7.2433403172702775</v>
      </c>
      <c r="G294" s="324" t="s">
        <v>122</v>
      </c>
      <c r="H294" s="21">
        <f>packes[[#This Row],[num]]-SUM(packes[[#This Row],[num2]])</f>
        <v>6</v>
      </c>
      <c r="I294" s="324"/>
      <c r="J294" s="21"/>
      <c r="K294" s="287"/>
    </row>
    <row r="295" spans="1:11" ht="16.5">
      <c r="A295" s="1">
        <v>762</v>
      </c>
      <c r="B295" s="2" t="s">
        <v>748</v>
      </c>
      <c r="C295" s="1">
        <v>140550019</v>
      </c>
      <c r="D295" s="1">
        <v>1000</v>
      </c>
      <c r="E295" s="12">
        <f>_xlfn.XLOOKUP(packes[[#This Row],[productId]],bom[Id],bom[wgt])</f>
        <v>2.6938042502244834</v>
      </c>
      <c r="F295" s="12">
        <f>packes[[#This Row],[num]]*packes[[#This Row],[wtg]]</f>
        <v>2693.8042502244834</v>
      </c>
      <c r="G295" s="324">
        <v>10</v>
      </c>
      <c r="H295" s="21">
        <f>packes[[#This Row],[num]]-SUM(packes[[#This Row],[num2]])</f>
        <v>1000</v>
      </c>
      <c r="I295" s="324"/>
      <c r="J295" s="21"/>
      <c r="K295" s="287"/>
    </row>
    <row r="296" spans="1:11" ht="16.5">
      <c r="A296" s="1">
        <v>763</v>
      </c>
      <c r="B296" s="2" t="s">
        <v>749</v>
      </c>
      <c r="C296" s="1">
        <v>140010117</v>
      </c>
      <c r="D296" s="1">
        <v>225</v>
      </c>
      <c r="E296" s="12">
        <f>_xlfn.XLOOKUP(packes[[#This Row],[productId]],bom[Id],bom[wgt])</f>
        <v>1</v>
      </c>
      <c r="F296" s="12">
        <f>packes[[#This Row],[num]]*packes[[#This Row],[wtg]]</f>
        <v>225</v>
      </c>
      <c r="G296" s="324">
        <v>4</v>
      </c>
      <c r="H296" s="21">
        <f>packes[[#This Row],[num]]-SUM(packes[[#This Row],[num2]])</f>
        <v>225</v>
      </c>
      <c r="I296" s="324"/>
      <c r="J296" s="21"/>
      <c r="K296" s="287"/>
    </row>
    <row r="297" spans="1:11" ht="16.5">
      <c r="A297" s="1">
        <v>764</v>
      </c>
      <c r="B297" s="2" t="s">
        <v>749</v>
      </c>
      <c r="C297" s="1">
        <v>140010230</v>
      </c>
      <c r="D297" s="1">
        <v>300</v>
      </c>
      <c r="E297" s="12">
        <f>_xlfn.XLOOKUP(packes[[#This Row],[productId]],bom[Id],bom[wgt])</f>
        <v>1.4486680634540554</v>
      </c>
      <c r="F297" s="12">
        <f>packes[[#This Row],[num]]*packes[[#This Row],[wtg]]</f>
        <v>434.60041903621664</v>
      </c>
      <c r="G297" s="324">
        <v>4</v>
      </c>
      <c r="H297" s="21">
        <f>packes[[#This Row],[num]]-SUM(packes[[#This Row],[num2]])</f>
        <v>300</v>
      </c>
      <c r="I297" s="324"/>
      <c r="J297" s="21"/>
      <c r="K297" s="287"/>
    </row>
    <row r="298" spans="1:11" ht="16.5">
      <c r="A298" s="1">
        <v>765</v>
      </c>
      <c r="B298" s="2" t="s">
        <v>749</v>
      </c>
      <c r="C298" s="1">
        <v>140030039</v>
      </c>
      <c r="D298" s="1">
        <v>800</v>
      </c>
      <c r="E298" s="12">
        <f>_xlfn.XLOOKUP(packes[[#This Row],[productId]],bom[Id],bom[wgt])</f>
        <v>1.1413748378728923</v>
      </c>
      <c r="F298" s="12">
        <f>packes[[#This Row],[num]]*packes[[#This Row],[wtg]]</f>
        <v>913.09987029831382</v>
      </c>
      <c r="G298" s="324">
        <v>4</v>
      </c>
      <c r="H298" s="21">
        <f>packes[[#This Row],[num]]-SUM(packes[[#This Row],[num2]])</f>
        <v>800</v>
      </c>
      <c r="I298" s="324"/>
      <c r="J298" s="21"/>
      <c r="K298" s="287"/>
    </row>
    <row r="299" spans="1:11" ht="16.5">
      <c r="A299" s="1">
        <v>766</v>
      </c>
      <c r="B299" s="2" t="s">
        <v>749</v>
      </c>
      <c r="C299" s="1">
        <v>140030040</v>
      </c>
      <c r="D299" s="1">
        <v>900</v>
      </c>
      <c r="E299" s="12">
        <f>_xlfn.XLOOKUP(packes[[#This Row],[productId]],bom[Id],bom[wgt])</f>
        <v>1.1092487279257708</v>
      </c>
      <c r="F299" s="12">
        <f>packes[[#This Row],[num]]*packes[[#This Row],[wtg]]</f>
        <v>998.32385513319366</v>
      </c>
      <c r="G299" s="324">
        <v>4</v>
      </c>
      <c r="H299" s="21">
        <f>packes[[#This Row],[num]]-SUM(packes[[#This Row],[num2]])</f>
        <v>900</v>
      </c>
      <c r="I299" s="324"/>
      <c r="J299" s="21"/>
      <c r="K299" s="287"/>
    </row>
    <row r="300" spans="1:11" ht="16.5">
      <c r="A300" s="1">
        <v>767</v>
      </c>
      <c r="B300" s="2" t="s">
        <v>749</v>
      </c>
      <c r="C300" s="1">
        <v>140310071</v>
      </c>
      <c r="D300" s="1">
        <v>1150</v>
      </c>
      <c r="E300" s="12">
        <f>_xlfn.XLOOKUP(packes[[#This Row],[productId]],bom[Id],bom[wgt])</f>
        <v>1.3</v>
      </c>
      <c r="F300" s="12">
        <f>packes[[#This Row],[num]]*packes[[#This Row],[wtg]]</f>
        <v>1495</v>
      </c>
      <c r="G300" s="324">
        <v>3</v>
      </c>
      <c r="H300" s="21">
        <f>packes[[#This Row],[num]]-SUM(packes[[#This Row],[num2]])</f>
        <v>1150</v>
      </c>
      <c r="I300" s="324"/>
      <c r="J300" s="21"/>
      <c r="K300" s="287"/>
    </row>
    <row r="301" spans="1:11" ht="16.5">
      <c r="A301" s="1">
        <v>768</v>
      </c>
      <c r="B301" s="2" t="s">
        <v>749</v>
      </c>
      <c r="C301" s="1">
        <v>140310083</v>
      </c>
      <c r="D301" s="1">
        <v>200</v>
      </c>
      <c r="E301" s="12">
        <f>_xlfn.XLOOKUP(packes[[#This Row],[productId]],bom[Id],bom[wgt])</f>
        <v>1.3369250723336326</v>
      </c>
      <c r="F301" s="12">
        <f>packes[[#This Row],[num]]*packes[[#This Row],[wtg]]</f>
        <v>267.38501446672649</v>
      </c>
      <c r="G301" s="324">
        <v>3</v>
      </c>
      <c r="H301" s="21">
        <f>packes[[#This Row],[num]]-SUM(packes[[#This Row],[num2]])</f>
        <v>200</v>
      </c>
      <c r="I301" s="324"/>
      <c r="J301" s="21"/>
      <c r="K301" s="287"/>
    </row>
    <row r="302" spans="1:11" ht="16.5">
      <c r="A302" s="1">
        <v>769</v>
      </c>
      <c r="B302" s="2" t="s">
        <v>749</v>
      </c>
      <c r="C302" s="1">
        <v>140450047</v>
      </c>
      <c r="D302" s="1">
        <v>500</v>
      </c>
      <c r="E302" s="12">
        <f>_xlfn.XLOOKUP(packes[[#This Row],[productId]],bom[Id],bom[wgt])</f>
        <v>0</v>
      </c>
      <c r="F302" s="12">
        <f>packes[[#This Row],[num]]*packes[[#This Row],[wtg]]</f>
        <v>0</v>
      </c>
      <c r="G302" s="324">
        <v>4</v>
      </c>
      <c r="H302" s="21">
        <f>packes[[#This Row],[num]]-SUM(packes[[#This Row],[num2]])</f>
        <v>500</v>
      </c>
      <c r="I302" s="324"/>
      <c r="J302" s="21"/>
      <c r="K302" s="287"/>
    </row>
    <row r="303" spans="1:11" ht="16.5">
      <c r="A303" s="1">
        <v>770</v>
      </c>
      <c r="B303" s="2" t="s">
        <v>749</v>
      </c>
      <c r="C303" s="1">
        <v>140550019</v>
      </c>
      <c r="D303" s="1">
        <v>600</v>
      </c>
      <c r="E303" s="12">
        <f>_xlfn.XLOOKUP(packes[[#This Row],[productId]],bom[Id],bom[wgt])</f>
        <v>2.6938042502244834</v>
      </c>
      <c r="F303" s="12">
        <f>packes[[#This Row],[num]]*packes[[#This Row],[wtg]]</f>
        <v>1616.2825501346902</v>
      </c>
      <c r="G303" s="324">
        <v>10</v>
      </c>
      <c r="H303" s="21">
        <f>packes[[#This Row],[num]]-SUM(packes[[#This Row],[num2]])</f>
        <v>600</v>
      </c>
      <c r="I303" s="324"/>
      <c r="J303" s="21"/>
      <c r="K303" s="287"/>
    </row>
    <row r="304" spans="1:11" ht="16.5">
      <c r="A304" s="1">
        <v>771</v>
      </c>
      <c r="B304" s="2" t="s">
        <v>749</v>
      </c>
      <c r="C304" s="1">
        <v>141320055</v>
      </c>
      <c r="D304" s="1">
        <v>1100</v>
      </c>
      <c r="E304" s="12">
        <f>_xlfn.XLOOKUP(packes[[#This Row],[productId]],bom[Id],bom[wgt])</f>
        <v>1.1274069639828395</v>
      </c>
      <c r="F304" s="12">
        <f>packes[[#This Row],[num]]*packes[[#This Row],[wtg]]</f>
        <v>1240.1476603811234</v>
      </c>
      <c r="G304" s="324">
        <v>3</v>
      </c>
      <c r="H304" s="21">
        <f>packes[[#This Row],[num]]-SUM(packes[[#This Row],[num2]])</f>
        <v>1100</v>
      </c>
      <c r="I304" s="324"/>
      <c r="J304" s="21"/>
      <c r="K304" s="287"/>
    </row>
    <row r="305" spans="1:11" ht="16.5">
      <c r="A305" s="1">
        <v>772</v>
      </c>
      <c r="B305" s="2" t="s">
        <v>754</v>
      </c>
      <c r="C305" s="1">
        <v>140030039</v>
      </c>
      <c r="D305" s="1">
        <v>600</v>
      </c>
      <c r="E305" s="12">
        <f>_xlfn.XLOOKUP(packes[[#This Row],[productId]],bom[Id],bom[wgt])</f>
        <v>1.1413748378728923</v>
      </c>
      <c r="F305" s="12">
        <f>packes[[#This Row],[num]]*packes[[#This Row],[wtg]]</f>
        <v>684.82490272373536</v>
      </c>
      <c r="G305" s="324">
        <v>4</v>
      </c>
      <c r="H305" s="21">
        <f>packes[[#This Row],[num]]-SUM(packes[[#This Row],[num2]])</f>
        <v>600</v>
      </c>
      <c r="I305" s="324"/>
      <c r="J305" s="21"/>
      <c r="K305" s="287"/>
    </row>
    <row r="306" spans="1:11" ht="16.5">
      <c r="A306" s="1">
        <v>773</v>
      </c>
      <c r="B306" s="2" t="s">
        <v>754</v>
      </c>
      <c r="C306" s="1">
        <v>140030040</v>
      </c>
      <c r="D306" s="1">
        <v>600</v>
      </c>
      <c r="E306" s="12">
        <f>_xlfn.XLOOKUP(packes[[#This Row],[productId]],bom[Id],bom[wgt])</f>
        <v>1.1092487279257708</v>
      </c>
      <c r="F306" s="12">
        <f>packes[[#This Row],[num]]*packes[[#This Row],[wtg]]</f>
        <v>665.54923675546252</v>
      </c>
      <c r="G306" s="324">
        <v>4</v>
      </c>
      <c r="H306" s="21">
        <f>packes[[#This Row],[num]]-SUM(packes[[#This Row],[num2]])</f>
        <v>600</v>
      </c>
      <c r="I306" s="324"/>
      <c r="J306" s="21"/>
      <c r="K306" s="287"/>
    </row>
    <row r="307" spans="1:11" ht="16.5">
      <c r="A307" s="1">
        <v>774</v>
      </c>
      <c r="B307" s="2" t="s">
        <v>754</v>
      </c>
      <c r="C307" s="1">
        <v>140310071</v>
      </c>
      <c r="D307" s="1">
        <v>1500</v>
      </c>
      <c r="E307" s="12">
        <f>_xlfn.XLOOKUP(packes[[#This Row],[productId]],bom[Id],bom[wgt])</f>
        <v>1.3</v>
      </c>
      <c r="F307" s="12">
        <f>packes[[#This Row],[num]]*packes[[#This Row],[wtg]]</f>
        <v>1950</v>
      </c>
      <c r="G307" s="324">
        <v>3</v>
      </c>
      <c r="H307" s="21">
        <f>packes[[#This Row],[num]]-SUM(packes[[#This Row],[num2]])</f>
        <v>1500</v>
      </c>
      <c r="I307" s="324"/>
      <c r="J307" s="21"/>
      <c r="K307" s="287"/>
    </row>
    <row r="308" spans="1:11" ht="16.5">
      <c r="A308" s="1">
        <v>775</v>
      </c>
      <c r="B308" s="2" t="s">
        <v>754</v>
      </c>
      <c r="C308" s="1">
        <v>141320055</v>
      </c>
      <c r="D308" s="1">
        <v>1000</v>
      </c>
      <c r="E308" s="12">
        <f>_xlfn.XLOOKUP(packes[[#This Row],[productId]],bom[Id],bom[wgt])</f>
        <v>1.1274069639828395</v>
      </c>
      <c r="F308" s="12">
        <f>packes[[#This Row],[num]]*packes[[#This Row],[wtg]]</f>
        <v>1127.4069639828394</v>
      </c>
      <c r="G308" s="324">
        <v>3</v>
      </c>
      <c r="H308" s="21">
        <f>packes[[#This Row],[num]]-SUM(packes[[#This Row],[num2]])</f>
        <v>1000</v>
      </c>
      <c r="I308" s="324"/>
      <c r="J308" s="21"/>
      <c r="K308" s="287"/>
    </row>
    <row r="309" spans="1:11" ht="16.5">
      <c r="A309" s="1">
        <v>776</v>
      </c>
      <c r="B309" s="2" t="s">
        <v>755</v>
      </c>
      <c r="C309" s="1">
        <v>140030039</v>
      </c>
      <c r="D309" s="1">
        <v>600</v>
      </c>
      <c r="E309" s="12">
        <f>_xlfn.XLOOKUP(packes[[#This Row],[productId]],bom[Id],bom[wgt])</f>
        <v>1.1413748378728923</v>
      </c>
      <c r="F309" s="12">
        <f>packes[[#This Row],[num]]*packes[[#This Row],[wtg]]</f>
        <v>684.82490272373536</v>
      </c>
      <c r="G309" s="324">
        <v>4</v>
      </c>
      <c r="H309" s="21">
        <f>packes[[#This Row],[num]]-SUM(packes[[#This Row],[num2]])</f>
        <v>600</v>
      </c>
      <c r="I309" s="324"/>
      <c r="J309" s="21"/>
      <c r="K309" s="287"/>
    </row>
    <row r="310" spans="1:11" ht="16.5">
      <c r="A310" s="1">
        <v>777</v>
      </c>
      <c r="B310" s="2" t="s">
        <v>755</v>
      </c>
      <c r="C310" s="1">
        <v>140030040</v>
      </c>
      <c r="D310" s="1">
        <v>700</v>
      </c>
      <c r="E310" s="12">
        <f>_xlfn.XLOOKUP(packes[[#This Row],[productId]],bom[Id],bom[wgt])</f>
        <v>1.1092487279257708</v>
      </c>
      <c r="F310" s="12">
        <f>packes[[#This Row],[num]]*packes[[#This Row],[wtg]]</f>
        <v>776.47410954803956</v>
      </c>
      <c r="G310" s="324">
        <v>4</v>
      </c>
      <c r="H310" s="21">
        <f>packes[[#This Row],[num]]-SUM(packes[[#This Row],[num2]])</f>
        <v>700</v>
      </c>
      <c r="I310" s="324"/>
      <c r="J310" s="21"/>
      <c r="K310" s="287"/>
    </row>
    <row r="311" spans="1:11" ht="16.5">
      <c r="A311" s="1">
        <v>778</v>
      </c>
      <c r="B311" s="2" t="s">
        <v>755</v>
      </c>
      <c r="C311" s="1">
        <v>140310071</v>
      </c>
      <c r="D311" s="1">
        <v>1200</v>
      </c>
      <c r="E311" s="12">
        <f>_xlfn.XLOOKUP(packes[[#This Row],[productId]],bom[Id],bom[wgt])</f>
        <v>1.3</v>
      </c>
      <c r="F311" s="12">
        <f>packes[[#This Row],[num]]*packes[[#This Row],[wtg]]</f>
        <v>1560</v>
      </c>
      <c r="G311" s="324">
        <v>3</v>
      </c>
      <c r="H311" s="21">
        <f>packes[[#This Row],[num]]-SUM(packes[[#This Row],[num2]])</f>
        <v>1200</v>
      </c>
      <c r="I311" s="324"/>
      <c r="J311" s="21"/>
      <c r="K311" s="287"/>
    </row>
    <row r="312" spans="1:11" ht="16.5">
      <c r="A312" s="1">
        <v>779</v>
      </c>
      <c r="B312" s="2" t="s">
        <v>755</v>
      </c>
      <c r="C312" s="1">
        <v>140310083</v>
      </c>
      <c r="D312" s="1">
        <v>400</v>
      </c>
      <c r="E312" s="12">
        <f>_xlfn.XLOOKUP(packes[[#This Row],[productId]],bom[Id],bom[wgt])</f>
        <v>1.3369250723336326</v>
      </c>
      <c r="F312" s="12">
        <f>packes[[#This Row],[num]]*packes[[#This Row],[wtg]]</f>
        <v>534.77002893345298</v>
      </c>
      <c r="G312" s="324">
        <v>3</v>
      </c>
      <c r="H312" s="21">
        <f>packes[[#This Row],[num]]-SUM(packes[[#This Row],[num2]])</f>
        <v>400</v>
      </c>
      <c r="I312" s="324"/>
      <c r="J312" s="21"/>
      <c r="K312" s="287"/>
    </row>
    <row r="313" spans="1:11" ht="16.5">
      <c r="A313" s="1">
        <v>780</v>
      </c>
      <c r="B313" s="2" t="s">
        <v>755</v>
      </c>
      <c r="C313" s="1">
        <v>140550019</v>
      </c>
      <c r="D313" s="1">
        <v>800</v>
      </c>
      <c r="E313" s="12">
        <f>_xlfn.XLOOKUP(packes[[#This Row],[productId]],bom[Id],bom[wgt])</f>
        <v>2.6938042502244834</v>
      </c>
      <c r="F313" s="12">
        <f>packes[[#This Row],[num]]*packes[[#This Row],[wtg]]</f>
        <v>2155.0434001795866</v>
      </c>
      <c r="G313" s="324">
        <v>10</v>
      </c>
      <c r="H313" s="21">
        <f>packes[[#This Row],[num]]-SUM(packes[[#This Row],[num2]])</f>
        <v>800</v>
      </c>
      <c r="I313" s="324"/>
      <c r="J313" s="21"/>
      <c r="K313" s="287"/>
    </row>
    <row r="314" spans="1:11" ht="16.5">
      <c r="A314" s="1">
        <v>781</v>
      </c>
      <c r="B314" s="2" t="s">
        <v>755</v>
      </c>
      <c r="C314" s="1">
        <v>141320055</v>
      </c>
      <c r="D314" s="1">
        <v>1000</v>
      </c>
      <c r="E314" s="12">
        <f>_xlfn.XLOOKUP(packes[[#This Row],[productId]],bom[Id],bom[wgt])</f>
        <v>1.1274069639828395</v>
      </c>
      <c r="F314" s="12">
        <f>packes[[#This Row],[num]]*packes[[#This Row],[wtg]]</f>
        <v>1127.4069639828394</v>
      </c>
      <c r="G314" s="324">
        <v>3</v>
      </c>
      <c r="H314" s="21">
        <f>packes[[#This Row],[num]]-SUM(packes[[#This Row],[num2]])</f>
        <v>1000</v>
      </c>
      <c r="I314" s="324"/>
      <c r="J314" s="21"/>
      <c r="K314" s="287"/>
    </row>
    <row r="315" spans="1:11" ht="16.5">
      <c r="A315" s="1">
        <v>782</v>
      </c>
      <c r="B315" s="2" t="s">
        <v>756</v>
      </c>
      <c r="C315" s="1">
        <v>140010230</v>
      </c>
      <c r="D315" s="1">
        <v>1300</v>
      </c>
      <c r="E315" s="12">
        <f>_xlfn.XLOOKUP(packes[[#This Row],[productId]],bom[Id],bom[wgt])</f>
        <v>1.4486680634540554</v>
      </c>
      <c r="F315" s="12">
        <f>packes[[#This Row],[num]]*packes[[#This Row],[wtg]]</f>
        <v>1883.2684824902719</v>
      </c>
      <c r="G315" s="324">
        <v>4</v>
      </c>
      <c r="H315" s="21">
        <f>packes[[#This Row],[num]]-SUM(packes[[#This Row],[num2]])</f>
        <v>1300</v>
      </c>
      <c r="I315" s="324"/>
      <c r="J315" s="21"/>
      <c r="K315" s="287"/>
    </row>
    <row r="316" spans="1:11" ht="16.5">
      <c r="A316" s="1">
        <v>783</v>
      </c>
      <c r="B316" s="2" t="s">
        <v>756</v>
      </c>
      <c r="C316" s="1">
        <v>140030040</v>
      </c>
      <c r="D316" s="1">
        <v>200</v>
      </c>
      <c r="E316" s="12">
        <f>_xlfn.XLOOKUP(packes[[#This Row],[productId]],bom[Id],bom[wgt])</f>
        <v>1.1092487279257708</v>
      </c>
      <c r="F316" s="12">
        <f>packes[[#This Row],[num]]*packes[[#This Row],[wtg]]</f>
        <v>221.84974558515415</v>
      </c>
      <c r="G316" s="324">
        <v>4</v>
      </c>
      <c r="H316" s="21">
        <f>packes[[#This Row],[num]]-SUM(packes[[#This Row],[num2]])</f>
        <v>200</v>
      </c>
      <c r="I316" s="324"/>
      <c r="J316" s="21"/>
      <c r="K316" s="287"/>
    </row>
    <row r="317" spans="1:11" ht="16.5">
      <c r="A317" s="1">
        <v>784</v>
      </c>
      <c r="B317" s="2" t="s">
        <v>756</v>
      </c>
      <c r="C317" s="1">
        <v>140310007</v>
      </c>
      <c r="D317" s="1">
        <v>1000</v>
      </c>
      <c r="E317" s="12">
        <f>_xlfn.XLOOKUP(packes[[#This Row],[productId]],bom[Id],bom[wgt])</f>
        <v>1.1413748378728923</v>
      </c>
      <c r="F317" s="12">
        <f>packes[[#This Row],[num]]*packes[[#This Row],[wtg]]</f>
        <v>1141.3748378728924</v>
      </c>
      <c r="G317" s="324">
        <v>4</v>
      </c>
      <c r="H317" s="21">
        <f>packes[[#This Row],[num]]-SUM(packes[[#This Row],[num2]])</f>
        <v>900</v>
      </c>
      <c r="I317" s="324">
        <v>3</v>
      </c>
      <c r="J317" s="21">
        <v>100</v>
      </c>
      <c r="K317" s="287"/>
    </row>
    <row r="318" spans="1:11" ht="16.5">
      <c r="A318" s="1">
        <v>785</v>
      </c>
      <c r="B318" s="2" t="s">
        <v>756</v>
      </c>
      <c r="C318" s="1">
        <v>140310071</v>
      </c>
      <c r="D318" s="1">
        <v>1800</v>
      </c>
      <c r="E318" s="12">
        <f>_xlfn.XLOOKUP(packes[[#This Row],[productId]],bom[Id],bom[wgt])</f>
        <v>1.3</v>
      </c>
      <c r="F318" s="12">
        <f>packes[[#This Row],[num]]*packes[[#This Row],[wtg]]</f>
        <v>2340</v>
      </c>
      <c r="G318" s="324">
        <v>3</v>
      </c>
      <c r="H318" s="21">
        <f>packes[[#This Row],[num]]-SUM(packes[[#This Row],[num2]])</f>
        <v>1800</v>
      </c>
      <c r="I318" s="324"/>
      <c r="J318" s="21"/>
      <c r="K318" s="287"/>
    </row>
    <row r="319" spans="1:11" ht="16.5">
      <c r="A319" s="1">
        <v>786</v>
      </c>
      <c r="B319" s="2" t="s">
        <v>756</v>
      </c>
      <c r="C319" s="1">
        <v>141320055</v>
      </c>
      <c r="D319" s="1">
        <v>200</v>
      </c>
      <c r="E319" s="12">
        <f>_xlfn.XLOOKUP(packes[[#This Row],[productId]],bom[Id],bom[wgt])</f>
        <v>1.1274069639828395</v>
      </c>
      <c r="F319" s="12">
        <f>packes[[#This Row],[num]]*packes[[#This Row],[wtg]]</f>
        <v>225.48139279656789</v>
      </c>
      <c r="G319" s="324">
        <v>3</v>
      </c>
      <c r="H319" s="21">
        <f>packes[[#This Row],[num]]-SUM(packes[[#This Row],[num2]])</f>
        <v>200</v>
      </c>
      <c r="I319" s="324"/>
      <c r="J319" s="21"/>
      <c r="K319" s="287"/>
    </row>
    <row r="320" spans="1:11" ht="16.5">
      <c r="A320" s="1">
        <v>787</v>
      </c>
      <c r="B320" s="2" t="s">
        <v>759</v>
      </c>
      <c r="C320" s="1">
        <v>140010230</v>
      </c>
      <c r="D320" s="1">
        <v>500</v>
      </c>
      <c r="E320" s="12">
        <f>_xlfn.XLOOKUP(packes[[#This Row],[productId]],bom[Id],bom[wgt])</f>
        <v>1.4486680634540554</v>
      </c>
      <c r="F320" s="12">
        <f>packes[[#This Row],[num]]*packes[[#This Row],[wtg]]</f>
        <v>724.33403172702765</v>
      </c>
      <c r="G320" s="324">
        <v>4</v>
      </c>
      <c r="H320" s="21">
        <f>packes[[#This Row],[num]]-SUM(packes[[#This Row],[num2]])</f>
        <v>500</v>
      </c>
      <c r="I320" s="324"/>
      <c r="J320" s="21"/>
      <c r="K320" s="287"/>
    </row>
    <row r="321" spans="1:11" ht="16.5">
      <c r="A321" s="1">
        <v>788</v>
      </c>
      <c r="B321" s="2" t="s">
        <v>759</v>
      </c>
      <c r="C321" s="1">
        <v>140310007</v>
      </c>
      <c r="D321" s="1">
        <v>800</v>
      </c>
      <c r="E321" s="12">
        <f>_xlfn.XLOOKUP(packes[[#This Row],[productId]],bom[Id],bom[wgt])</f>
        <v>1.1413748378728923</v>
      </c>
      <c r="F321" s="12">
        <f>packes[[#This Row],[num]]*packes[[#This Row],[wtg]]</f>
        <v>913.09987029831382</v>
      </c>
      <c r="G321" s="324">
        <v>4</v>
      </c>
      <c r="H321" s="21">
        <f>packes[[#This Row],[num]]-SUM(packes[[#This Row],[num2]])</f>
        <v>800</v>
      </c>
      <c r="I321" s="324"/>
      <c r="J321" s="21"/>
      <c r="K321" s="287"/>
    </row>
    <row r="322" spans="1:11" ht="16.5">
      <c r="A322" s="1">
        <v>789</v>
      </c>
      <c r="B322" s="2" t="s">
        <v>759</v>
      </c>
      <c r="C322" s="1">
        <v>140310071</v>
      </c>
      <c r="D322" s="1">
        <v>2050</v>
      </c>
      <c r="E322" s="12">
        <f>_xlfn.XLOOKUP(packes[[#This Row],[productId]],bom[Id],bom[wgt])</f>
        <v>1.3</v>
      </c>
      <c r="F322" s="12">
        <f>packes[[#This Row],[num]]*packes[[#This Row],[wtg]]</f>
        <v>2665</v>
      </c>
      <c r="G322" s="324">
        <v>3</v>
      </c>
      <c r="H322" s="21">
        <f>packes[[#This Row],[num]]-SUM(packes[[#This Row],[num2]])</f>
        <v>2050</v>
      </c>
      <c r="I322" s="324"/>
      <c r="J322" s="21"/>
      <c r="K322" s="287"/>
    </row>
    <row r="323" spans="1:11" ht="16.5">
      <c r="A323" s="1">
        <v>790</v>
      </c>
      <c r="B323" s="2" t="s">
        <v>759</v>
      </c>
      <c r="C323" s="1">
        <v>140310083</v>
      </c>
      <c r="D323" s="1">
        <v>800</v>
      </c>
      <c r="E323" s="12">
        <f>_xlfn.XLOOKUP(packes[[#This Row],[productId]],bom[Id],bom[wgt])</f>
        <v>1.3369250723336326</v>
      </c>
      <c r="F323" s="12">
        <f>packes[[#This Row],[num]]*packes[[#This Row],[wtg]]</f>
        <v>1069.540057866906</v>
      </c>
      <c r="G323" s="324">
        <v>3</v>
      </c>
      <c r="H323" s="21">
        <f>packes[[#This Row],[num]]-SUM(packes[[#This Row],[num2]])</f>
        <v>800</v>
      </c>
      <c r="I323" s="324"/>
      <c r="J323" s="21"/>
      <c r="K323" s="287"/>
    </row>
    <row r="324" spans="1:11" ht="16.5">
      <c r="A324" s="1">
        <v>791</v>
      </c>
      <c r="B324" s="2" t="s">
        <v>759</v>
      </c>
      <c r="C324" s="1">
        <v>140550019</v>
      </c>
      <c r="D324" s="1">
        <v>600</v>
      </c>
      <c r="E324" s="12">
        <f>_xlfn.XLOOKUP(packes[[#This Row],[productId]],bom[Id],bom[wgt])</f>
        <v>2.6938042502244834</v>
      </c>
      <c r="F324" s="12">
        <f>packes[[#This Row],[num]]*packes[[#This Row],[wtg]]</f>
        <v>1616.2825501346902</v>
      </c>
      <c r="G324" s="324">
        <v>10</v>
      </c>
      <c r="H324" s="21">
        <f>packes[[#This Row],[num]]-SUM(packes[[#This Row],[num2]])</f>
        <v>600</v>
      </c>
      <c r="I324" s="324"/>
      <c r="J324" s="21"/>
      <c r="K324" s="287"/>
    </row>
    <row r="325" spans="1:11" ht="16.5">
      <c r="A325" s="1">
        <v>792</v>
      </c>
      <c r="B325" s="2" t="s">
        <v>760</v>
      </c>
      <c r="C325" s="1">
        <v>140010230</v>
      </c>
      <c r="D325" s="1">
        <v>500</v>
      </c>
      <c r="E325" s="12">
        <f>_xlfn.XLOOKUP(packes[[#This Row],[productId]],bom[Id],bom[wgt])</f>
        <v>1.4486680634540554</v>
      </c>
      <c r="F325" s="12">
        <f>packes[[#This Row],[num]]*packes[[#This Row],[wtg]]</f>
        <v>724.33403172702765</v>
      </c>
      <c r="G325" s="324">
        <v>4</v>
      </c>
      <c r="H325" s="21">
        <f>packes[[#This Row],[num]]-SUM(packes[[#This Row],[num2]])</f>
        <v>500</v>
      </c>
      <c r="I325" s="324"/>
      <c r="J325" s="21"/>
      <c r="K325" s="287"/>
    </row>
    <row r="326" spans="1:11" ht="16.5">
      <c r="A326" s="1">
        <v>793</v>
      </c>
      <c r="B326" s="2" t="s">
        <v>760</v>
      </c>
      <c r="C326" s="1">
        <v>140310007</v>
      </c>
      <c r="D326" s="1">
        <v>1000</v>
      </c>
      <c r="E326" s="12">
        <f>_xlfn.XLOOKUP(packes[[#This Row],[productId]],bom[Id],bom[wgt])</f>
        <v>1.1413748378728923</v>
      </c>
      <c r="F326" s="12">
        <f>packes[[#This Row],[num]]*packes[[#This Row],[wtg]]</f>
        <v>1141.3748378728924</v>
      </c>
      <c r="G326" s="324">
        <v>4</v>
      </c>
      <c r="H326" s="21">
        <f>packes[[#This Row],[num]]-SUM(packes[[#This Row],[num2]])</f>
        <v>1000</v>
      </c>
      <c r="I326" s="324"/>
      <c r="J326" s="21"/>
      <c r="K326" s="287"/>
    </row>
    <row r="327" spans="1:11" ht="16.5">
      <c r="A327" s="1">
        <v>794</v>
      </c>
      <c r="B327" s="2" t="s">
        <v>760</v>
      </c>
      <c r="C327" s="1">
        <v>140310083</v>
      </c>
      <c r="D327" s="1">
        <v>800</v>
      </c>
      <c r="E327" s="12">
        <f>_xlfn.XLOOKUP(packes[[#This Row],[productId]],bom[Id],bom[wgt])</f>
        <v>1.3369250723336326</v>
      </c>
      <c r="F327" s="12">
        <f>packes[[#This Row],[num]]*packes[[#This Row],[wtg]]</f>
        <v>1069.540057866906</v>
      </c>
      <c r="G327" s="324">
        <v>3</v>
      </c>
      <c r="H327" s="21">
        <f>packes[[#This Row],[num]]-SUM(packes[[#This Row],[num2]])</f>
        <v>800</v>
      </c>
      <c r="I327" s="324"/>
      <c r="J327" s="21"/>
      <c r="K327" s="287"/>
    </row>
    <row r="328" spans="1:11" ht="16.5">
      <c r="A328" s="1">
        <v>795</v>
      </c>
      <c r="B328" s="2" t="s">
        <v>760</v>
      </c>
      <c r="C328" s="1">
        <v>140450047</v>
      </c>
      <c r="D328" s="1">
        <v>40</v>
      </c>
      <c r="E328" s="12">
        <f>_xlfn.XLOOKUP(packes[[#This Row],[productId]],bom[Id],bom[wgt])</f>
        <v>0</v>
      </c>
      <c r="F328" s="12">
        <f>packes[[#This Row],[num]]*packes[[#This Row],[wtg]]</f>
        <v>0</v>
      </c>
      <c r="G328" s="324">
        <v>4</v>
      </c>
      <c r="H328" s="21">
        <f>packes[[#This Row],[num]]-SUM(packes[[#This Row],[num2]])</f>
        <v>40</v>
      </c>
      <c r="I328" s="324"/>
      <c r="J328" s="21"/>
      <c r="K328" s="287"/>
    </row>
    <row r="329" spans="1:11" ht="16.5">
      <c r="A329" s="1">
        <v>796</v>
      </c>
      <c r="B329" s="2" t="s">
        <v>760</v>
      </c>
      <c r="C329" s="1">
        <v>140550019</v>
      </c>
      <c r="D329" s="1">
        <v>800</v>
      </c>
      <c r="E329" s="12">
        <f>_xlfn.XLOOKUP(packes[[#This Row],[productId]],bom[Id],bom[wgt])</f>
        <v>2.6938042502244834</v>
      </c>
      <c r="F329" s="12">
        <f>packes[[#This Row],[num]]*packes[[#This Row],[wtg]]</f>
        <v>2155.0434001795866</v>
      </c>
      <c r="G329" s="324">
        <v>10</v>
      </c>
      <c r="H329" s="21">
        <f>packes[[#This Row],[num]]-SUM(packes[[#This Row],[num2]])</f>
        <v>800</v>
      </c>
      <c r="I329" s="324"/>
      <c r="J329" s="21"/>
      <c r="K329" s="287"/>
    </row>
    <row r="330" spans="1:11" ht="16.5">
      <c r="A330" s="1">
        <v>797</v>
      </c>
      <c r="B330" s="2" t="s">
        <v>760</v>
      </c>
      <c r="C330" s="1">
        <v>141320055</v>
      </c>
      <c r="D330" s="1">
        <v>1400</v>
      </c>
      <c r="E330" s="12">
        <f>_xlfn.XLOOKUP(packes[[#This Row],[productId]],bom[Id],bom[wgt])</f>
        <v>1.1274069639828395</v>
      </c>
      <c r="F330" s="12">
        <f>packes[[#This Row],[num]]*packes[[#This Row],[wtg]]</f>
        <v>1578.3697495759752</v>
      </c>
      <c r="G330" s="324">
        <v>3</v>
      </c>
      <c r="H330" s="21">
        <f>packes[[#This Row],[num]]-SUM(packes[[#This Row],[num2]])</f>
        <v>1400</v>
      </c>
      <c r="I330" s="324"/>
      <c r="J330" s="21"/>
      <c r="K330" s="287"/>
    </row>
    <row r="331" spans="1:11" ht="16.5">
      <c r="A331" s="1">
        <v>798</v>
      </c>
      <c r="B331" s="2" t="s">
        <v>761</v>
      </c>
      <c r="C331" s="1">
        <v>140010230</v>
      </c>
      <c r="D331" s="1">
        <v>350</v>
      </c>
      <c r="E331" s="12">
        <f>_xlfn.XLOOKUP(packes[[#This Row],[productId]],bom[Id],bom[wgt])</f>
        <v>1.4486680634540554</v>
      </c>
      <c r="F331" s="12">
        <f>packes[[#This Row],[num]]*packes[[#This Row],[wtg]]</f>
        <v>507.03382220891939</v>
      </c>
      <c r="G331" s="324">
        <v>4</v>
      </c>
      <c r="H331" s="21">
        <f>packes[[#This Row],[num]]-SUM(packes[[#This Row],[num2]])</f>
        <v>350</v>
      </c>
      <c r="I331" s="324"/>
      <c r="J331" s="21"/>
      <c r="K331" s="287"/>
    </row>
    <row r="332" spans="1:11" ht="16.5">
      <c r="A332" s="1">
        <v>799</v>
      </c>
      <c r="B332" s="2" t="s">
        <v>761</v>
      </c>
      <c r="C332" s="1">
        <v>140310007</v>
      </c>
      <c r="D332" s="1">
        <v>1300</v>
      </c>
      <c r="E332" s="12">
        <f>_xlfn.XLOOKUP(packes[[#This Row],[productId]],bom[Id],bom[wgt])</f>
        <v>1.1413748378728923</v>
      </c>
      <c r="F332" s="12">
        <f>packes[[#This Row],[num]]*packes[[#This Row],[wtg]]</f>
        <v>1483.78728923476</v>
      </c>
      <c r="G332" s="324">
        <v>4</v>
      </c>
      <c r="H332" s="21">
        <f>packes[[#This Row],[num]]-SUM(packes[[#This Row],[num2]])</f>
        <v>1300</v>
      </c>
      <c r="I332" s="324"/>
      <c r="J332" s="21"/>
      <c r="K332" s="287"/>
    </row>
    <row r="333" spans="1:11" ht="16.5">
      <c r="A333" s="1">
        <v>800</v>
      </c>
      <c r="B333" s="2" t="s">
        <v>761</v>
      </c>
      <c r="C333" s="1">
        <v>140550019</v>
      </c>
      <c r="D333" s="1">
        <v>600</v>
      </c>
      <c r="E333" s="12">
        <f>_xlfn.XLOOKUP(packes[[#This Row],[productId]],bom[Id],bom[wgt])</f>
        <v>2.6938042502244834</v>
      </c>
      <c r="F333" s="12">
        <f>packes[[#This Row],[num]]*packes[[#This Row],[wtg]]</f>
        <v>1616.2825501346902</v>
      </c>
      <c r="G333" s="324">
        <v>10</v>
      </c>
      <c r="H333" s="21">
        <f>packes[[#This Row],[num]]-SUM(packes[[#This Row],[num2]])</f>
        <v>600</v>
      </c>
      <c r="I333" s="324"/>
      <c r="J333" s="21"/>
      <c r="K333" s="287"/>
    </row>
    <row r="334" spans="1:11" ht="16.5">
      <c r="A334" s="1">
        <v>801</v>
      </c>
      <c r="B334" s="2" t="s">
        <v>761</v>
      </c>
      <c r="C334" s="1">
        <v>140530039</v>
      </c>
      <c r="D334" s="1">
        <v>2600</v>
      </c>
      <c r="E334" s="12">
        <f>_xlfn.XLOOKUP(packes[[#This Row],[productId]],bom[Id],bom[wgt])</f>
        <v>1.1274069639828395</v>
      </c>
      <c r="F334" s="12">
        <f>packes[[#This Row],[num]]*packes[[#This Row],[wtg]]</f>
        <v>2931.2581063553826</v>
      </c>
      <c r="G334" s="324">
        <v>3</v>
      </c>
      <c r="H334" s="21">
        <f>packes[[#This Row],[num]]-SUM(packes[[#This Row],[num2]])</f>
        <v>2600</v>
      </c>
      <c r="I334" s="324"/>
      <c r="J334" s="21"/>
      <c r="K334" s="287"/>
    </row>
    <row r="335" spans="1:11" ht="16.5">
      <c r="A335" s="1">
        <v>802</v>
      </c>
      <c r="B335" s="2" t="s">
        <v>762</v>
      </c>
      <c r="C335" s="1">
        <v>140310071</v>
      </c>
      <c r="D335" s="1">
        <v>2250</v>
      </c>
      <c r="E335" s="12">
        <f>_xlfn.XLOOKUP(packes[[#This Row],[productId]],bom[Id],bom[wgt])</f>
        <v>1.3</v>
      </c>
      <c r="F335" s="12">
        <f>packes[[#This Row],[num]]*packes[[#This Row],[wtg]]</f>
        <v>2925</v>
      </c>
      <c r="G335" s="324">
        <v>3</v>
      </c>
      <c r="H335" s="21">
        <f>packes[[#This Row],[num]]-SUM(packes[[#This Row],[num2]])</f>
        <v>2250</v>
      </c>
      <c r="I335" s="324"/>
      <c r="J335" s="21"/>
      <c r="K335" s="287"/>
    </row>
    <row r="336" spans="1:11" ht="16.5">
      <c r="A336" s="1">
        <v>803</v>
      </c>
      <c r="B336" s="2" t="s">
        <v>762</v>
      </c>
      <c r="C336" s="1">
        <v>140640007</v>
      </c>
      <c r="D336" s="1">
        <v>1800</v>
      </c>
      <c r="E336" s="12">
        <f>_xlfn.XLOOKUP(packes[[#This Row],[productId]],bom[Id],bom[wgt])</f>
        <v>1.1413748378728923</v>
      </c>
      <c r="F336" s="12">
        <f>packes[[#This Row],[num]]*packes[[#This Row],[wtg]]</f>
        <v>2054.4747081712062</v>
      </c>
      <c r="G336" s="324">
        <v>2</v>
      </c>
      <c r="H336" s="21">
        <f>packes[[#This Row],[num]]-SUM(packes[[#This Row],[num2]])</f>
        <v>1800</v>
      </c>
      <c r="I336" s="324"/>
      <c r="J336" s="21"/>
      <c r="K336" s="287"/>
    </row>
    <row r="337" spans="1:11" ht="16.5">
      <c r="A337" s="1">
        <v>804</v>
      </c>
      <c r="B337" s="2" t="s">
        <v>762</v>
      </c>
      <c r="C337" s="1">
        <v>140550019</v>
      </c>
      <c r="D337" s="1">
        <v>600</v>
      </c>
      <c r="E337" s="12">
        <f>_xlfn.XLOOKUP(packes[[#This Row],[productId]],bom[Id],bom[wgt])</f>
        <v>2.6938042502244834</v>
      </c>
      <c r="F337" s="12">
        <f>packes[[#This Row],[num]]*packes[[#This Row],[wtg]]</f>
        <v>1616.2825501346902</v>
      </c>
      <c r="G337" s="324">
        <v>10</v>
      </c>
      <c r="H337" s="21">
        <f>packes[[#This Row],[num]]-SUM(packes[[#This Row],[num2]])</f>
        <v>600</v>
      </c>
      <c r="I337" s="324"/>
      <c r="J337" s="21"/>
      <c r="K337" s="287"/>
    </row>
    <row r="338" spans="1:11" ht="16.5">
      <c r="A338" s="1">
        <v>805</v>
      </c>
      <c r="B338" s="2" t="s">
        <v>763</v>
      </c>
      <c r="C338" s="1">
        <v>140030040</v>
      </c>
      <c r="D338" s="1">
        <v>300</v>
      </c>
      <c r="E338" s="12">
        <f>_xlfn.XLOOKUP(packes[[#This Row],[productId]],bom[Id],bom[wgt])</f>
        <v>1.1092487279257708</v>
      </c>
      <c r="F338" s="12">
        <f>packes[[#This Row],[num]]*packes[[#This Row],[wtg]]</f>
        <v>332.77461837773126</v>
      </c>
      <c r="G338" s="324">
        <v>4</v>
      </c>
      <c r="H338" s="21">
        <f>packes[[#This Row],[num]]-SUM(packes[[#This Row],[num2]])</f>
        <v>300</v>
      </c>
      <c r="I338" s="324"/>
      <c r="J338" s="21"/>
      <c r="K338" s="287"/>
    </row>
    <row r="339" spans="1:11" ht="16.5">
      <c r="A339" s="1">
        <v>806</v>
      </c>
      <c r="B339" s="2" t="s">
        <v>763</v>
      </c>
      <c r="C339" s="1">
        <v>140310071</v>
      </c>
      <c r="D339" s="1">
        <v>500</v>
      </c>
      <c r="E339" s="12">
        <f>_xlfn.XLOOKUP(packes[[#This Row],[productId]],bom[Id],bom[wgt])</f>
        <v>1.3</v>
      </c>
      <c r="F339" s="12">
        <f>packes[[#This Row],[num]]*packes[[#This Row],[wtg]]</f>
        <v>650</v>
      </c>
      <c r="G339" s="324">
        <v>3</v>
      </c>
      <c r="H339" s="21">
        <f>packes[[#This Row],[num]]-SUM(packes[[#This Row],[num2]])</f>
        <v>500</v>
      </c>
      <c r="I339" s="324"/>
      <c r="J339" s="21"/>
      <c r="K339" s="287"/>
    </row>
    <row r="340" spans="1:11" ht="16.5">
      <c r="A340" s="1">
        <v>807</v>
      </c>
      <c r="B340" s="2" t="s">
        <v>763</v>
      </c>
      <c r="C340" s="1">
        <v>140310083</v>
      </c>
      <c r="D340" s="1">
        <v>1100</v>
      </c>
      <c r="E340" s="12">
        <f>_xlfn.XLOOKUP(packes[[#This Row],[productId]],bom[Id],bom[wgt])</f>
        <v>1.3369250723336326</v>
      </c>
      <c r="F340" s="12">
        <f>packes[[#This Row],[num]]*packes[[#This Row],[wtg]]</f>
        <v>1470.6175795669958</v>
      </c>
      <c r="G340" s="324">
        <v>3</v>
      </c>
      <c r="H340" s="21">
        <f>packes[[#This Row],[num]]-SUM(packes[[#This Row],[num2]])</f>
        <v>1100</v>
      </c>
      <c r="I340" s="324"/>
      <c r="J340" s="21"/>
      <c r="K340" s="287"/>
    </row>
    <row r="341" spans="1:11" ht="16.5">
      <c r="A341" s="1">
        <v>808</v>
      </c>
      <c r="B341" s="2" t="s">
        <v>763</v>
      </c>
      <c r="C341" s="1">
        <v>140640007</v>
      </c>
      <c r="D341" s="1">
        <v>1200</v>
      </c>
      <c r="E341" s="12">
        <f>_xlfn.XLOOKUP(packes[[#This Row],[productId]],bom[Id],bom[wgt])</f>
        <v>1.1413748378728923</v>
      </c>
      <c r="F341" s="12">
        <f>packes[[#This Row],[num]]*packes[[#This Row],[wtg]]</f>
        <v>1369.6498054474707</v>
      </c>
      <c r="G341" s="324">
        <v>2</v>
      </c>
      <c r="H341" s="21">
        <f>packes[[#This Row],[num]]-SUM(packes[[#This Row],[num2]])</f>
        <v>1200</v>
      </c>
      <c r="I341" s="324"/>
      <c r="J341" s="21"/>
      <c r="K341" s="287"/>
    </row>
    <row r="342" spans="1:11" ht="16.5">
      <c r="A342" s="1">
        <v>809</v>
      </c>
      <c r="B342" s="2" t="s">
        <v>763</v>
      </c>
      <c r="C342" s="1">
        <v>140550019</v>
      </c>
      <c r="D342" s="1">
        <v>500</v>
      </c>
      <c r="E342" s="12">
        <f>_xlfn.XLOOKUP(packes[[#This Row],[productId]],bom[Id],bom[wgt])</f>
        <v>2.6938042502244834</v>
      </c>
      <c r="F342" s="12">
        <f>packes[[#This Row],[num]]*packes[[#This Row],[wtg]]</f>
        <v>1346.9021251122417</v>
      </c>
      <c r="G342" s="324">
        <v>10</v>
      </c>
      <c r="H342" s="21">
        <f>packes[[#This Row],[num]]-SUM(packes[[#This Row],[num2]])</f>
        <v>500</v>
      </c>
      <c r="I342" s="324"/>
      <c r="J342" s="21"/>
      <c r="K342" s="287"/>
    </row>
    <row r="343" spans="1:11" ht="16.5">
      <c r="A343" s="1">
        <v>810</v>
      </c>
      <c r="B343" s="2" t="s">
        <v>763</v>
      </c>
      <c r="C343" s="1">
        <v>141320055</v>
      </c>
      <c r="D343" s="1">
        <v>1500</v>
      </c>
      <c r="E343" s="12">
        <f>_xlfn.XLOOKUP(packes[[#This Row],[productId]],bom[Id],bom[wgt])</f>
        <v>1.1274069639828395</v>
      </c>
      <c r="F343" s="12">
        <f>packes[[#This Row],[num]]*packes[[#This Row],[wtg]]</f>
        <v>1691.1104459742592</v>
      </c>
      <c r="G343" s="324">
        <v>3</v>
      </c>
      <c r="H343" s="21">
        <f>packes[[#This Row],[num]]-SUM(packes[[#This Row],[num2]])</f>
        <v>1500</v>
      </c>
      <c r="I343" s="324"/>
      <c r="J343" s="21"/>
      <c r="K343" s="287"/>
    </row>
    <row r="344" spans="1:11" ht="16.5">
      <c r="A344" s="1">
        <v>811</v>
      </c>
      <c r="B344" s="2" t="s">
        <v>766</v>
      </c>
      <c r="C344" s="1">
        <v>140010230</v>
      </c>
      <c r="D344" s="1">
        <v>360</v>
      </c>
      <c r="E344" s="12">
        <f>_xlfn.XLOOKUP(packes[[#This Row],[productId]],bom[Id],bom[wgt])</f>
        <v>1.4486680634540554</v>
      </c>
      <c r="F344" s="12">
        <f>packes[[#This Row],[num]]*packes[[#This Row],[wtg]]</f>
        <v>521.52050284345989</v>
      </c>
      <c r="G344" s="324">
        <v>4</v>
      </c>
      <c r="H344" s="21">
        <f>packes[[#This Row],[num]]-SUM(packes[[#This Row],[num2]])</f>
        <v>360</v>
      </c>
      <c r="I344" s="324"/>
      <c r="J344" s="21"/>
      <c r="K344" s="287"/>
    </row>
    <row r="345" spans="1:11" ht="16.5">
      <c r="A345" s="1">
        <v>812</v>
      </c>
      <c r="B345" s="2" t="s">
        <v>766</v>
      </c>
      <c r="C345" s="1">
        <v>140310071</v>
      </c>
      <c r="D345" s="1">
        <v>1200</v>
      </c>
      <c r="E345" s="12">
        <f>_xlfn.XLOOKUP(packes[[#This Row],[productId]],bom[Id],bom[wgt])</f>
        <v>1.3</v>
      </c>
      <c r="F345" s="12">
        <f>packes[[#This Row],[num]]*packes[[#This Row],[wtg]]</f>
        <v>1560</v>
      </c>
      <c r="G345" s="324">
        <v>3</v>
      </c>
      <c r="H345" s="21">
        <f>packes[[#This Row],[num]]-SUM(packes[[#This Row],[num2]])</f>
        <v>1200</v>
      </c>
      <c r="I345" s="324"/>
      <c r="J345" s="21"/>
      <c r="K345" s="287"/>
    </row>
    <row r="346" spans="1:11" ht="16.5">
      <c r="A346" s="1">
        <v>813</v>
      </c>
      <c r="B346" s="2" t="s">
        <v>766</v>
      </c>
      <c r="C346" s="1">
        <v>140450047</v>
      </c>
      <c r="D346" s="1">
        <v>100</v>
      </c>
      <c r="E346" s="12">
        <f>_xlfn.XLOOKUP(packes[[#This Row],[productId]],bom[Id],bom[wgt])</f>
        <v>0</v>
      </c>
      <c r="F346" s="12">
        <f>packes[[#This Row],[num]]*packes[[#This Row],[wtg]]</f>
        <v>0</v>
      </c>
      <c r="G346" s="324">
        <v>4</v>
      </c>
      <c r="H346" s="21">
        <f>packes[[#This Row],[num]]-SUM(packes[[#This Row],[num2]])</f>
        <v>100</v>
      </c>
      <c r="I346" s="324"/>
      <c r="J346" s="21"/>
      <c r="K346" s="287"/>
    </row>
    <row r="347" spans="1:11" ht="16.5">
      <c r="A347" s="1">
        <v>814</v>
      </c>
      <c r="B347" s="2" t="s">
        <v>766</v>
      </c>
      <c r="C347" s="1">
        <v>140550019</v>
      </c>
      <c r="D347" s="1">
        <v>950</v>
      </c>
      <c r="E347" s="12">
        <f>_xlfn.XLOOKUP(packes[[#This Row],[productId]],bom[Id],bom[wgt])</f>
        <v>2.6938042502244834</v>
      </c>
      <c r="F347" s="12">
        <f>packes[[#This Row],[num]]*packes[[#This Row],[wtg]]</f>
        <v>2559.1140377132592</v>
      </c>
      <c r="G347" s="324">
        <v>10</v>
      </c>
      <c r="H347" s="21">
        <f>packes[[#This Row],[num]]-SUM(packes[[#This Row],[num2]])</f>
        <v>950</v>
      </c>
      <c r="I347" s="324"/>
      <c r="J347" s="21"/>
      <c r="K347" s="287"/>
    </row>
    <row r="348" spans="1:11" ht="16.5">
      <c r="A348" s="1">
        <v>815</v>
      </c>
      <c r="B348" s="2" t="s">
        <v>766</v>
      </c>
      <c r="C348" s="1">
        <v>140530039</v>
      </c>
      <c r="D348" s="1">
        <v>2300</v>
      </c>
      <c r="E348" s="12">
        <f>_xlfn.XLOOKUP(packes[[#This Row],[productId]],bom[Id],bom[wgt])</f>
        <v>1.1274069639828395</v>
      </c>
      <c r="F348" s="12">
        <f>packes[[#This Row],[num]]*packes[[#This Row],[wtg]]</f>
        <v>2593.0360171605307</v>
      </c>
      <c r="G348" s="324">
        <v>3</v>
      </c>
      <c r="H348" s="21">
        <f>packes[[#This Row],[num]]-SUM(packes[[#This Row],[num2]])</f>
        <v>2300</v>
      </c>
      <c r="I348" s="324"/>
      <c r="J348" s="21"/>
      <c r="K348" s="287"/>
    </row>
    <row r="349" spans="1:11" ht="16.5">
      <c r="A349" s="1">
        <v>816</v>
      </c>
      <c r="B349" s="2" t="s">
        <v>767</v>
      </c>
      <c r="C349" s="1">
        <v>140310007</v>
      </c>
      <c r="D349" s="1">
        <v>4200</v>
      </c>
      <c r="E349" s="12">
        <f>_xlfn.XLOOKUP(packes[[#This Row],[productId]],bom[Id],bom[wgt])</f>
        <v>1.1413748378728923</v>
      </c>
      <c r="F349" s="12">
        <f>packes[[#This Row],[num]]*packes[[#This Row],[wtg]]</f>
        <v>4793.7743190661477</v>
      </c>
      <c r="G349" s="324">
        <v>4</v>
      </c>
      <c r="H349" s="21">
        <f>packes[[#This Row],[num]]-SUM(packes[[#This Row],[num2]])</f>
        <v>4200</v>
      </c>
      <c r="I349" s="324"/>
      <c r="J349" s="21"/>
      <c r="K349" s="287"/>
    </row>
    <row r="350" spans="1:11" ht="16.5">
      <c r="A350" s="1">
        <v>817</v>
      </c>
      <c r="B350" s="2" t="s">
        <v>767</v>
      </c>
      <c r="C350" s="1">
        <v>140310031</v>
      </c>
      <c r="D350" s="1">
        <v>900</v>
      </c>
      <c r="E350" s="12">
        <f>_xlfn.XLOOKUP(packes[[#This Row],[productId]],bom[Id],bom[wgt])</f>
        <v>1.9455252918287937</v>
      </c>
      <c r="F350" s="12">
        <f>packes[[#This Row],[num]]*packes[[#This Row],[wtg]]</f>
        <v>1750.9727626459144</v>
      </c>
      <c r="G350" s="324">
        <v>4</v>
      </c>
      <c r="H350" s="21">
        <f>packes[[#This Row],[num]]-SUM(packes[[#This Row],[num2]])</f>
        <v>900</v>
      </c>
      <c r="I350" s="324"/>
      <c r="J350" s="21"/>
      <c r="K350" s="287"/>
    </row>
    <row r="351" spans="1:11" ht="16.5">
      <c r="A351" s="1">
        <v>818</v>
      </c>
      <c r="B351" s="2" t="s">
        <v>768</v>
      </c>
      <c r="C351" s="1">
        <v>140010230</v>
      </c>
      <c r="D351" s="1">
        <v>200</v>
      </c>
      <c r="E351" s="12">
        <f>_xlfn.XLOOKUP(packes[[#This Row],[productId]],bom[Id],bom[wgt])</f>
        <v>1.4486680634540554</v>
      </c>
      <c r="F351" s="12">
        <f>packes[[#This Row],[num]]*packes[[#This Row],[wtg]]</f>
        <v>289.73361269081107</v>
      </c>
      <c r="G351" s="324">
        <v>4</v>
      </c>
      <c r="H351" s="21">
        <f>packes[[#This Row],[num]]-SUM(packes[[#This Row],[num2]])</f>
        <v>200</v>
      </c>
      <c r="I351" s="324"/>
      <c r="J351" s="21"/>
      <c r="K351" s="287"/>
    </row>
    <row r="352" spans="1:11" ht="16.5">
      <c r="A352" s="1">
        <v>819</v>
      </c>
      <c r="B352" s="2" t="s">
        <v>768</v>
      </c>
      <c r="C352" s="1">
        <v>140030039</v>
      </c>
      <c r="D352" s="1">
        <v>300</v>
      </c>
      <c r="E352" s="12">
        <f>_xlfn.XLOOKUP(packes[[#This Row],[productId]],bom[Id],bom[wgt])</f>
        <v>1.1413748378728923</v>
      </c>
      <c r="F352" s="12">
        <f>packes[[#This Row],[num]]*packes[[#This Row],[wtg]]</f>
        <v>342.41245136186768</v>
      </c>
      <c r="G352" s="324">
        <v>4</v>
      </c>
      <c r="H352" s="21">
        <f>packes[[#This Row],[num]]-SUM(packes[[#This Row],[num2]])</f>
        <v>300</v>
      </c>
      <c r="I352" s="324"/>
      <c r="J352" s="21"/>
      <c r="K352" s="287"/>
    </row>
    <row r="353" spans="1:11" ht="16.5">
      <c r="A353" s="1">
        <v>820</v>
      </c>
      <c r="B353" s="2" t="s">
        <v>768</v>
      </c>
      <c r="C353" s="1">
        <v>140030040</v>
      </c>
      <c r="D353" s="1">
        <v>600</v>
      </c>
      <c r="E353" s="12">
        <f>_xlfn.XLOOKUP(packes[[#This Row],[productId]],bom[Id],bom[wgt])</f>
        <v>1.1092487279257708</v>
      </c>
      <c r="F353" s="12">
        <f>packes[[#This Row],[num]]*packes[[#This Row],[wtg]]</f>
        <v>665.54923675546252</v>
      </c>
      <c r="G353" s="324">
        <v>4</v>
      </c>
      <c r="H353" s="21">
        <f>packes[[#This Row],[num]]-SUM(packes[[#This Row],[num2]])</f>
        <v>600</v>
      </c>
      <c r="I353" s="324"/>
      <c r="J353" s="21"/>
      <c r="K353" s="287"/>
    </row>
    <row r="354" spans="1:11" ht="16.5">
      <c r="A354" s="1">
        <v>821</v>
      </c>
      <c r="B354" s="2" t="s">
        <v>768</v>
      </c>
      <c r="C354" s="1">
        <v>140310007</v>
      </c>
      <c r="D354" s="1">
        <v>1100</v>
      </c>
      <c r="E354" s="12">
        <f>_xlfn.XLOOKUP(packes[[#This Row],[productId]],bom[Id],bom[wgt])</f>
        <v>1.1413748378728923</v>
      </c>
      <c r="F354" s="12">
        <f>packes[[#This Row],[num]]*packes[[#This Row],[wtg]]</f>
        <v>1255.5123216601814</v>
      </c>
      <c r="G354" s="324">
        <v>4</v>
      </c>
      <c r="H354" s="21">
        <f>packes[[#This Row],[num]]-SUM(packes[[#This Row],[num2]])</f>
        <v>1100</v>
      </c>
      <c r="I354" s="324"/>
      <c r="J354" s="21"/>
      <c r="K354" s="287"/>
    </row>
    <row r="355" spans="1:11" ht="16.5">
      <c r="A355" s="1">
        <v>822</v>
      </c>
      <c r="B355" s="2" t="s">
        <v>768</v>
      </c>
      <c r="C355" s="1">
        <v>140640007</v>
      </c>
      <c r="D355" s="1">
        <v>50</v>
      </c>
      <c r="E355" s="12">
        <f>_xlfn.XLOOKUP(packes[[#This Row],[productId]],bom[Id],bom[wgt])</f>
        <v>1.1413748378728923</v>
      </c>
      <c r="F355" s="12">
        <f>packes[[#This Row],[num]]*packes[[#This Row],[wtg]]</f>
        <v>57.068741893644614</v>
      </c>
      <c r="G355" s="324">
        <v>2</v>
      </c>
      <c r="H355" s="21">
        <f>packes[[#This Row],[num]]-SUM(packes[[#This Row],[num2]])</f>
        <v>50</v>
      </c>
      <c r="I355" s="324"/>
      <c r="J355" s="21"/>
      <c r="K355" s="287"/>
    </row>
    <row r="356" spans="1:11" ht="16.5">
      <c r="A356" s="1">
        <v>823</v>
      </c>
      <c r="B356" s="2" t="s">
        <v>768</v>
      </c>
      <c r="C356" s="1">
        <v>140550019</v>
      </c>
      <c r="D356" s="1">
        <v>650</v>
      </c>
      <c r="E356" s="12">
        <f>_xlfn.XLOOKUP(packes[[#This Row],[productId]],bom[Id],bom[wgt])</f>
        <v>2.6938042502244834</v>
      </c>
      <c r="F356" s="12">
        <f>packes[[#This Row],[num]]*packes[[#This Row],[wtg]]</f>
        <v>1750.9727626459141</v>
      </c>
      <c r="G356" s="324">
        <v>10</v>
      </c>
      <c r="H356" s="21">
        <f>packes[[#This Row],[num]]-SUM(packes[[#This Row],[num2]])</f>
        <v>650</v>
      </c>
      <c r="I356" s="324"/>
      <c r="J356" s="21"/>
      <c r="K356" s="287"/>
    </row>
    <row r="357" spans="1:11" ht="16.5">
      <c r="A357" s="1">
        <v>824</v>
      </c>
      <c r="B357" s="2" t="s">
        <v>768</v>
      </c>
      <c r="C357" s="1">
        <v>141320055</v>
      </c>
      <c r="D357" s="1">
        <v>2000</v>
      </c>
      <c r="E357" s="12">
        <f>_xlfn.XLOOKUP(packes[[#This Row],[productId]],bom[Id],bom[wgt])</f>
        <v>1.1274069639828395</v>
      </c>
      <c r="F357" s="12">
        <f>packes[[#This Row],[num]]*packes[[#This Row],[wtg]]</f>
        <v>2254.8139279656789</v>
      </c>
      <c r="G357" s="324">
        <v>3</v>
      </c>
      <c r="H357" s="21">
        <f>packes[[#This Row],[num]]-SUM(packes[[#This Row],[num2]])</f>
        <v>2000</v>
      </c>
      <c r="I357" s="324"/>
      <c r="J357" s="21"/>
      <c r="K357" s="287" t="s">
        <v>1208</v>
      </c>
    </row>
    <row r="358" spans="1:11" ht="16.5">
      <c r="A358" s="1">
        <v>825</v>
      </c>
      <c r="B358" s="2" t="s">
        <v>769</v>
      </c>
      <c r="C358" s="1">
        <v>140010230</v>
      </c>
      <c r="D358" s="1">
        <v>600</v>
      </c>
      <c r="E358" s="12">
        <f>_xlfn.XLOOKUP(packes[[#This Row],[productId]],bom[Id],bom[wgt])</f>
        <v>1.4486680634540554</v>
      </c>
      <c r="F358" s="12">
        <f>packes[[#This Row],[num]]*packes[[#This Row],[wtg]]</f>
        <v>869.20083807243327</v>
      </c>
      <c r="G358" s="324">
        <v>4</v>
      </c>
      <c r="H358" s="21">
        <f>packes[[#This Row],[num]]-SUM(packes[[#This Row],[num2]])</f>
        <v>600</v>
      </c>
      <c r="I358" s="324"/>
      <c r="J358" s="21"/>
      <c r="K358" s="287" t="s">
        <v>1205</v>
      </c>
    </row>
    <row r="359" spans="1:11" ht="16.5">
      <c r="A359" s="1">
        <v>826</v>
      </c>
      <c r="B359" s="2" t="s">
        <v>769</v>
      </c>
      <c r="C359" s="1">
        <v>140030039</v>
      </c>
      <c r="D359" s="1">
        <v>400</v>
      </c>
      <c r="E359" s="12">
        <f>_xlfn.XLOOKUP(packes[[#This Row],[productId]],bom[Id],bom[wgt])</f>
        <v>1.1413748378728923</v>
      </c>
      <c r="F359" s="12">
        <f>packes[[#This Row],[num]]*packes[[#This Row],[wtg]]</f>
        <v>456.54993514915691</v>
      </c>
      <c r="G359" s="324">
        <v>4</v>
      </c>
      <c r="H359" s="21">
        <f>packes[[#This Row],[num]]-SUM(packes[[#This Row],[num2]])</f>
        <v>400</v>
      </c>
      <c r="I359" s="324"/>
      <c r="J359" s="21"/>
      <c r="K359" s="287" t="s">
        <v>1206</v>
      </c>
    </row>
    <row r="360" spans="1:11" ht="16.5">
      <c r="A360" s="1">
        <v>827</v>
      </c>
      <c r="B360" s="2" t="s">
        <v>769</v>
      </c>
      <c r="C360" s="1">
        <v>140310007</v>
      </c>
      <c r="D360" s="1">
        <v>200</v>
      </c>
      <c r="E360" s="12">
        <f>_xlfn.XLOOKUP(packes[[#This Row],[productId]],bom[Id],bom[wgt])</f>
        <v>1.1413748378728923</v>
      </c>
      <c r="F360" s="12">
        <f>packes[[#This Row],[num]]*packes[[#This Row],[wtg]]</f>
        <v>228.27496757457845</v>
      </c>
      <c r="G360" s="324">
        <v>4</v>
      </c>
      <c r="H360" s="21">
        <f>packes[[#This Row],[num]]-SUM(packes[[#This Row],[num2]])</f>
        <v>200</v>
      </c>
      <c r="I360" s="324"/>
      <c r="J360" s="21"/>
      <c r="K360" s="287" t="s">
        <v>1207</v>
      </c>
    </row>
    <row r="361" spans="1:11" ht="16.5">
      <c r="A361" s="1">
        <v>828</v>
      </c>
      <c r="B361" s="2" t="s">
        <v>769</v>
      </c>
      <c r="C361" s="1">
        <v>140310083</v>
      </c>
      <c r="D361" s="1">
        <v>500</v>
      </c>
      <c r="E361" s="12">
        <f>_xlfn.XLOOKUP(packes[[#This Row],[productId]],bom[Id],bom[wgt])</f>
        <v>1.3369250723336326</v>
      </c>
      <c r="F361" s="12">
        <f>packes[[#This Row],[num]]*packes[[#This Row],[wtg]]</f>
        <v>668.46253616681634</v>
      </c>
      <c r="G361" s="324">
        <v>3</v>
      </c>
      <c r="H361" s="21">
        <f>packes[[#This Row],[num]]-SUM(packes[[#This Row],[num2]])</f>
        <v>500</v>
      </c>
      <c r="I361" s="324"/>
      <c r="J361" s="21"/>
      <c r="K361" s="287" t="s">
        <v>1210</v>
      </c>
    </row>
    <row r="362" spans="1:11" ht="16.5">
      <c r="A362" s="1">
        <v>829</v>
      </c>
      <c r="B362" s="2" t="s">
        <v>769</v>
      </c>
      <c r="C362" s="1">
        <v>140550019</v>
      </c>
      <c r="D362" s="1">
        <v>550</v>
      </c>
      <c r="E362" s="12">
        <f>_xlfn.XLOOKUP(packes[[#This Row],[productId]],bom[Id],bom[wgt])</f>
        <v>2.6938042502244834</v>
      </c>
      <c r="F362" s="12">
        <f>packes[[#This Row],[num]]*packes[[#This Row],[wtg]]</f>
        <v>1481.5923376234659</v>
      </c>
      <c r="G362" s="324">
        <v>10</v>
      </c>
      <c r="H362" s="21">
        <f>packes[[#This Row],[num]]-SUM(packes[[#This Row],[num2]])</f>
        <v>550</v>
      </c>
      <c r="I362" s="324"/>
      <c r="J362" s="21"/>
      <c r="K362" s="287" t="s">
        <v>1211</v>
      </c>
    </row>
    <row r="363" spans="1:11" ht="16.5">
      <c r="A363" s="1">
        <v>830</v>
      </c>
      <c r="B363" s="2" t="s">
        <v>769</v>
      </c>
      <c r="C363" s="1">
        <v>141320055</v>
      </c>
      <c r="D363" s="1">
        <v>2600</v>
      </c>
      <c r="E363" s="12">
        <f>_xlfn.XLOOKUP(packes[[#This Row],[productId]],bom[Id],bom[wgt])</f>
        <v>1.1274069639828395</v>
      </c>
      <c r="F363" s="12">
        <f>packes[[#This Row],[num]]*packes[[#This Row],[wtg]]</f>
        <v>2931.2581063553826</v>
      </c>
      <c r="G363" s="324">
        <v>3</v>
      </c>
      <c r="H363" s="21">
        <f>packes[[#This Row],[num]]-SUM(packes[[#This Row],[num2]])</f>
        <v>2600</v>
      </c>
      <c r="I363" s="324"/>
      <c r="J363" s="21"/>
      <c r="K363" s="287" t="s">
        <v>1208</v>
      </c>
    </row>
    <row r="364" spans="1:11" ht="16.5">
      <c r="A364" s="1">
        <v>831</v>
      </c>
      <c r="B364" s="2" t="s">
        <v>770</v>
      </c>
      <c r="C364" s="1">
        <v>140010230</v>
      </c>
      <c r="D364" s="1">
        <v>1050</v>
      </c>
      <c r="E364" s="12">
        <f>_xlfn.XLOOKUP(packes[[#This Row],[productId]],bom[Id],bom[wgt])</f>
        <v>1.4486680634540554</v>
      </c>
      <c r="F364" s="12">
        <f>packes[[#This Row],[num]]*packes[[#This Row],[wtg]]</f>
        <v>1521.1014666267581</v>
      </c>
      <c r="G364" s="324">
        <v>4</v>
      </c>
      <c r="H364" s="21">
        <f>packes[[#This Row],[num]]-SUM(packes[[#This Row],[num2]])</f>
        <v>1050</v>
      </c>
      <c r="I364" s="324"/>
      <c r="J364" s="21"/>
      <c r="K364" s="287" t="s">
        <v>1213</v>
      </c>
    </row>
    <row r="365" spans="1:11" ht="16.5">
      <c r="A365" s="1">
        <v>832</v>
      </c>
      <c r="B365" s="2" t="s">
        <v>770</v>
      </c>
      <c r="C365" s="1">
        <v>140030039</v>
      </c>
      <c r="D365" s="1">
        <v>300</v>
      </c>
      <c r="E365" s="12">
        <f>_xlfn.XLOOKUP(packes[[#This Row],[productId]],bom[Id],bom[wgt])</f>
        <v>1.1413748378728923</v>
      </c>
      <c r="F365" s="12">
        <f>packes[[#This Row],[num]]*packes[[#This Row],[wtg]]</f>
        <v>342.41245136186768</v>
      </c>
      <c r="G365" s="324">
        <v>4</v>
      </c>
      <c r="H365" s="21">
        <f>packes[[#This Row],[num]]-SUM(packes[[#This Row],[num2]])</f>
        <v>300</v>
      </c>
      <c r="I365" s="324"/>
      <c r="J365" s="21"/>
      <c r="K365" s="287" t="s">
        <v>1214</v>
      </c>
    </row>
    <row r="366" spans="1:11" ht="16.5">
      <c r="A366" s="1">
        <v>833</v>
      </c>
      <c r="B366" s="2" t="s">
        <v>770</v>
      </c>
      <c r="C366" s="1">
        <v>140310007</v>
      </c>
      <c r="D366" s="1">
        <v>1000</v>
      </c>
      <c r="E366" s="12">
        <f>_xlfn.XLOOKUP(packes[[#This Row],[productId]],bom[Id],bom[wgt])</f>
        <v>1.1413748378728923</v>
      </c>
      <c r="F366" s="12">
        <f>packes[[#This Row],[num]]*packes[[#This Row],[wtg]]</f>
        <v>1141.3748378728924</v>
      </c>
      <c r="G366" s="324">
        <v>4</v>
      </c>
      <c r="H366" s="21">
        <f>packes[[#This Row],[num]]-SUM(packes[[#This Row],[num2]])</f>
        <v>1000</v>
      </c>
      <c r="I366" s="324"/>
      <c r="J366" s="21"/>
      <c r="K366" s="287" t="s">
        <v>1215</v>
      </c>
    </row>
    <row r="367" spans="1:11" ht="16.5">
      <c r="A367" s="1">
        <v>834</v>
      </c>
      <c r="B367" s="2" t="s">
        <v>770</v>
      </c>
      <c r="C367" s="1">
        <v>140310031</v>
      </c>
      <c r="D367" s="1">
        <v>500</v>
      </c>
      <c r="E367" s="12">
        <f>_xlfn.XLOOKUP(packes[[#This Row],[productId]],bom[Id],bom[wgt])</f>
        <v>1.9455252918287937</v>
      </c>
      <c r="F367" s="12">
        <f>packes[[#This Row],[num]]*packes[[#This Row],[wtg]]</f>
        <v>972.7626459143969</v>
      </c>
      <c r="G367" s="324">
        <v>4</v>
      </c>
      <c r="H367" s="21">
        <f>packes[[#This Row],[num]]-SUM(packes[[#This Row],[num2]])</f>
        <v>500</v>
      </c>
      <c r="I367" s="324"/>
      <c r="J367" s="21"/>
      <c r="K367" s="287"/>
    </row>
    <row r="368" spans="1:11" ht="16.5">
      <c r="A368" s="1">
        <v>835</v>
      </c>
      <c r="B368" s="2" t="s">
        <v>770</v>
      </c>
      <c r="C368" s="1">
        <v>140310083</v>
      </c>
      <c r="D368" s="1">
        <v>700</v>
      </c>
      <c r="E368" s="12">
        <f>_xlfn.XLOOKUP(packes[[#This Row],[productId]],bom[Id],bom[wgt])</f>
        <v>1.3369250723336326</v>
      </c>
      <c r="F368" s="12">
        <f>packes[[#This Row],[num]]*packes[[#This Row],[wtg]]</f>
        <v>935.84755063354282</v>
      </c>
      <c r="G368" s="324">
        <v>3</v>
      </c>
      <c r="H368" s="21">
        <f>packes[[#This Row],[num]]-SUM(packes[[#This Row],[num2]])</f>
        <v>700</v>
      </c>
      <c r="I368" s="324"/>
      <c r="J368" s="21"/>
      <c r="K368" s="287" t="s">
        <v>1217</v>
      </c>
    </row>
    <row r="369" spans="1:11" ht="16.5">
      <c r="A369" s="1">
        <v>836</v>
      </c>
      <c r="B369" s="2" t="s">
        <v>770</v>
      </c>
      <c r="C369" s="1">
        <v>141320055</v>
      </c>
      <c r="D369" s="1">
        <v>1000</v>
      </c>
      <c r="E369" s="12">
        <f>_xlfn.XLOOKUP(packes[[#This Row],[productId]],bom[Id],bom[wgt])</f>
        <v>1.1274069639828395</v>
      </c>
      <c r="F369" s="12">
        <f>packes[[#This Row],[num]]*packes[[#This Row],[wtg]]</f>
        <v>1127.4069639828394</v>
      </c>
      <c r="G369" s="324">
        <v>3</v>
      </c>
      <c r="H369" s="21">
        <f>packes[[#This Row],[num]]-SUM(packes[[#This Row],[num2]])</f>
        <v>1000</v>
      </c>
      <c r="I369" s="324"/>
      <c r="J369" s="21"/>
      <c r="K369" s="287" t="s">
        <v>1216</v>
      </c>
    </row>
    <row r="370" spans="1:11" ht="16.5">
      <c r="A370" s="1">
        <v>837</v>
      </c>
      <c r="B370" s="2" t="s">
        <v>770</v>
      </c>
      <c r="C370" s="1">
        <v>140550022</v>
      </c>
      <c r="D370" s="1">
        <v>30</v>
      </c>
      <c r="E370" s="12" t="e">
        <f>_xlfn.XLOOKUP(packes[[#This Row],[productId]],bom[Id],bom[wgt])</f>
        <v>#N/A</v>
      </c>
      <c r="F370" s="12" t="e">
        <f>packes[[#This Row],[num]]*packes[[#This Row],[wtg]]</f>
        <v>#N/A</v>
      </c>
      <c r="G370" s="324">
        <v>1000</v>
      </c>
      <c r="H370" s="21">
        <f>packes[[#This Row],[num]]-SUM(packes[[#This Row],[num2]])</f>
        <v>30</v>
      </c>
      <c r="I370" s="324"/>
      <c r="J370" s="21"/>
      <c r="K370" s="287"/>
    </row>
    <row r="371" spans="1:11" ht="16.5">
      <c r="A371" s="1">
        <v>838</v>
      </c>
      <c r="B371" s="2" t="s">
        <v>773</v>
      </c>
      <c r="C371" s="1">
        <v>140010230</v>
      </c>
      <c r="D371" s="1">
        <v>1400</v>
      </c>
      <c r="E371" s="12">
        <f>_xlfn.XLOOKUP(packes[[#This Row],[productId]],bom[Id],bom[wgt])</f>
        <v>1.4486680634540554</v>
      </c>
      <c r="F371" s="12">
        <f>packes[[#This Row],[num]]*packes[[#This Row],[wtg]]</f>
        <v>2028.1352888356776</v>
      </c>
      <c r="G371" s="324">
        <v>4</v>
      </c>
      <c r="H371" s="21">
        <f>packes[[#This Row],[num]]-SUM(packes[[#This Row],[num2]])</f>
        <v>1400</v>
      </c>
      <c r="I371" s="324"/>
      <c r="J371" s="21"/>
      <c r="K371" s="287" t="s">
        <v>1250</v>
      </c>
    </row>
    <row r="372" spans="1:11" ht="16.5">
      <c r="A372" s="1">
        <v>839</v>
      </c>
      <c r="B372" s="2" t="s">
        <v>773</v>
      </c>
      <c r="C372" s="1">
        <v>140310007</v>
      </c>
      <c r="D372" s="1">
        <v>1600</v>
      </c>
      <c r="E372" s="12">
        <f>_xlfn.XLOOKUP(packes[[#This Row],[productId]],bom[Id],bom[wgt])</f>
        <v>1.1413748378728923</v>
      </c>
      <c r="F372" s="12">
        <f>packes[[#This Row],[num]]*packes[[#This Row],[wtg]]</f>
        <v>1826.1997405966276</v>
      </c>
      <c r="G372" s="324">
        <v>4</v>
      </c>
      <c r="H372" s="21">
        <f>packes[[#This Row],[num]]-SUM(packes[[#This Row],[num2]])</f>
        <v>1600</v>
      </c>
      <c r="I372" s="324"/>
      <c r="J372" s="21"/>
      <c r="K372" s="287" t="s">
        <v>1251</v>
      </c>
    </row>
    <row r="373" spans="1:11" ht="16.5">
      <c r="A373" s="1">
        <v>840</v>
      </c>
      <c r="B373" s="2" t="s">
        <v>773</v>
      </c>
      <c r="C373" s="1">
        <v>140310031</v>
      </c>
      <c r="D373" s="1">
        <v>50</v>
      </c>
      <c r="E373" s="12">
        <f>_xlfn.XLOOKUP(packes[[#This Row],[productId]],bom[Id],bom[wgt])</f>
        <v>1.9455252918287937</v>
      </c>
      <c r="F373" s="12">
        <f>packes[[#This Row],[num]]*packes[[#This Row],[wtg]]</f>
        <v>97.276264591439684</v>
      </c>
      <c r="G373" s="324">
        <v>4</v>
      </c>
      <c r="H373" s="21">
        <f>packes[[#This Row],[num]]-SUM(packes[[#This Row],[num2]])</f>
        <v>50</v>
      </c>
      <c r="I373" s="324"/>
      <c r="J373" s="21"/>
      <c r="K373" s="287" t="s">
        <v>1252</v>
      </c>
    </row>
    <row r="374" spans="1:11" ht="16.5">
      <c r="A374" s="1">
        <v>841</v>
      </c>
      <c r="B374" s="2" t="s">
        <v>773</v>
      </c>
      <c r="C374" s="1">
        <v>140310071</v>
      </c>
      <c r="D374" s="1">
        <v>250</v>
      </c>
      <c r="E374" s="12">
        <f>_xlfn.XLOOKUP(packes[[#This Row],[productId]],bom[Id],bom[wgt])</f>
        <v>1.3</v>
      </c>
      <c r="F374" s="12">
        <f>packes[[#This Row],[num]]*packes[[#This Row],[wtg]]</f>
        <v>325</v>
      </c>
      <c r="G374" s="324">
        <v>3</v>
      </c>
      <c r="H374" s="21">
        <f>packes[[#This Row],[num]]-SUM(packes[[#This Row],[num2]])</f>
        <v>250</v>
      </c>
      <c r="I374" s="324"/>
      <c r="J374" s="21"/>
      <c r="K374" s="287" t="s">
        <v>1253</v>
      </c>
    </row>
    <row r="375" spans="1:11" ht="16.5">
      <c r="A375" s="1">
        <v>842</v>
      </c>
      <c r="B375" s="2" t="s">
        <v>773</v>
      </c>
      <c r="C375" s="1">
        <v>140310096</v>
      </c>
      <c r="D375" s="1">
        <v>57</v>
      </c>
      <c r="E375" s="12">
        <f>_xlfn.XLOOKUP(packes[[#This Row],[productId]],bom[Id],bom[wgt])</f>
        <v>1.3</v>
      </c>
      <c r="F375" s="12">
        <f>packes[[#This Row],[num]]*packes[[#This Row],[wtg]]</f>
        <v>74.100000000000009</v>
      </c>
      <c r="G375" s="324">
        <v>3</v>
      </c>
      <c r="H375" s="21">
        <f>packes[[#This Row],[num]]-SUM(packes[[#This Row],[num2]])</f>
        <v>57</v>
      </c>
      <c r="I375" s="324"/>
      <c r="J375" s="21"/>
      <c r="K375" s="287" t="s">
        <v>1254</v>
      </c>
    </row>
    <row r="376" spans="1:11" ht="16.5">
      <c r="A376" s="1">
        <v>843</v>
      </c>
      <c r="B376" s="2" t="s">
        <v>773</v>
      </c>
      <c r="C376" s="1">
        <v>140450047</v>
      </c>
      <c r="D376" s="1">
        <f>22+3</f>
        <v>25</v>
      </c>
      <c r="E376" s="12">
        <f>_xlfn.XLOOKUP(packes[[#This Row],[productId]],bom[Id],bom[wgt])</f>
        <v>0</v>
      </c>
      <c r="F376" s="12">
        <f>packes[[#This Row],[num]]*packes[[#This Row],[wtg]]</f>
        <v>0</v>
      </c>
      <c r="G376" s="324">
        <v>4</v>
      </c>
      <c r="H376" s="21">
        <f>packes[[#This Row],[num]]-SUM(packes[[#This Row],[num2]])</f>
        <v>25</v>
      </c>
      <c r="I376" s="324"/>
      <c r="J376" s="21"/>
      <c r="K376" s="287" t="s">
        <v>1255</v>
      </c>
    </row>
    <row r="377" spans="1:11" ht="16.5">
      <c r="A377" s="1">
        <v>844</v>
      </c>
      <c r="B377" s="2" t="s">
        <v>773</v>
      </c>
      <c r="C377" s="1">
        <v>141320055</v>
      </c>
      <c r="D377" s="1">
        <v>1300</v>
      </c>
      <c r="E377" s="12">
        <f>_xlfn.XLOOKUP(packes[[#This Row],[productId]],bom[Id],bom[wgt])</f>
        <v>1.1274069639828395</v>
      </c>
      <c r="F377" s="12">
        <f>packes[[#This Row],[num]]*packes[[#This Row],[wtg]]</f>
        <v>1465.6290531776913</v>
      </c>
      <c r="G377" s="324">
        <v>3</v>
      </c>
      <c r="H377" s="21">
        <f>packes[[#This Row],[num]]-SUM(packes[[#This Row],[num2]])</f>
        <v>1300</v>
      </c>
      <c r="I377" s="324"/>
      <c r="J377" s="21"/>
      <c r="K377" s="287" t="s">
        <v>1256</v>
      </c>
    </row>
    <row r="378" spans="1:11" ht="16.5">
      <c r="A378" s="1">
        <v>845</v>
      </c>
      <c r="B378" s="2" t="s">
        <v>774</v>
      </c>
      <c r="C378" s="1">
        <v>140010230</v>
      </c>
      <c r="D378" s="1">
        <v>800</v>
      </c>
      <c r="E378" s="12">
        <f>_xlfn.XLOOKUP(packes[[#This Row],[productId]],bom[Id],bom[wgt])</f>
        <v>1.4486680634540554</v>
      </c>
      <c r="F378" s="12">
        <f>packes[[#This Row],[num]]*packes[[#This Row],[wtg]]</f>
        <v>1158.9344507632443</v>
      </c>
      <c r="G378" s="324">
        <v>4</v>
      </c>
      <c r="H378" s="21">
        <f>packes[[#This Row],[num]]-SUM(packes[[#This Row],[num2]])</f>
        <v>800</v>
      </c>
      <c r="I378" s="324"/>
      <c r="J378" s="21"/>
      <c r="K378" s="287" t="s">
        <v>1260</v>
      </c>
    </row>
    <row r="379" spans="1:11" ht="16.5">
      <c r="A379" s="1">
        <v>846</v>
      </c>
      <c r="B379" s="2" t="s">
        <v>774</v>
      </c>
      <c r="C379" s="2">
        <v>140310007</v>
      </c>
      <c r="D379" s="1">
        <v>1300</v>
      </c>
      <c r="E379" s="12">
        <f>_xlfn.XLOOKUP(packes[[#This Row],[productId]],bom[Id],bom[wgt])</f>
        <v>1.1413748378728923</v>
      </c>
      <c r="F379" s="12">
        <f>packes[[#This Row],[num]]*packes[[#This Row],[wtg]]</f>
        <v>1483.78728923476</v>
      </c>
      <c r="G379" s="324">
        <v>4</v>
      </c>
      <c r="H379" s="21">
        <f>packes[[#This Row],[num]]-SUM(packes[[#This Row],[num2]])</f>
        <v>1300</v>
      </c>
      <c r="I379" s="324"/>
      <c r="J379" s="21"/>
      <c r="K379" s="287" t="s">
        <v>1261</v>
      </c>
    </row>
    <row r="380" spans="1:11" ht="16.5">
      <c r="A380" s="1">
        <v>847</v>
      </c>
      <c r="B380" s="2" t="s">
        <v>774</v>
      </c>
      <c r="C380" s="2">
        <v>140310083</v>
      </c>
      <c r="D380" s="1">
        <v>1600</v>
      </c>
      <c r="E380" s="12">
        <f>_xlfn.XLOOKUP(packes[[#This Row],[productId]],bom[Id],bom[wgt])</f>
        <v>1.3369250723336326</v>
      </c>
      <c r="F380" s="12">
        <f>packes[[#This Row],[num]]*packes[[#This Row],[wtg]]</f>
        <v>2139.0801157338119</v>
      </c>
      <c r="G380" s="324">
        <v>3</v>
      </c>
      <c r="H380" s="21">
        <f>packes[[#This Row],[num]]-SUM(packes[[#This Row],[num2]])</f>
        <v>1600</v>
      </c>
      <c r="I380" s="324"/>
      <c r="J380" s="21"/>
      <c r="K380" s="287" t="s">
        <v>1262</v>
      </c>
    </row>
    <row r="381" spans="1:11" ht="16.5">
      <c r="A381" s="1">
        <v>848</v>
      </c>
      <c r="B381" s="2" t="s">
        <v>774</v>
      </c>
      <c r="C381" s="1">
        <v>140450047</v>
      </c>
      <c r="D381" s="1">
        <v>400</v>
      </c>
      <c r="E381" s="12">
        <f>_xlfn.XLOOKUP(packes[[#This Row],[productId]],bom[Id],bom[wgt])</f>
        <v>0</v>
      </c>
      <c r="F381" s="12">
        <f>packes[[#This Row],[num]]*packes[[#This Row],[wtg]]</f>
        <v>0</v>
      </c>
      <c r="G381" s="324">
        <v>4</v>
      </c>
      <c r="H381" s="21">
        <f>packes[[#This Row],[num]]-SUM(packes[[#This Row],[num2]])</f>
        <v>400</v>
      </c>
      <c r="I381" s="324"/>
      <c r="J381" s="21"/>
      <c r="K381" s="287" t="s">
        <v>1263</v>
      </c>
    </row>
    <row r="382" spans="1:11" ht="16.5">
      <c r="A382" s="1">
        <v>849</v>
      </c>
      <c r="B382" s="2" t="s">
        <v>774</v>
      </c>
      <c r="C382" s="1">
        <v>140530039</v>
      </c>
      <c r="D382" s="1">
        <v>500</v>
      </c>
      <c r="E382" s="12">
        <f>_xlfn.XLOOKUP(packes[[#This Row],[productId]],bom[Id],bom[wgt])</f>
        <v>1.1274069639828395</v>
      </c>
      <c r="F382" s="12">
        <f>packes[[#This Row],[num]]*packes[[#This Row],[wtg]]</f>
        <v>563.70348199141972</v>
      </c>
      <c r="G382" s="324">
        <v>3</v>
      </c>
      <c r="H382" s="21">
        <f>packes[[#This Row],[num]]-SUM(packes[[#This Row],[num2]])</f>
        <v>500</v>
      </c>
      <c r="I382" s="324"/>
      <c r="J382" s="21"/>
      <c r="K382" s="287" t="s">
        <v>1264</v>
      </c>
    </row>
    <row r="383" spans="1:11" ht="16.5">
      <c r="A383" s="1">
        <v>850</v>
      </c>
      <c r="B383" s="2" t="s">
        <v>774</v>
      </c>
      <c r="C383" s="1">
        <v>141320055</v>
      </c>
      <c r="D383" s="1">
        <v>100</v>
      </c>
      <c r="E383" s="12">
        <f>_xlfn.XLOOKUP(packes[[#This Row],[productId]],bom[Id],bom[wgt])</f>
        <v>1.1274069639828395</v>
      </c>
      <c r="F383" s="12">
        <f>packes[[#This Row],[num]]*packes[[#This Row],[wtg]]</f>
        <v>112.74069639828394</v>
      </c>
      <c r="G383" s="324">
        <v>3</v>
      </c>
      <c r="H383" s="21">
        <f>packes[[#This Row],[num]]-SUM(packes[[#This Row],[num2]])</f>
        <v>100</v>
      </c>
      <c r="I383" s="324"/>
      <c r="J383" s="21"/>
      <c r="K383" s="287" t="s">
        <v>1265</v>
      </c>
    </row>
    <row r="384" spans="1:11" ht="16.5">
      <c r="A384" s="1">
        <v>851</v>
      </c>
      <c r="B384" s="2" t="s">
        <v>775</v>
      </c>
      <c r="C384" s="1">
        <v>140010117</v>
      </c>
      <c r="D384" s="1">
        <v>450</v>
      </c>
      <c r="E384" s="12">
        <f>_xlfn.XLOOKUP(packes[[#This Row],[productId]],bom[Id],bom[wgt])</f>
        <v>1</v>
      </c>
      <c r="F384" s="12">
        <f>packes[[#This Row],[num]]*packes[[#This Row],[wtg]]</f>
        <v>450</v>
      </c>
      <c r="G384" s="324">
        <v>4</v>
      </c>
      <c r="H384" s="21">
        <f>packes[[#This Row],[num]]-SUM(packes[[#This Row],[num2]])</f>
        <v>450</v>
      </c>
      <c r="I384" s="324"/>
      <c r="J384" s="21"/>
      <c r="K384" s="287"/>
    </row>
    <row r="385" spans="1:11" ht="16.5">
      <c r="A385" s="1">
        <v>852</v>
      </c>
      <c r="B385" s="2" t="s">
        <v>775</v>
      </c>
      <c r="C385" s="1">
        <v>140010230</v>
      </c>
      <c r="D385" s="1">
        <v>400</v>
      </c>
      <c r="E385" s="12">
        <f>_xlfn.XLOOKUP(packes[[#This Row],[productId]],bom[Id],bom[wgt])</f>
        <v>1.4486680634540554</v>
      </c>
      <c r="F385" s="12">
        <f>packes[[#This Row],[num]]*packes[[#This Row],[wtg]]</f>
        <v>579.46722538162214</v>
      </c>
      <c r="G385" s="324">
        <v>4</v>
      </c>
      <c r="H385" s="21">
        <f>packes[[#This Row],[num]]-SUM(packes[[#This Row],[num2]])</f>
        <v>400</v>
      </c>
      <c r="I385" s="324"/>
      <c r="J385" s="21"/>
      <c r="K385" s="287"/>
    </row>
    <row r="386" spans="1:11" ht="16.5">
      <c r="A386" s="1">
        <v>853</v>
      </c>
      <c r="B386" s="2" t="s">
        <v>775</v>
      </c>
      <c r="C386" s="1">
        <v>140310007</v>
      </c>
      <c r="D386" s="1">
        <v>900</v>
      </c>
      <c r="E386" s="12">
        <f>_xlfn.XLOOKUP(packes[[#This Row],[productId]],bom[Id],bom[wgt])</f>
        <v>1.1413748378728923</v>
      </c>
      <c r="F386" s="12">
        <f>packes[[#This Row],[num]]*packes[[#This Row],[wtg]]</f>
        <v>1027.2373540856031</v>
      </c>
      <c r="G386" s="324">
        <v>4</v>
      </c>
      <c r="H386" s="21">
        <f>packes[[#This Row],[num]]-SUM(packes[[#This Row],[num2]])</f>
        <v>900</v>
      </c>
      <c r="I386" s="324"/>
      <c r="J386" s="21"/>
      <c r="K386" s="287"/>
    </row>
    <row r="387" spans="1:11" ht="16.5">
      <c r="A387" s="1">
        <v>854</v>
      </c>
      <c r="B387" s="2" t="s">
        <v>775</v>
      </c>
      <c r="C387" s="1">
        <v>140310071</v>
      </c>
      <c r="D387" s="1">
        <v>550</v>
      </c>
      <c r="E387" s="12">
        <f>_xlfn.XLOOKUP(packes[[#This Row],[productId]],bom[Id],bom[wgt])</f>
        <v>1.3</v>
      </c>
      <c r="F387" s="12">
        <f>packes[[#This Row],[num]]*packes[[#This Row],[wtg]]</f>
        <v>715</v>
      </c>
      <c r="G387" s="324">
        <v>3</v>
      </c>
      <c r="H387" s="21">
        <f>packes[[#This Row],[num]]-SUM(packes[[#This Row],[num2]])</f>
        <v>550</v>
      </c>
      <c r="I387" s="324"/>
      <c r="J387" s="21"/>
      <c r="K387" s="287"/>
    </row>
    <row r="388" spans="1:11" ht="16.5">
      <c r="A388" s="1">
        <v>855</v>
      </c>
      <c r="B388" s="2" t="s">
        <v>775</v>
      </c>
      <c r="C388" s="1">
        <v>140310083</v>
      </c>
      <c r="D388" s="1">
        <v>400</v>
      </c>
      <c r="E388" s="12">
        <f>_xlfn.XLOOKUP(packes[[#This Row],[productId]],bom[Id],bom[wgt])</f>
        <v>1.3369250723336326</v>
      </c>
      <c r="F388" s="12">
        <f>packes[[#This Row],[num]]*packes[[#This Row],[wtg]]</f>
        <v>534.77002893345298</v>
      </c>
      <c r="G388" s="324">
        <v>3</v>
      </c>
      <c r="H388" s="21">
        <f>packes[[#This Row],[num]]-SUM(packes[[#This Row],[num2]])</f>
        <v>400</v>
      </c>
      <c r="I388" s="324"/>
      <c r="J388" s="21"/>
      <c r="K388" s="287"/>
    </row>
    <row r="389" spans="1:11" ht="16.5">
      <c r="A389" s="1">
        <v>856</v>
      </c>
      <c r="B389" s="2" t="s">
        <v>775</v>
      </c>
      <c r="C389" s="1">
        <v>140450047</v>
      </c>
      <c r="D389" s="1">
        <v>550</v>
      </c>
      <c r="E389" s="12">
        <f>_xlfn.XLOOKUP(packes[[#This Row],[productId]],bom[Id],bom[wgt])</f>
        <v>0</v>
      </c>
      <c r="F389" s="12">
        <f>packes[[#This Row],[num]]*packes[[#This Row],[wtg]]</f>
        <v>0</v>
      </c>
      <c r="G389" s="324">
        <v>4</v>
      </c>
      <c r="H389" s="21">
        <f>packes[[#This Row],[num]]-SUM(packes[[#This Row],[num2]])</f>
        <v>550</v>
      </c>
      <c r="I389" s="324"/>
      <c r="J389" s="21"/>
      <c r="K389" s="287"/>
    </row>
    <row r="390" spans="1:11" ht="16.5">
      <c r="A390" s="1">
        <v>857</v>
      </c>
      <c r="B390" s="2" t="s">
        <v>775</v>
      </c>
      <c r="C390" s="1">
        <v>140550019</v>
      </c>
      <c r="D390" s="1">
        <v>850</v>
      </c>
      <c r="E390" s="12">
        <f>_xlfn.XLOOKUP(packes[[#This Row],[productId]],bom[Id],bom[wgt])</f>
        <v>2.6938042502244834</v>
      </c>
      <c r="F390" s="12">
        <f>packes[[#This Row],[num]]*packes[[#This Row],[wtg]]</f>
        <v>2289.7336126908108</v>
      </c>
      <c r="G390" s="324">
        <v>10</v>
      </c>
      <c r="H390" s="21">
        <f>packes[[#This Row],[num]]-SUM(packes[[#This Row],[num2]])</f>
        <v>850</v>
      </c>
      <c r="I390" s="324"/>
      <c r="J390" s="21"/>
      <c r="K390" s="287"/>
    </row>
    <row r="391" spans="1:11" ht="16.5">
      <c r="A391" s="1">
        <v>858</v>
      </c>
      <c r="B391" s="2" t="s">
        <v>775</v>
      </c>
      <c r="C391" s="1">
        <v>140530039</v>
      </c>
      <c r="D391" s="1">
        <v>800</v>
      </c>
      <c r="E391" s="12">
        <f>_xlfn.XLOOKUP(packes[[#This Row],[productId]],bom[Id],bom[wgt])</f>
        <v>1.1274069639828395</v>
      </c>
      <c r="F391" s="12">
        <f>packes[[#This Row],[num]]*packes[[#This Row],[wtg]]</f>
        <v>901.92557118627155</v>
      </c>
      <c r="G391" s="324">
        <v>3</v>
      </c>
      <c r="H391" s="21">
        <f>packes[[#This Row],[num]]-SUM(packes[[#This Row],[num2]])</f>
        <v>800</v>
      </c>
      <c r="I391" s="324"/>
      <c r="J391" s="21"/>
      <c r="K391" s="287"/>
    </row>
    <row r="392" spans="1:11" ht="16.5">
      <c r="A392" s="1">
        <v>859</v>
      </c>
      <c r="B392" s="2" t="s">
        <v>776</v>
      </c>
      <c r="C392" s="1">
        <v>140010117</v>
      </c>
      <c r="D392" s="1">
        <v>300</v>
      </c>
      <c r="E392" s="12">
        <f>_xlfn.XLOOKUP(packes[[#This Row],[productId]],bom[Id],bom[wgt])</f>
        <v>1</v>
      </c>
      <c r="F392" s="12">
        <f>packes[[#This Row],[num]]*packes[[#This Row],[wtg]]</f>
        <v>300</v>
      </c>
      <c r="G392" s="324">
        <v>4</v>
      </c>
      <c r="H392" s="21">
        <f>packes[[#This Row],[num]]-SUM(packes[[#This Row],[num2]])</f>
        <v>300</v>
      </c>
      <c r="I392" s="324"/>
      <c r="J392" s="21"/>
      <c r="K392" s="287" t="s">
        <v>1271</v>
      </c>
    </row>
    <row r="393" spans="1:11" ht="16.5">
      <c r="A393" s="1">
        <v>860</v>
      </c>
      <c r="B393" s="2" t="s">
        <v>776</v>
      </c>
      <c r="C393" s="1">
        <v>140010230</v>
      </c>
      <c r="D393" s="1">
        <v>800</v>
      </c>
      <c r="E393" s="12">
        <f>_xlfn.XLOOKUP(packes[[#This Row],[productId]],bom[Id],bom[wgt])</f>
        <v>1.4486680634540554</v>
      </c>
      <c r="F393" s="12">
        <f>packes[[#This Row],[num]]*packes[[#This Row],[wtg]]</f>
        <v>1158.9344507632443</v>
      </c>
      <c r="G393" s="324">
        <v>4</v>
      </c>
      <c r="H393" s="21">
        <f>packes[[#This Row],[num]]-SUM(packes[[#This Row],[num2]])</f>
        <v>800</v>
      </c>
      <c r="I393" s="324"/>
      <c r="J393" s="21"/>
      <c r="K393" s="287" t="s">
        <v>1272</v>
      </c>
    </row>
    <row r="394" spans="1:11" ht="16.5">
      <c r="A394" s="1">
        <v>861</v>
      </c>
      <c r="B394" s="2" t="s">
        <v>776</v>
      </c>
      <c r="C394" s="1">
        <v>140030039</v>
      </c>
      <c r="D394" s="1">
        <v>100</v>
      </c>
      <c r="E394" s="12">
        <f>_xlfn.XLOOKUP(packes[[#This Row],[productId]],bom[Id],bom[wgt])</f>
        <v>1.1413748378728923</v>
      </c>
      <c r="F394" s="12">
        <f>packes[[#This Row],[num]]*packes[[#This Row],[wtg]]</f>
        <v>114.13748378728923</v>
      </c>
      <c r="G394" s="324">
        <v>4</v>
      </c>
      <c r="H394" s="21">
        <f>packes[[#This Row],[num]]-SUM(packes[[#This Row],[num2]])</f>
        <v>100</v>
      </c>
      <c r="I394" s="324"/>
      <c r="J394" s="21"/>
      <c r="K394" s="287" t="s">
        <v>1273</v>
      </c>
    </row>
    <row r="395" spans="1:11" ht="16.5">
      <c r="A395" s="1">
        <v>862</v>
      </c>
      <c r="B395" s="2" t="s">
        <v>776</v>
      </c>
      <c r="C395" s="1">
        <v>140030040</v>
      </c>
      <c r="D395" s="1">
        <v>100</v>
      </c>
      <c r="E395" s="12">
        <f>_xlfn.XLOOKUP(packes[[#This Row],[productId]],bom[Id],bom[wgt])</f>
        <v>1.1092487279257708</v>
      </c>
      <c r="F395" s="12">
        <f>packes[[#This Row],[num]]*packes[[#This Row],[wtg]]</f>
        <v>110.92487279257708</v>
      </c>
      <c r="G395" s="324">
        <v>4</v>
      </c>
      <c r="H395" s="21">
        <f>packes[[#This Row],[num]]-SUM(packes[[#This Row],[num2]])</f>
        <v>100</v>
      </c>
      <c r="I395" s="324"/>
      <c r="J395" s="21"/>
      <c r="K395" s="287" t="s">
        <v>1273</v>
      </c>
    </row>
    <row r="396" spans="1:11" ht="16.5">
      <c r="A396" s="1">
        <v>863</v>
      </c>
      <c r="B396" s="2" t="s">
        <v>776</v>
      </c>
      <c r="C396" s="1">
        <v>140310007</v>
      </c>
      <c r="D396" s="1">
        <v>200</v>
      </c>
      <c r="E396" s="12">
        <f>_xlfn.XLOOKUP(packes[[#This Row],[productId]],bom[Id],bom[wgt])</f>
        <v>1.1413748378728923</v>
      </c>
      <c r="F396" s="12">
        <f>packes[[#This Row],[num]]*packes[[#This Row],[wtg]]</f>
        <v>228.27496757457845</v>
      </c>
      <c r="G396" s="324">
        <v>4</v>
      </c>
      <c r="H396" s="21">
        <f>packes[[#This Row],[num]]-SUM(packes[[#This Row],[num2]])</f>
        <v>200</v>
      </c>
      <c r="I396" s="324"/>
      <c r="J396" s="21"/>
      <c r="K396" s="287" t="s">
        <v>1274</v>
      </c>
    </row>
    <row r="397" spans="1:11" ht="16.5">
      <c r="A397" s="1">
        <v>864</v>
      </c>
      <c r="B397" s="2" t="s">
        <v>776</v>
      </c>
      <c r="C397" s="1">
        <v>140550019</v>
      </c>
      <c r="D397" s="1">
        <v>150</v>
      </c>
      <c r="E397" s="12">
        <f>_xlfn.XLOOKUP(packes[[#This Row],[productId]],bom[Id],bom[wgt])</f>
        <v>2.6938042502244834</v>
      </c>
      <c r="F397" s="12">
        <f>packes[[#This Row],[num]]*packes[[#This Row],[wtg]]</f>
        <v>404.07063753367254</v>
      </c>
      <c r="G397" s="324">
        <v>10</v>
      </c>
      <c r="H397" s="21">
        <f>packes[[#This Row],[num]]-SUM(packes[[#This Row],[num2]])</f>
        <v>150</v>
      </c>
      <c r="I397" s="324"/>
      <c r="J397" s="21"/>
      <c r="K397" s="287" t="s">
        <v>1275</v>
      </c>
    </row>
    <row r="398" spans="1:11" ht="16.5">
      <c r="A398" s="1">
        <v>865</v>
      </c>
      <c r="B398" s="2" t="s">
        <v>776</v>
      </c>
      <c r="C398" s="1">
        <v>140530039</v>
      </c>
      <c r="D398" s="1">
        <v>3200</v>
      </c>
      <c r="E398" s="12">
        <f>_xlfn.XLOOKUP(packes[[#This Row],[productId]],bom[Id],bom[wgt])</f>
        <v>1.1274069639828395</v>
      </c>
      <c r="F398" s="12">
        <f>packes[[#This Row],[num]]*packes[[#This Row],[wtg]]</f>
        <v>3607.7022847450862</v>
      </c>
      <c r="G398" s="324">
        <v>3</v>
      </c>
      <c r="H398" s="21">
        <f>packes[[#This Row],[num]]-SUM(packes[[#This Row],[num2]])</f>
        <v>3200</v>
      </c>
      <c r="I398" s="324"/>
      <c r="J398" s="21"/>
      <c r="K398" s="287" t="s">
        <v>1276</v>
      </c>
    </row>
    <row r="399" spans="1:11" ht="16.5">
      <c r="A399" s="1">
        <v>866</v>
      </c>
      <c r="B399" s="2" t="s">
        <v>777</v>
      </c>
      <c r="C399" s="1">
        <v>140010117</v>
      </c>
      <c r="D399" s="1">
        <v>300</v>
      </c>
      <c r="E399" s="12">
        <f>_xlfn.XLOOKUP(packes[[#This Row],[productId]],bom[Id],bom[wgt])</f>
        <v>1</v>
      </c>
      <c r="F399" s="12">
        <f>packes[[#This Row],[num]]*packes[[#This Row],[wtg]]</f>
        <v>300</v>
      </c>
      <c r="G399" s="324">
        <v>4</v>
      </c>
      <c r="H399" s="21">
        <f>packes[[#This Row],[num]]-SUM(packes[[#This Row],[num2]])</f>
        <v>300</v>
      </c>
      <c r="I399" s="324"/>
      <c r="J399" s="21"/>
      <c r="K399" s="287" t="s">
        <v>1301</v>
      </c>
    </row>
    <row r="400" spans="1:11" ht="16.5">
      <c r="A400" s="1">
        <v>867</v>
      </c>
      <c r="B400" s="2" t="s">
        <v>777</v>
      </c>
      <c r="C400" s="1">
        <v>140010230</v>
      </c>
      <c r="D400" s="1">
        <v>440</v>
      </c>
      <c r="E400" s="12">
        <f>_xlfn.XLOOKUP(packes[[#This Row],[productId]],bom[Id],bom[wgt])</f>
        <v>1.4486680634540554</v>
      </c>
      <c r="F400" s="12">
        <f>packes[[#This Row],[num]]*packes[[#This Row],[wtg]]</f>
        <v>637.41394791978439</v>
      </c>
      <c r="G400" s="324">
        <v>4</v>
      </c>
      <c r="H400" s="21">
        <f>packes[[#This Row],[num]]-SUM(packes[[#This Row],[num2]])</f>
        <v>440</v>
      </c>
      <c r="I400" s="324"/>
      <c r="J400" s="21"/>
      <c r="K400" s="287" t="s">
        <v>1302</v>
      </c>
    </row>
    <row r="401" spans="1:11" ht="16.5">
      <c r="A401" s="1">
        <v>868</v>
      </c>
      <c r="B401" s="2" t="s">
        <v>777</v>
      </c>
      <c r="C401" s="1">
        <v>140310007</v>
      </c>
      <c r="D401" s="1">
        <v>2400</v>
      </c>
      <c r="E401" s="12">
        <f>_xlfn.XLOOKUP(packes[[#This Row],[productId]],bom[Id],bom[wgt])</f>
        <v>1.1413748378728923</v>
      </c>
      <c r="F401" s="12">
        <f>packes[[#This Row],[num]]*packes[[#This Row],[wtg]]</f>
        <v>2739.2996108949415</v>
      </c>
      <c r="G401" s="324">
        <v>4</v>
      </c>
      <c r="H401" s="21">
        <f>packes[[#This Row],[num]]-SUM(packes[[#This Row],[num2]])</f>
        <v>2400</v>
      </c>
      <c r="I401" s="324"/>
      <c r="J401" s="21"/>
      <c r="K401" s="287" t="s">
        <v>1303</v>
      </c>
    </row>
    <row r="402" spans="1:11" ht="16.5">
      <c r="A402" s="1">
        <v>869</v>
      </c>
      <c r="B402" s="2" t="s">
        <v>777</v>
      </c>
      <c r="C402" s="1">
        <v>140310071</v>
      </c>
      <c r="D402" s="1">
        <v>600</v>
      </c>
      <c r="E402" s="12">
        <f>_xlfn.XLOOKUP(packes[[#This Row],[productId]],bom[Id],bom[wgt])</f>
        <v>1.3</v>
      </c>
      <c r="F402" s="12">
        <f>packes[[#This Row],[num]]*packes[[#This Row],[wtg]]</f>
        <v>780</v>
      </c>
      <c r="G402" s="324">
        <v>3</v>
      </c>
      <c r="H402" s="21">
        <f>packes[[#This Row],[num]]-SUM(packes[[#This Row],[num2]])</f>
        <v>600</v>
      </c>
      <c r="I402" s="324"/>
      <c r="J402" s="21"/>
      <c r="K402" s="287" t="s">
        <v>1304</v>
      </c>
    </row>
    <row r="403" spans="1:11" ht="16.5">
      <c r="A403" s="1">
        <v>870</v>
      </c>
      <c r="B403" s="2" t="s">
        <v>777</v>
      </c>
      <c r="C403" s="1">
        <v>140310083</v>
      </c>
      <c r="D403" s="1">
        <v>1000</v>
      </c>
      <c r="E403" s="12">
        <f>_xlfn.XLOOKUP(packes[[#This Row],[productId]],bom[Id],bom[wgt])</f>
        <v>1.3369250723336326</v>
      </c>
      <c r="F403" s="12">
        <f>packes[[#This Row],[num]]*packes[[#This Row],[wtg]]</f>
        <v>1336.9250723336327</v>
      </c>
      <c r="G403" s="324">
        <v>3</v>
      </c>
      <c r="H403" s="21">
        <f>packes[[#This Row],[num]]-SUM(packes[[#This Row],[num2]])</f>
        <v>1000</v>
      </c>
      <c r="I403" s="324"/>
      <c r="J403" s="21"/>
      <c r="K403" s="287" t="s">
        <v>1216</v>
      </c>
    </row>
    <row r="404" spans="1:11" ht="16.5">
      <c r="A404" s="1">
        <v>871</v>
      </c>
      <c r="B404" s="2" t="s">
        <v>777</v>
      </c>
      <c r="C404" s="1">
        <v>140550088</v>
      </c>
      <c r="D404" s="1">
        <v>30</v>
      </c>
      <c r="E404" s="12" t="e">
        <f>_xlfn.XLOOKUP(packes[[#This Row],[productId]],bom[Id],bom[wgt])</f>
        <v>#N/A</v>
      </c>
      <c r="F404" s="12" t="e">
        <f>packes[[#This Row],[num]]*packes[[#This Row],[wtg]]</f>
        <v>#N/A</v>
      </c>
      <c r="G404" s="324">
        <v>1000</v>
      </c>
      <c r="H404" s="21">
        <f>packes[[#This Row],[num]]-SUM(packes[[#This Row],[num2]])</f>
        <v>30</v>
      </c>
      <c r="I404" s="324"/>
      <c r="J404" s="21"/>
      <c r="K404" s="287"/>
    </row>
    <row r="405" spans="1:11" ht="16.5">
      <c r="A405" s="1">
        <v>872</v>
      </c>
      <c r="B405" s="2" t="s">
        <v>777</v>
      </c>
      <c r="C405" s="1">
        <v>140530039</v>
      </c>
      <c r="D405" s="1">
        <v>100</v>
      </c>
      <c r="E405" s="12">
        <f>_xlfn.XLOOKUP(packes[[#This Row],[productId]],bom[Id],bom[wgt])</f>
        <v>1.1274069639828395</v>
      </c>
      <c r="F405" s="12">
        <f>packes[[#This Row],[num]]*packes[[#This Row],[wtg]]</f>
        <v>112.74069639828394</v>
      </c>
      <c r="G405" s="324">
        <v>3</v>
      </c>
      <c r="H405" s="21">
        <f>packes[[#This Row],[num]]-SUM(packes[[#This Row],[num2]])</f>
        <v>100</v>
      </c>
      <c r="I405" s="324"/>
      <c r="J405" s="21"/>
      <c r="K405" s="287" t="s">
        <v>1305</v>
      </c>
    </row>
    <row r="406" spans="1:11" ht="16.5">
      <c r="A406" s="1">
        <v>873</v>
      </c>
      <c r="B406" s="2" t="s">
        <v>780</v>
      </c>
      <c r="C406" s="1">
        <v>140010117</v>
      </c>
      <c r="D406" s="1">
        <v>150</v>
      </c>
      <c r="E406" s="12">
        <f>_xlfn.XLOOKUP(packes[[#This Row],[productId]],bom[Id],bom[wgt])</f>
        <v>1</v>
      </c>
      <c r="F406" s="12">
        <f>packes[[#This Row],[num]]*packes[[#This Row],[wtg]]</f>
        <v>150</v>
      </c>
      <c r="G406" s="324">
        <v>4</v>
      </c>
      <c r="H406" s="21">
        <f>packes[[#This Row],[num]]-SUM(packes[[#This Row],[num2]])</f>
        <v>150</v>
      </c>
      <c r="I406" s="324"/>
      <c r="J406" s="21"/>
      <c r="K406" s="287" t="s">
        <v>1312</v>
      </c>
    </row>
    <row r="407" spans="1:11" ht="16.5">
      <c r="A407" s="1">
        <v>874</v>
      </c>
      <c r="B407" s="2" t="s">
        <v>780</v>
      </c>
      <c r="C407" s="1">
        <v>140310007</v>
      </c>
      <c r="D407" s="1">
        <v>1700</v>
      </c>
      <c r="E407" s="12">
        <f>_xlfn.XLOOKUP(packes[[#This Row],[productId]],bom[Id],bom[wgt])</f>
        <v>1.1413748378728923</v>
      </c>
      <c r="F407" s="12">
        <f>packes[[#This Row],[num]]*packes[[#This Row],[wtg]]</f>
        <v>1940.3372243839169</v>
      </c>
      <c r="G407" s="324">
        <v>4</v>
      </c>
      <c r="H407" s="21">
        <f>packes[[#This Row],[num]]-SUM(packes[[#This Row],[num2]])</f>
        <v>1700</v>
      </c>
      <c r="I407" s="324"/>
      <c r="J407" s="21"/>
      <c r="K407" s="287" t="s">
        <v>1313</v>
      </c>
    </row>
    <row r="408" spans="1:11" ht="16.5">
      <c r="A408" s="1">
        <v>875</v>
      </c>
      <c r="B408" s="2" t="s">
        <v>780</v>
      </c>
      <c r="C408" s="1">
        <v>140310031</v>
      </c>
      <c r="D408" s="1">
        <v>350</v>
      </c>
      <c r="E408" s="12">
        <f>_xlfn.XLOOKUP(packes[[#This Row],[productId]],bom[Id],bom[wgt])</f>
        <v>1.9455252918287937</v>
      </c>
      <c r="F408" s="12">
        <f>packes[[#This Row],[num]]*packes[[#This Row],[wtg]]</f>
        <v>680.93385214007776</v>
      </c>
      <c r="G408" s="324">
        <v>4</v>
      </c>
      <c r="H408" s="21">
        <f>packes[[#This Row],[num]]-SUM(packes[[#This Row],[num2]])</f>
        <v>350</v>
      </c>
      <c r="I408" s="324"/>
      <c r="J408" s="21"/>
      <c r="K408" s="287" t="s">
        <v>1314</v>
      </c>
    </row>
    <row r="409" spans="1:11" ht="16.5">
      <c r="A409" s="1">
        <v>876</v>
      </c>
      <c r="B409" s="2" t="s">
        <v>780</v>
      </c>
      <c r="C409" s="1">
        <v>140310071</v>
      </c>
      <c r="D409" s="1">
        <v>1850</v>
      </c>
      <c r="E409" s="12">
        <f>_xlfn.XLOOKUP(packes[[#This Row],[productId]],bom[Id],bom[wgt])</f>
        <v>1.3</v>
      </c>
      <c r="F409" s="12">
        <f>packes[[#This Row],[num]]*packes[[#This Row],[wtg]]</f>
        <v>2405</v>
      </c>
      <c r="G409" s="324">
        <v>3</v>
      </c>
      <c r="H409" s="21">
        <f>packes[[#This Row],[num]]-SUM(packes[[#This Row],[num2]])</f>
        <v>1850</v>
      </c>
      <c r="I409" s="324"/>
      <c r="J409" s="21"/>
      <c r="K409" s="287" t="s">
        <v>1315</v>
      </c>
    </row>
    <row r="410" spans="1:11" ht="16.5">
      <c r="A410" s="1">
        <v>877</v>
      </c>
      <c r="B410" s="2" t="s">
        <v>780</v>
      </c>
      <c r="C410" s="1">
        <v>140450047</v>
      </c>
      <c r="D410" s="1">
        <v>500</v>
      </c>
      <c r="E410" s="12">
        <f>_xlfn.XLOOKUP(packes[[#This Row],[productId]],bom[Id],bom[wgt])</f>
        <v>0</v>
      </c>
      <c r="F410" s="12">
        <f>packes[[#This Row],[num]]*packes[[#This Row],[wtg]]</f>
        <v>0</v>
      </c>
      <c r="G410" s="324">
        <v>4</v>
      </c>
      <c r="H410" s="21">
        <f>packes[[#This Row],[num]]-SUM(packes[[#This Row],[num2]])</f>
        <v>500</v>
      </c>
      <c r="I410" s="324"/>
      <c r="J410" s="21"/>
      <c r="K410" s="287" t="s">
        <v>1316</v>
      </c>
    </row>
    <row r="411" spans="1:11" ht="16.5">
      <c r="A411" s="1">
        <v>878</v>
      </c>
      <c r="B411" s="2" t="s">
        <v>781</v>
      </c>
      <c r="C411" s="1">
        <v>140310007</v>
      </c>
      <c r="D411" s="1">
        <v>2000</v>
      </c>
      <c r="E411" s="12">
        <f>_xlfn.XLOOKUP(packes[[#This Row],[productId]],bom[Id],bom[wgt])</f>
        <v>1.1413748378728923</v>
      </c>
      <c r="F411" s="12">
        <f>packes[[#This Row],[num]]*packes[[#This Row],[wtg]]</f>
        <v>2282.7496757457848</v>
      </c>
      <c r="G411" s="324">
        <v>4</v>
      </c>
      <c r="H411" s="21">
        <f>packes[[#This Row],[num]]-SUM(packes[[#This Row],[num2]])</f>
        <v>2000</v>
      </c>
      <c r="I411" s="324"/>
      <c r="J411" s="21"/>
      <c r="K411" s="287" t="s">
        <v>1323</v>
      </c>
    </row>
    <row r="412" spans="1:11" ht="16.5">
      <c r="A412" s="1">
        <v>879</v>
      </c>
      <c r="B412" s="2" t="s">
        <v>781</v>
      </c>
      <c r="C412" s="1">
        <v>140310031</v>
      </c>
      <c r="D412" s="1">
        <v>800</v>
      </c>
      <c r="E412" s="12">
        <f>_xlfn.XLOOKUP(packes[[#This Row],[productId]],bom[Id],bom[wgt])</f>
        <v>1.9455252918287937</v>
      </c>
      <c r="F412" s="12">
        <f>packes[[#This Row],[num]]*packes[[#This Row],[wtg]]</f>
        <v>1556.4202334630349</v>
      </c>
      <c r="G412" s="324">
        <v>4</v>
      </c>
      <c r="H412" s="21">
        <f>packes[[#This Row],[num]]-SUM(packes[[#This Row],[num2]])</f>
        <v>800</v>
      </c>
      <c r="I412" s="324"/>
      <c r="J412" s="21"/>
      <c r="K412" s="287" t="s">
        <v>1324</v>
      </c>
    </row>
    <row r="413" spans="1:11" ht="16.5">
      <c r="A413" s="1">
        <v>880</v>
      </c>
      <c r="B413" s="2" t="s">
        <v>781</v>
      </c>
      <c r="C413" s="1">
        <v>140310071</v>
      </c>
      <c r="D413" s="1">
        <v>1200</v>
      </c>
      <c r="E413" s="12">
        <f>_xlfn.XLOOKUP(packes[[#This Row],[productId]],bom[Id],bom[wgt])</f>
        <v>1.3</v>
      </c>
      <c r="F413" s="12">
        <f>packes[[#This Row],[num]]*packes[[#This Row],[wtg]]</f>
        <v>1560</v>
      </c>
      <c r="G413" s="324">
        <v>3</v>
      </c>
      <c r="H413" s="21">
        <f>packes[[#This Row],[num]]-SUM(packes[[#This Row],[num2]])</f>
        <v>1200</v>
      </c>
      <c r="I413" s="324"/>
      <c r="J413" s="21"/>
      <c r="K413" s="287" t="s">
        <v>1325</v>
      </c>
    </row>
    <row r="414" spans="1:11" ht="16.5">
      <c r="A414" s="1">
        <v>881</v>
      </c>
      <c r="B414" s="2" t="s">
        <v>781</v>
      </c>
      <c r="C414" s="1">
        <v>140450047</v>
      </c>
      <c r="D414" s="1">
        <v>400</v>
      </c>
      <c r="E414" s="12">
        <f>_xlfn.XLOOKUP(packes[[#This Row],[productId]],bom[Id],bom[wgt])</f>
        <v>0</v>
      </c>
      <c r="F414" s="12">
        <f>packes[[#This Row],[num]]*packes[[#This Row],[wtg]]</f>
        <v>0</v>
      </c>
      <c r="G414" s="324">
        <v>4</v>
      </c>
      <c r="H414" s="21">
        <f>packes[[#This Row],[num]]-SUM(packes[[#This Row],[num2]])</f>
        <v>400</v>
      </c>
      <c r="I414" s="324"/>
      <c r="J414" s="21"/>
      <c r="K414" s="287" t="s">
        <v>1326</v>
      </c>
    </row>
    <row r="415" spans="1:11" ht="16.5">
      <c r="A415" s="1">
        <v>882</v>
      </c>
      <c r="B415" s="2" t="s">
        <v>781</v>
      </c>
      <c r="C415" s="1">
        <v>140550019</v>
      </c>
      <c r="D415" s="1">
        <v>214</v>
      </c>
      <c r="E415" s="12">
        <f>_xlfn.XLOOKUP(packes[[#This Row],[productId]],bom[Id],bom[wgt])</f>
        <v>2.6938042502244834</v>
      </c>
      <c r="F415" s="12">
        <f>packes[[#This Row],[num]]*packes[[#This Row],[wtg]]</f>
        <v>576.47410954803945</v>
      </c>
      <c r="G415" s="324">
        <v>10</v>
      </c>
      <c r="H415" s="21">
        <f>packes[[#This Row],[num]]-SUM(packes[[#This Row],[num2]])</f>
        <v>214</v>
      </c>
      <c r="I415" s="324"/>
      <c r="J415" s="21"/>
      <c r="K415" s="287" t="s">
        <v>1327</v>
      </c>
    </row>
    <row r="416" spans="1:11" ht="16.5">
      <c r="A416" s="1">
        <v>883</v>
      </c>
      <c r="B416" s="2" t="s">
        <v>781</v>
      </c>
      <c r="C416" s="1">
        <v>140530039</v>
      </c>
      <c r="D416" s="1">
        <v>173</v>
      </c>
      <c r="E416" s="12">
        <f>_xlfn.XLOOKUP(packes[[#This Row],[productId]],bom[Id],bom[wgt])</f>
        <v>1.1274069639828395</v>
      </c>
      <c r="F416" s="12">
        <f>packes[[#This Row],[num]]*packes[[#This Row],[wtg]]</f>
        <v>195.04140476903123</v>
      </c>
      <c r="G416" s="324">
        <v>3</v>
      </c>
      <c r="H416" s="21">
        <f>packes[[#This Row],[num]]-SUM(packes[[#This Row],[num2]])</f>
        <v>173</v>
      </c>
      <c r="I416" s="324"/>
      <c r="J416" s="21"/>
      <c r="K416" s="287" t="s">
        <v>1265</v>
      </c>
    </row>
    <row r="417" spans="1:11" ht="16.5">
      <c r="A417" s="1">
        <v>884</v>
      </c>
      <c r="B417" s="2" t="s">
        <v>782</v>
      </c>
      <c r="C417" s="1">
        <v>140310007</v>
      </c>
      <c r="D417" s="1">
        <v>1200</v>
      </c>
      <c r="E417" s="12">
        <f>_xlfn.XLOOKUP(packes[[#This Row],[productId]],bom[Id],bom[wgt])</f>
        <v>1.1413748378728923</v>
      </c>
      <c r="F417" s="12">
        <f>packes[[#This Row],[num]]*packes[[#This Row],[wtg]]</f>
        <v>1369.6498054474707</v>
      </c>
      <c r="G417" s="324">
        <v>4</v>
      </c>
      <c r="H417" s="21">
        <f>packes[[#This Row],[num]]-SUM(packes[[#This Row],[num2]])</f>
        <v>1200</v>
      </c>
      <c r="I417" s="324"/>
      <c r="J417" s="21"/>
      <c r="K417" s="287" t="s">
        <v>1331</v>
      </c>
    </row>
    <row r="418" spans="1:11" ht="16.5">
      <c r="A418" s="1">
        <v>885</v>
      </c>
      <c r="B418" s="2" t="s">
        <v>782</v>
      </c>
      <c r="C418" s="1">
        <v>140310031</v>
      </c>
      <c r="D418" s="1">
        <v>500</v>
      </c>
      <c r="E418" s="12">
        <f>_xlfn.XLOOKUP(packes[[#This Row],[productId]],bom[Id],bom[wgt])</f>
        <v>1.9455252918287937</v>
      </c>
      <c r="F418" s="12">
        <f>packes[[#This Row],[num]]*packes[[#This Row],[wtg]]</f>
        <v>972.7626459143969</v>
      </c>
      <c r="G418" s="324">
        <v>4</v>
      </c>
      <c r="H418" s="21">
        <f>packes[[#This Row],[num]]-SUM(packes[[#This Row],[num2]])</f>
        <v>500</v>
      </c>
      <c r="I418" s="324"/>
      <c r="J418" s="21"/>
      <c r="K418" s="287" t="s">
        <v>1265</v>
      </c>
    </row>
    <row r="419" spans="1:11" ht="16.5">
      <c r="A419" s="1">
        <v>886</v>
      </c>
      <c r="B419" s="2" t="s">
        <v>782</v>
      </c>
      <c r="C419" s="1">
        <v>140310071</v>
      </c>
      <c r="D419" s="1">
        <v>1700</v>
      </c>
      <c r="E419" s="12">
        <f>_xlfn.XLOOKUP(packes[[#This Row],[productId]],bom[Id],bom[wgt])</f>
        <v>1.3</v>
      </c>
      <c r="F419" s="12">
        <f>packes[[#This Row],[num]]*packes[[#This Row],[wtg]]</f>
        <v>2210</v>
      </c>
      <c r="G419" s="324">
        <v>3</v>
      </c>
      <c r="H419" s="21">
        <f>packes[[#This Row],[num]]-SUM(packes[[#This Row],[num2]])</f>
        <v>1700</v>
      </c>
      <c r="I419" s="324"/>
      <c r="J419" s="21"/>
      <c r="K419" s="287" t="s">
        <v>1332</v>
      </c>
    </row>
    <row r="420" spans="1:11" ht="16.5">
      <c r="A420" s="1">
        <v>887</v>
      </c>
      <c r="B420" s="2" t="s">
        <v>782</v>
      </c>
      <c r="C420" s="1">
        <v>140450047</v>
      </c>
      <c r="D420" s="1">
        <v>100</v>
      </c>
      <c r="E420" s="12">
        <f>_xlfn.XLOOKUP(packes[[#This Row],[productId]],bom[Id],bom[wgt])</f>
        <v>0</v>
      </c>
      <c r="F420" s="12">
        <f>packes[[#This Row],[num]]*packes[[#This Row],[wtg]]</f>
        <v>0</v>
      </c>
      <c r="G420" s="324">
        <v>4</v>
      </c>
      <c r="H420" s="21">
        <f>packes[[#This Row],[num]]-SUM(packes[[#This Row],[num2]])</f>
        <v>100</v>
      </c>
      <c r="I420" s="324"/>
      <c r="J420" s="21"/>
      <c r="K420" s="287" t="s">
        <v>1333</v>
      </c>
    </row>
    <row r="421" spans="1:11" ht="16.5">
      <c r="A421" s="1">
        <v>888</v>
      </c>
      <c r="B421" s="2" t="s">
        <v>783</v>
      </c>
      <c r="C421" s="1">
        <v>140310007</v>
      </c>
      <c r="D421" s="1">
        <v>900</v>
      </c>
      <c r="E421" s="12">
        <f>_xlfn.XLOOKUP(packes[[#This Row],[productId]],bom[Id],bom[wgt])</f>
        <v>1.1413748378728923</v>
      </c>
      <c r="F421" s="12">
        <f>packes[[#This Row],[num]]*packes[[#This Row],[wtg]]</f>
        <v>1027.2373540856031</v>
      </c>
      <c r="G421" s="324">
        <v>4</v>
      </c>
      <c r="H421" s="21">
        <f>packes[[#This Row],[num]]-SUM(packes[[#This Row],[num2]])</f>
        <v>900</v>
      </c>
      <c r="I421" s="324"/>
      <c r="J421" s="21"/>
      <c r="K421" s="287" t="s">
        <v>1336</v>
      </c>
    </row>
    <row r="422" spans="1:11" ht="16.5">
      <c r="A422" s="1">
        <v>889</v>
      </c>
      <c r="B422" s="2" t="s">
        <v>783</v>
      </c>
      <c r="C422" s="1">
        <v>140310031</v>
      </c>
      <c r="D422" s="1">
        <v>600</v>
      </c>
      <c r="E422" s="12">
        <f>_xlfn.XLOOKUP(packes[[#This Row],[productId]],bom[Id],bom[wgt])</f>
        <v>1.9455252918287937</v>
      </c>
      <c r="F422" s="12">
        <f>packes[[#This Row],[num]]*packes[[#This Row],[wtg]]</f>
        <v>1167.3151750972763</v>
      </c>
      <c r="G422" s="324">
        <v>4</v>
      </c>
      <c r="H422" s="21">
        <f>packes[[#This Row],[num]]-SUM(packes[[#This Row],[num2]])</f>
        <v>600</v>
      </c>
      <c r="I422" s="324"/>
      <c r="J422" s="21"/>
      <c r="K422" s="287" t="s">
        <v>1339</v>
      </c>
    </row>
    <row r="423" spans="1:11" ht="16.5">
      <c r="A423" s="1">
        <v>890</v>
      </c>
      <c r="B423" s="2" t="s">
        <v>783</v>
      </c>
      <c r="C423" s="1">
        <v>140310071</v>
      </c>
      <c r="D423" s="1">
        <v>850</v>
      </c>
      <c r="E423" s="12">
        <f>_xlfn.XLOOKUP(packes[[#This Row],[productId]],bom[Id],bom[wgt])</f>
        <v>1.3</v>
      </c>
      <c r="F423" s="12">
        <f>packes[[#This Row],[num]]*packes[[#This Row],[wtg]]</f>
        <v>1105</v>
      </c>
      <c r="G423" s="324">
        <v>3</v>
      </c>
      <c r="H423" s="21">
        <f>packes[[#This Row],[num]]-SUM(packes[[#This Row],[num2]])</f>
        <v>850</v>
      </c>
      <c r="I423" s="324"/>
      <c r="J423" s="21"/>
      <c r="K423" s="287" t="s">
        <v>1337</v>
      </c>
    </row>
    <row r="424" spans="1:11" ht="16.5">
      <c r="A424" s="1">
        <v>891</v>
      </c>
      <c r="B424" s="2" t="s">
        <v>783</v>
      </c>
      <c r="C424" s="1">
        <v>140450047</v>
      </c>
      <c r="D424" s="1">
        <v>500</v>
      </c>
      <c r="E424" s="12">
        <f>_xlfn.XLOOKUP(packes[[#This Row],[productId]],bom[Id],bom[wgt])</f>
        <v>0</v>
      </c>
      <c r="F424" s="12">
        <f>packes[[#This Row],[num]]*packes[[#This Row],[wtg]]</f>
        <v>0</v>
      </c>
      <c r="G424" s="324">
        <v>4</v>
      </c>
      <c r="H424" s="21">
        <f>packes[[#This Row],[num]]-SUM(packes[[#This Row],[num2]])</f>
        <v>500</v>
      </c>
      <c r="I424" s="324"/>
      <c r="J424" s="21"/>
      <c r="K424" s="287" t="s">
        <v>1338</v>
      </c>
    </row>
    <row r="425" spans="1:11" ht="16.5">
      <c r="A425" s="1">
        <v>892</v>
      </c>
      <c r="B425" s="2" t="s">
        <v>784</v>
      </c>
      <c r="C425" s="1">
        <v>140310007</v>
      </c>
      <c r="D425" s="1">
        <v>1400</v>
      </c>
      <c r="E425" s="12">
        <f>_xlfn.XLOOKUP(packes[[#This Row],[productId]],bom[Id],bom[wgt])</f>
        <v>1.1413748378728923</v>
      </c>
      <c r="F425" s="12">
        <f>packes[[#This Row],[num]]*packes[[#This Row],[wtg]]</f>
        <v>1597.9247730220493</v>
      </c>
      <c r="G425" s="324">
        <v>4</v>
      </c>
      <c r="H425" s="21">
        <f>packes[[#This Row],[num]]-SUM(packes[[#This Row],[num2]])</f>
        <v>1400</v>
      </c>
      <c r="I425" s="324"/>
      <c r="J425" s="21"/>
      <c r="K425" s="287" t="s">
        <v>1341</v>
      </c>
    </row>
    <row r="426" spans="1:11" ht="16.5">
      <c r="A426" s="1">
        <v>893</v>
      </c>
      <c r="B426" s="2" t="s">
        <v>784</v>
      </c>
      <c r="C426" s="1">
        <v>140310031</v>
      </c>
      <c r="D426" s="1">
        <v>700</v>
      </c>
      <c r="E426" s="12">
        <f>_xlfn.XLOOKUP(packes[[#This Row],[productId]],bom[Id],bom[wgt])</f>
        <v>1.9455252918287937</v>
      </c>
      <c r="F426" s="12">
        <f>packes[[#This Row],[num]]*packes[[#This Row],[wtg]]</f>
        <v>1361.8677042801555</v>
      </c>
      <c r="G426" s="324">
        <v>4</v>
      </c>
      <c r="H426" s="21">
        <f>packes[[#This Row],[num]]-SUM(packes[[#This Row],[num2]])</f>
        <v>700</v>
      </c>
      <c r="I426" s="324"/>
      <c r="J426" s="21"/>
      <c r="K426" s="287" t="s">
        <v>1342</v>
      </c>
    </row>
    <row r="427" spans="1:11" ht="16.5">
      <c r="A427" s="1">
        <v>894</v>
      </c>
      <c r="B427" s="2" t="s">
        <v>784</v>
      </c>
      <c r="C427" s="1">
        <v>140310083</v>
      </c>
      <c r="D427" s="1">
        <v>250</v>
      </c>
      <c r="E427" s="12">
        <f>_xlfn.XLOOKUP(packes[[#This Row],[productId]],bom[Id],bom[wgt])</f>
        <v>1.3369250723336326</v>
      </c>
      <c r="F427" s="12">
        <f>packes[[#This Row],[num]]*packes[[#This Row],[wtg]]</f>
        <v>334.23126808340817</v>
      </c>
      <c r="G427" s="324">
        <v>3</v>
      </c>
      <c r="H427" s="21">
        <f>packes[[#This Row],[num]]-SUM(packes[[#This Row],[num2]])</f>
        <v>250</v>
      </c>
      <c r="I427" s="324"/>
      <c r="J427" s="21"/>
      <c r="K427" s="287" t="s">
        <v>1256</v>
      </c>
    </row>
    <row r="428" spans="1:11" ht="16.5">
      <c r="A428" s="1">
        <v>895</v>
      </c>
      <c r="B428" s="2" t="s">
        <v>784</v>
      </c>
      <c r="C428" s="1">
        <v>140450047</v>
      </c>
      <c r="D428" s="1">
        <v>750</v>
      </c>
      <c r="E428" s="12">
        <f>_xlfn.XLOOKUP(packes[[#This Row],[productId]],bom[Id],bom[wgt])</f>
        <v>0</v>
      </c>
      <c r="F428" s="12">
        <f>packes[[#This Row],[num]]*packes[[#This Row],[wtg]]</f>
        <v>0</v>
      </c>
      <c r="G428" s="324">
        <v>4</v>
      </c>
      <c r="H428" s="21">
        <f>packes[[#This Row],[num]]-SUM(packes[[#This Row],[num2]])</f>
        <v>750</v>
      </c>
      <c r="I428" s="324"/>
      <c r="J428" s="21"/>
      <c r="K428" s="287" t="s">
        <v>1343</v>
      </c>
    </row>
    <row r="429" spans="1:11" ht="16.5">
      <c r="A429" s="1">
        <v>896</v>
      </c>
      <c r="B429" s="2" t="s">
        <v>787</v>
      </c>
      <c r="C429" s="1">
        <v>140310007</v>
      </c>
      <c r="D429" s="1">
        <v>600</v>
      </c>
      <c r="E429" s="12">
        <f>_xlfn.XLOOKUP(packes[[#This Row],[productId]],bom[Id],bom[wgt])</f>
        <v>1.1413748378728923</v>
      </c>
      <c r="F429" s="12">
        <f>packes[[#This Row],[num]]*packes[[#This Row],[wtg]]</f>
        <v>684.82490272373536</v>
      </c>
      <c r="G429" s="324">
        <v>4</v>
      </c>
      <c r="H429" s="21">
        <f>packes[[#This Row],[num]]-SUM(packes[[#This Row],[num2]])</f>
        <v>600</v>
      </c>
      <c r="I429" s="324"/>
      <c r="J429" s="21"/>
      <c r="K429" s="287" t="s">
        <v>1367</v>
      </c>
    </row>
    <row r="430" spans="1:11" ht="16.5">
      <c r="A430" s="1">
        <v>897</v>
      </c>
      <c r="B430" s="2" t="s">
        <v>787</v>
      </c>
      <c r="C430" s="1">
        <v>140310031</v>
      </c>
      <c r="D430" s="1">
        <v>300</v>
      </c>
      <c r="E430" s="12">
        <f>_xlfn.XLOOKUP(packes[[#This Row],[productId]],bom[Id],bom[wgt])</f>
        <v>1.9455252918287937</v>
      </c>
      <c r="F430" s="12">
        <f>packes[[#This Row],[num]]*packes[[#This Row],[wtg]]</f>
        <v>583.65758754863816</v>
      </c>
      <c r="G430" s="324">
        <v>4</v>
      </c>
      <c r="H430" s="21">
        <f>packes[[#This Row],[num]]-SUM(packes[[#This Row],[num2]])</f>
        <v>300</v>
      </c>
      <c r="I430" s="324"/>
      <c r="J430" s="21"/>
      <c r="K430" s="287" t="s">
        <v>1368</v>
      </c>
    </row>
    <row r="431" spans="1:11" ht="16.5">
      <c r="A431" s="1">
        <v>898</v>
      </c>
      <c r="B431" s="2" t="s">
        <v>787</v>
      </c>
      <c r="C431" s="1">
        <v>140310071</v>
      </c>
      <c r="D431" s="1">
        <v>550</v>
      </c>
      <c r="E431" s="12">
        <f>_xlfn.XLOOKUP(packes[[#This Row],[productId]],bom[Id],bom[wgt])</f>
        <v>1.3</v>
      </c>
      <c r="F431" s="12">
        <f>packes[[#This Row],[num]]*packes[[#This Row],[wtg]]</f>
        <v>715</v>
      </c>
      <c r="G431" s="324">
        <v>3</v>
      </c>
      <c r="H431" s="21">
        <f>packes[[#This Row],[num]]-SUM(packes[[#This Row],[num2]])</f>
        <v>550</v>
      </c>
      <c r="I431" s="324"/>
      <c r="J431" s="21"/>
      <c r="K431" s="287" t="s">
        <v>1369</v>
      </c>
    </row>
    <row r="432" spans="1:11" ht="16.5">
      <c r="A432" s="1">
        <v>899</v>
      </c>
      <c r="B432" s="2" t="s">
        <v>787</v>
      </c>
      <c r="C432" s="1">
        <v>140310083</v>
      </c>
      <c r="D432" s="1">
        <v>600</v>
      </c>
      <c r="E432" s="12">
        <f>_xlfn.XLOOKUP(packes[[#This Row],[productId]],bom[Id],bom[wgt])</f>
        <v>1.3369250723336326</v>
      </c>
      <c r="F432" s="12">
        <f>packes[[#This Row],[num]]*packes[[#This Row],[wtg]]</f>
        <v>802.15504340017958</v>
      </c>
      <c r="G432" s="324">
        <v>3</v>
      </c>
      <c r="H432" s="21">
        <f>packes[[#This Row],[num]]-SUM(packes[[#This Row],[num2]])</f>
        <v>600</v>
      </c>
      <c r="I432" s="324"/>
      <c r="J432" s="21"/>
      <c r="K432" s="287" t="s">
        <v>1370</v>
      </c>
    </row>
    <row r="433" spans="1:11" ht="16.5">
      <c r="A433" s="1">
        <v>900</v>
      </c>
      <c r="B433" s="2" t="s">
        <v>787</v>
      </c>
      <c r="C433" s="1">
        <v>140450047</v>
      </c>
      <c r="D433" s="1">
        <v>800</v>
      </c>
      <c r="E433" s="12">
        <f>_xlfn.XLOOKUP(packes[[#This Row],[productId]],bom[Id],bom[wgt])</f>
        <v>0</v>
      </c>
      <c r="F433" s="12">
        <f>packes[[#This Row],[num]]*packes[[#This Row],[wtg]]</f>
        <v>0</v>
      </c>
      <c r="G433" s="324">
        <v>4</v>
      </c>
      <c r="H433" s="21">
        <f>packes[[#This Row],[num]]-SUM(packes[[#This Row],[num2]])</f>
        <v>800</v>
      </c>
      <c r="I433" s="324"/>
      <c r="J433" s="21"/>
      <c r="K433" s="287" t="s">
        <v>1371</v>
      </c>
    </row>
    <row r="434" spans="1:11" ht="16.5">
      <c r="A434" s="1">
        <v>901</v>
      </c>
      <c r="B434" s="2" t="s">
        <v>788</v>
      </c>
      <c r="C434" s="1">
        <v>140310007</v>
      </c>
      <c r="D434" s="1">
        <v>750</v>
      </c>
      <c r="E434" s="12">
        <f>_xlfn.XLOOKUP(packes[[#This Row],[productId]],bom[Id],bom[wgt])</f>
        <v>1.1413748378728923</v>
      </c>
      <c r="F434" s="12">
        <f>packes[[#This Row],[num]]*packes[[#This Row],[wtg]]</f>
        <v>856.03112840466918</v>
      </c>
      <c r="G434" s="324">
        <v>4</v>
      </c>
      <c r="H434" s="21">
        <f>packes[[#This Row],[num]]-SUM(packes[[#This Row],[num2]])</f>
        <v>750</v>
      </c>
      <c r="I434" s="324"/>
      <c r="J434" s="21"/>
      <c r="K434" s="287" t="s">
        <v>1381</v>
      </c>
    </row>
    <row r="435" spans="1:11" ht="16.5">
      <c r="A435" s="1">
        <v>902</v>
      </c>
      <c r="B435" s="2" t="s">
        <v>788</v>
      </c>
      <c r="C435" s="1">
        <v>140310031</v>
      </c>
      <c r="D435" s="1">
        <v>1100</v>
      </c>
      <c r="E435" s="12">
        <f>_xlfn.XLOOKUP(packes[[#This Row],[productId]],bom[Id],bom[wgt])</f>
        <v>1.9455252918287937</v>
      </c>
      <c r="F435" s="12">
        <f>packes[[#This Row],[num]]*packes[[#This Row],[wtg]]</f>
        <v>2140.0778210116732</v>
      </c>
      <c r="G435" s="324">
        <v>4</v>
      </c>
      <c r="H435" s="21">
        <f>packes[[#This Row],[num]]-SUM(packes[[#This Row],[num2]])</f>
        <v>1100</v>
      </c>
      <c r="I435" s="324"/>
      <c r="J435" s="21"/>
      <c r="K435" s="287" t="s">
        <v>1382</v>
      </c>
    </row>
    <row r="436" spans="1:11" ht="16.5">
      <c r="A436" s="1">
        <v>903</v>
      </c>
      <c r="B436" s="2" t="s">
        <v>788</v>
      </c>
      <c r="C436" s="1">
        <v>140310071</v>
      </c>
      <c r="D436" s="1">
        <v>300</v>
      </c>
      <c r="E436" s="12">
        <f>_xlfn.XLOOKUP(packes[[#This Row],[productId]],bom[Id],bom[wgt])</f>
        <v>1.3</v>
      </c>
      <c r="F436" s="12">
        <f>packes[[#This Row],[num]]*packes[[#This Row],[wtg]]</f>
        <v>390</v>
      </c>
      <c r="G436" s="324">
        <v>3</v>
      </c>
      <c r="H436" s="21">
        <f>packes[[#This Row],[num]]-SUM(packes[[#This Row],[num2]])</f>
        <v>300</v>
      </c>
      <c r="I436" s="324"/>
      <c r="J436" s="21"/>
      <c r="K436" s="287" t="s">
        <v>1383</v>
      </c>
    </row>
    <row r="437" spans="1:11" ht="16.5">
      <c r="A437" s="1">
        <v>904</v>
      </c>
      <c r="B437" s="2" t="s">
        <v>788</v>
      </c>
      <c r="C437" s="1">
        <v>140450047</v>
      </c>
      <c r="D437" s="1">
        <v>550</v>
      </c>
      <c r="E437" s="12">
        <f>_xlfn.XLOOKUP(packes[[#This Row],[productId]],bom[Id],bom[wgt])</f>
        <v>0</v>
      </c>
      <c r="F437" s="12">
        <f>packes[[#This Row],[num]]*packes[[#This Row],[wtg]]</f>
        <v>0</v>
      </c>
      <c r="G437" s="324">
        <v>4</v>
      </c>
      <c r="H437" s="21">
        <f>packes[[#This Row],[num]]-SUM(packes[[#This Row],[num2]])</f>
        <v>550</v>
      </c>
      <c r="I437" s="324"/>
      <c r="J437" s="21"/>
      <c r="K437" s="287" t="s">
        <v>1384</v>
      </c>
    </row>
    <row r="438" spans="1:11" ht="16.5">
      <c r="A438" s="1">
        <v>905</v>
      </c>
      <c r="B438" s="2" t="s">
        <v>788</v>
      </c>
      <c r="C438" s="1">
        <v>140640007</v>
      </c>
      <c r="D438" s="1">
        <v>150</v>
      </c>
      <c r="E438" s="12">
        <f>_xlfn.XLOOKUP(packes[[#This Row],[productId]],bom[Id],bom[wgt])</f>
        <v>1.1413748378728923</v>
      </c>
      <c r="F438" s="12">
        <f>packes[[#This Row],[num]]*packes[[#This Row],[wtg]]</f>
        <v>171.20622568093384</v>
      </c>
      <c r="G438" s="324">
        <v>2</v>
      </c>
      <c r="H438" s="21">
        <f>packes[[#This Row],[num]]-SUM(packes[[#This Row],[num2]])</f>
        <v>150</v>
      </c>
      <c r="I438" s="324"/>
      <c r="J438" s="21"/>
      <c r="K438" s="287" t="s">
        <v>1385</v>
      </c>
    </row>
    <row r="439" spans="1:11" ht="16.5">
      <c r="A439" s="1">
        <v>906</v>
      </c>
      <c r="B439" s="2" t="s">
        <v>789</v>
      </c>
      <c r="C439" s="1">
        <v>140010255</v>
      </c>
      <c r="D439" s="1">
        <v>300</v>
      </c>
      <c r="E439" s="12">
        <f>_xlfn.XLOOKUP(packes[[#This Row],[productId]],bom[Id],bom[wgt])</f>
        <v>1</v>
      </c>
      <c r="F439" s="12">
        <f>packes[[#This Row],[num]]*packes[[#This Row],[wtg]]</f>
        <v>300</v>
      </c>
      <c r="G439" s="324">
        <v>5</v>
      </c>
      <c r="H439" s="21">
        <f>packes[[#This Row],[num]]-SUM(packes[[#This Row],[num2]])</f>
        <v>300</v>
      </c>
      <c r="I439" s="324"/>
      <c r="J439" s="21"/>
      <c r="K439" s="287"/>
    </row>
    <row r="440" spans="1:11" ht="16.5">
      <c r="A440" s="1">
        <v>907</v>
      </c>
      <c r="B440" s="2" t="s">
        <v>789</v>
      </c>
      <c r="C440" s="1">
        <v>140310007</v>
      </c>
      <c r="D440" s="1">
        <v>1100</v>
      </c>
      <c r="E440" s="12">
        <f>_xlfn.XLOOKUP(packes[[#This Row],[productId]],bom[Id],bom[wgt])</f>
        <v>1.1413748378728923</v>
      </c>
      <c r="F440" s="12">
        <f>packes[[#This Row],[num]]*packes[[#This Row],[wtg]]</f>
        <v>1255.5123216601814</v>
      </c>
      <c r="G440" s="324">
        <v>4</v>
      </c>
      <c r="H440" s="21">
        <f>packes[[#This Row],[num]]-SUM(packes[[#This Row],[num2]])</f>
        <v>1100</v>
      </c>
      <c r="I440" s="324"/>
      <c r="J440" s="21"/>
      <c r="K440" s="287" t="s">
        <v>1387</v>
      </c>
    </row>
    <row r="441" spans="1:11" ht="16.5">
      <c r="A441" s="1">
        <v>908</v>
      </c>
      <c r="B441" s="2" t="s">
        <v>789</v>
      </c>
      <c r="C441" s="1">
        <v>140310071</v>
      </c>
      <c r="D441" s="1">
        <v>1500</v>
      </c>
      <c r="E441" s="12">
        <f>_xlfn.XLOOKUP(packes[[#This Row],[productId]],bom[Id],bom[wgt])</f>
        <v>1.3</v>
      </c>
      <c r="F441" s="12">
        <f>packes[[#This Row],[num]]*packes[[#This Row],[wtg]]</f>
        <v>1950</v>
      </c>
      <c r="G441" s="324">
        <v>3</v>
      </c>
      <c r="H441" s="21">
        <f>packes[[#This Row],[num]]-SUM(packes[[#This Row],[num2]])</f>
        <v>1500</v>
      </c>
      <c r="I441" s="324"/>
      <c r="J441" s="21"/>
      <c r="K441" s="287" t="s">
        <v>1388</v>
      </c>
    </row>
    <row r="442" spans="1:11" ht="16.5">
      <c r="A442" s="1">
        <v>909</v>
      </c>
      <c r="B442" s="2" t="s">
        <v>789</v>
      </c>
      <c r="C442" s="1">
        <v>140310083</v>
      </c>
      <c r="D442" s="1">
        <v>50</v>
      </c>
      <c r="E442" s="12">
        <f>_xlfn.XLOOKUP(packes[[#This Row],[productId]],bom[Id],bom[wgt])</f>
        <v>1.3369250723336326</v>
      </c>
      <c r="F442" s="12">
        <f>packes[[#This Row],[num]]*packes[[#This Row],[wtg]]</f>
        <v>66.846253616681622</v>
      </c>
      <c r="G442" s="324">
        <v>3</v>
      </c>
      <c r="H442" s="21">
        <f>packes[[#This Row],[num]]-SUM(packes[[#This Row],[num2]])</f>
        <v>50</v>
      </c>
      <c r="I442" s="324"/>
      <c r="J442" s="21"/>
      <c r="K442" s="287" t="s">
        <v>1389</v>
      </c>
    </row>
    <row r="443" spans="1:11" ht="16.5">
      <c r="A443" s="1">
        <v>910</v>
      </c>
      <c r="B443" s="2" t="s">
        <v>789</v>
      </c>
      <c r="C443" s="1">
        <v>140450047</v>
      </c>
      <c r="D443" s="1">
        <v>650</v>
      </c>
      <c r="E443" s="12">
        <f>_xlfn.XLOOKUP(packes[[#This Row],[productId]],bom[Id],bom[wgt])</f>
        <v>0</v>
      </c>
      <c r="F443" s="12">
        <f>packes[[#This Row],[num]]*packes[[#This Row],[wtg]]</f>
        <v>0</v>
      </c>
      <c r="G443" s="324">
        <v>4</v>
      </c>
      <c r="H443" s="21">
        <f>packes[[#This Row],[num]]-SUM(packes[[#This Row],[num2]])</f>
        <v>650</v>
      </c>
      <c r="I443" s="324"/>
      <c r="J443" s="21"/>
      <c r="K443" s="287" t="s">
        <v>1390</v>
      </c>
    </row>
    <row r="444" spans="1:11" ht="16.5">
      <c r="A444" s="1">
        <v>911</v>
      </c>
      <c r="B444" s="2" t="s">
        <v>790</v>
      </c>
      <c r="C444" s="1">
        <v>140010255</v>
      </c>
      <c r="D444" s="1">
        <v>400</v>
      </c>
      <c r="E444" s="12">
        <f>_xlfn.XLOOKUP(packes[[#This Row],[productId]],bom[Id],bom[wgt])</f>
        <v>1</v>
      </c>
      <c r="F444" s="12">
        <f>packes[[#This Row],[num]]*packes[[#This Row],[wtg]]</f>
        <v>400</v>
      </c>
      <c r="G444" s="324">
        <v>5</v>
      </c>
      <c r="H444" s="21">
        <f>packes[[#This Row],[num]]-SUM(packes[[#This Row],[num2]])</f>
        <v>400</v>
      </c>
      <c r="I444" s="324"/>
      <c r="J444" s="21"/>
      <c r="K444" s="287"/>
    </row>
    <row r="445" spans="1:11" ht="16.5">
      <c r="A445" s="1">
        <v>912</v>
      </c>
      <c r="B445" s="2" t="s">
        <v>790</v>
      </c>
      <c r="C445" s="1">
        <v>140310007</v>
      </c>
      <c r="D445" s="1">
        <v>1450</v>
      </c>
      <c r="E445" s="12">
        <f>_xlfn.XLOOKUP(packes[[#This Row],[productId]],bom[Id],bom[wgt])</f>
        <v>1.1413748378728923</v>
      </c>
      <c r="F445" s="12">
        <f>packes[[#This Row],[num]]*packes[[#This Row],[wtg]]</f>
        <v>1654.9935149156938</v>
      </c>
      <c r="G445" s="324">
        <v>4</v>
      </c>
      <c r="H445" s="21">
        <f>packes[[#This Row],[num]]-SUM(packes[[#This Row],[num2]])</f>
        <v>1450</v>
      </c>
      <c r="I445" s="324"/>
      <c r="J445" s="21"/>
      <c r="K445" s="287" t="s">
        <v>1391</v>
      </c>
    </row>
    <row r="446" spans="1:11" ht="16.5">
      <c r="A446" s="1">
        <v>913</v>
      </c>
      <c r="B446" s="2" t="s">
        <v>790</v>
      </c>
      <c r="C446" s="1">
        <v>140310031</v>
      </c>
      <c r="D446" s="1">
        <v>500</v>
      </c>
      <c r="E446" s="12">
        <f>_xlfn.XLOOKUP(packes[[#This Row],[productId]],bom[Id],bom[wgt])</f>
        <v>1.9455252918287937</v>
      </c>
      <c r="F446" s="12">
        <f>packes[[#This Row],[num]]*packes[[#This Row],[wtg]]</f>
        <v>972.7626459143969</v>
      </c>
      <c r="G446" s="324">
        <v>4</v>
      </c>
      <c r="H446" s="21">
        <f>packes[[#This Row],[num]]-SUM(packes[[#This Row],[num2]])</f>
        <v>500</v>
      </c>
      <c r="I446" s="324"/>
      <c r="J446" s="21"/>
      <c r="K446" s="287" t="s">
        <v>1392</v>
      </c>
    </row>
    <row r="447" spans="1:11" ht="16.5">
      <c r="A447" s="1">
        <v>914</v>
      </c>
      <c r="B447" s="2" t="s">
        <v>790</v>
      </c>
      <c r="C447" s="1">
        <v>140310071</v>
      </c>
      <c r="D447" s="1">
        <v>1500</v>
      </c>
      <c r="E447" s="12">
        <f>_xlfn.XLOOKUP(packes[[#This Row],[productId]],bom[Id],bom[wgt])</f>
        <v>1.3</v>
      </c>
      <c r="F447" s="12">
        <f>packes[[#This Row],[num]]*packes[[#This Row],[wtg]]</f>
        <v>1950</v>
      </c>
      <c r="G447" s="324">
        <v>3</v>
      </c>
      <c r="H447" s="21">
        <f>packes[[#This Row],[num]]-SUM(packes[[#This Row],[num2]])</f>
        <v>1500</v>
      </c>
      <c r="I447" s="324"/>
      <c r="J447" s="21"/>
      <c r="K447" s="287" t="s">
        <v>1393</v>
      </c>
    </row>
    <row r="448" spans="1:11" ht="16.5">
      <c r="A448" s="1">
        <v>915</v>
      </c>
      <c r="B448" s="2" t="s">
        <v>791</v>
      </c>
      <c r="C448" s="1">
        <v>140310007</v>
      </c>
      <c r="D448" s="1">
        <v>150</v>
      </c>
      <c r="E448" s="12">
        <f>_xlfn.XLOOKUP(packes[[#This Row],[productId]],bom[Id],bom[wgt])</f>
        <v>1.1413748378728923</v>
      </c>
      <c r="F448" s="12">
        <f>packes[[#This Row],[num]]*packes[[#This Row],[wtg]]</f>
        <v>171.20622568093384</v>
      </c>
      <c r="G448" s="324">
        <v>4</v>
      </c>
      <c r="H448" s="21">
        <f>packes[[#This Row],[num]]-SUM(packes[[#This Row],[num2]])</f>
        <v>150</v>
      </c>
      <c r="I448" s="324"/>
      <c r="J448" s="21"/>
      <c r="K448" s="287" t="s">
        <v>1394</v>
      </c>
    </row>
    <row r="449" spans="1:11" ht="16.5">
      <c r="A449" s="1">
        <v>916</v>
      </c>
      <c r="B449" s="2" t="s">
        <v>791</v>
      </c>
      <c r="C449" s="1">
        <v>140310031</v>
      </c>
      <c r="D449" s="1">
        <v>600</v>
      </c>
      <c r="E449" s="12">
        <f>_xlfn.XLOOKUP(packes[[#This Row],[productId]],bom[Id],bom[wgt])</f>
        <v>1.9455252918287937</v>
      </c>
      <c r="F449" s="12">
        <f>packes[[#This Row],[num]]*packes[[#This Row],[wtg]]</f>
        <v>1167.3151750972763</v>
      </c>
      <c r="G449" s="324">
        <v>4</v>
      </c>
      <c r="H449" s="21">
        <f>packes[[#This Row],[num]]-SUM(packes[[#This Row],[num2]])</f>
        <v>600</v>
      </c>
      <c r="I449" s="324"/>
      <c r="J449" s="21"/>
      <c r="K449" s="287" t="s">
        <v>1395</v>
      </c>
    </row>
    <row r="450" spans="1:11" ht="16.5">
      <c r="A450" s="1">
        <v>917</v>
      </c>
      <c r="B450" s="2" t="s">
        <v>791</v>
      </c>
      <c r="C450" s="1">
        <v>140310071</v>
      </c>
      <c r="D450" s="1">
        <v>1500</v>
      </c>
      <c r="E450" s="12">
        <f>_xlfn.XLOOKUP(packes[[#This Row],[productId]],bom[Id],bom[wgt])</f>
        <v>1.3</v>
      </c>
      <c r="F450" s="12">
        <f>packes[[#This Row],[num]]*packes[[#This Row],[wtg]]</f>
        <v>1950</v>
      </c>
      <c r="G450" s="324">
        <v>3</v>
      </c>
      <c r="H450" s="21">
        <f>packes[[#This Row],[num]]-SUM(packes[[#This Row],[num2]])</f>
        <v>1500</v>
      </c>
      <c r="I450" s="324"/>
      <c r="J450" s="21"/>
      <c r="K450" s="287" t="s">
        <v>1396</v>
      </c>
    </row>
    <row r="451" spans="1:11" ht="16.5">
      <c r="A451" s="1">
        <v>918</v>
      </c>
      <c r="B451" s="2" t="s">
        <v>791</v>
      </c>
      <c r="C451" s="1">
        <v>140450047</v>
      </c>
      <c r="D451" s="1">
        <v>1750</v>
      </c>
      <c r="E451" s="12">
        <f>_xlfn.XLOOKUP(packes[[#This Row],[productId]],bom[Id],bom[wgt])</f>
        <v>0</v>
      </c>
      <c r="F451" s="12">
        <f>packes[[#This Row],[num]]*packes[[#This Row],[wtg]]</f>
        <v>0</v>
      </c>
      <c r="G451" s="324">
        <v>4</v>
      </c>
      <c r="H451" s="21">
        <f>packes[[#This Row],[num]]-SUM(packes[[#This Row],[num2]])</f>
        <v>1750</v>
      </c>
      <c r="I451" s="324"/>
      <c r="J451" s="21"/>
      <c r="K451" s="287" t="s">
        <v>1397</v>
      </c>
    </row>
    <row r="452" spans="1:11" ht="16.5">
      <c r="A452" s="1">
        <v>919</v>
      </c>
      <c r="B452" s="2" t="s">
        <v>794</v>
      </c>
      <c r="C452" s="1">
        <v>140310071</v>
      </c>
      <c r="D452" s="1">
        <v>3000</v>
      </c>
      <c r="E452" s="12">
        <f>_xlfn.XLOOKUP(packes[[#This Row],[productId]],bom[Id],bom[wgt])</f>
        <v>1.3</v>
      </c>
      <c r="F452" s="12">
        <f>packes[[#This Row],[num]]*packes[[#This Row],[wtg]]</f>
        <v>3900</v>
      </c>
      <c r="G452" s="324">
        <v>3</v>
      </c>
      <c r="H452" s="21">
        <f>packes[[#This Row],[num]]-SUM(packes[[#This Row],[num2]])</f>
        <v>3000</v>
      </c>
      <c r="I452" s="324"/>
      <c r="J452" s="21"/>
      <c r="K452" s="287" t="s">
        <v>1400</v>
      </c>
    </row>
    <row r="453" spans="1:11" ht="16.5">
      <c r="A453" s="1">
        <v>920</v>
      </c>
      <c r="B453" s="2" t="s">
        <v>794</v>
      </c>
      <c r="C453" s="1">
        <v>140450047</v>
      </c>
      <c r="D453" s="1">
        <v>750</v>
      </c>
      <c r="E453" s="12">
        <f>_xlfn.XLOOKUP(packes[[#This Row],[productId]],bom[Id],bom[wgt])</f>
        <v>0</v>
      </c>
      <c r="F453" s="12">
        <f>packes[[#This Row],[num]]*packes[[#This Row],[wtg]]</f>
        <v>0</v>
      </c>
      <c r="G453" s="324">
        <v>4</v>
      </c>
      <c r="H453" s="21">
        <f>packes[[#This Row],[num]]-SUM(packes[[#This Row],[num2]])</f>
        <v>750</v>
      </c>
      <c r="I453" s="324"/>
      <c r="J453" s="21"/>
      <c r="K453" s="287" t="s">
        <v>1401</v>
      </c>
    </row>
    <row r="454" spans="1:11" ht="16.5">
      <c r="A454" s="1">
        <v>921</v>
      </c>
      <c r="B454" s="2" t="s">
        <v>795</v>
      </c>
      <c r="C454" s="1">
        <v>140010117</v>
      </c>
      <c r="D454" s="1">
        <v>75</v>
      </c>
      <c r="E454" s="12">
        <f>_xlfn.XLOOKUP(packes[[#This Row],[productId]],bom[Id],bom[wgt])</f>
        <v>1</v>
      </c>
      <c r="F454" s="12">
        <f>packes[[#This Row],[num]]*packes[[#This Row],[wtg]]</f>
        <v>75</v>
      </c>
      <c r="G454" s="324">
        <v>4</v>
      </c>
      <c r="H454" s="21">
        <f>packes[[#This Row],[num]]-SUM(packes[[#This Row],[num2]])</f>
        <v>75</v>
      </c>
      <c r="I454" s="324"/>
      <c r="J454" s="21"/>
      <c r="K454" s="287" t="s">
        <v>1415</v>
      </c>
    </row>
    <row r="455" spans="1:11" ht="16.5">
      <c r="A455" s="1">
        <v>922</v>
      </c>
      <c r="B455" s="2" t="s">
        <v>795</v>
      </c>
      <c r="C455" s="1">
        <v>140010230</v>
      </c>
      <c r="D455" s="1">
        <v>400</v>
      </c>
      <c r="E455" s="12">
        <f>_xlfn.XLOOKUP(packes[[#This Row],[productId]],bom[Id],bom[wgt])</f>
        <v>1.4486680634540554</v>
      </c>
      <c r="F455" s="12">
        <f>packes[[#This Row],[num]]*packes[[#This Row],[wtg]]</f>
        <v>579.46722538162214</v>
      </c>
      <c r="G455" s="324">
        <v>5</v>
      </c>
      <c r="H455" s="21">
        <f>packes[[#This Row],[num]]-SUM(packes[[#This Row],[num2]])</f>
        <v>400</v>
      </c>
      <c r="I455" s="324"/>
      <c r="J455" s="21"/>
      <c r="K455" s="287" t="s">
        <v>1416</v>
      </c>
    </row>
    <row r="456" spans="1:11" ht="16.5">
      <c r="A456" s="1">
        <v>923</v>
      </c>
      <c r="B456" s="2" t="s">
        <v>795</v>
      </c>
      <c r="C456" s="1">
        <v>140310007</v>
      </c>
      <c r="D456" s="1">
        <v>2700</v>
      </c>
      <c r="E456" s="12">
        <f>_xlfn.XLOOKUP(packes[[#This Row],[productId]],bom[Id],bom[wgt])</f>
        <v>1.1413748378728923</v>
      </c>
      <c r="F456" s="12">
        <f>packes[[#This Row],[num]]*packes[[#This Row],[wtg]]</f>
        <v>3081.7120622568091</v>
      </c>
      <c r="G456" s="324">
        <v>4</v>
      </c>
      <c r="H456" s="21">
        <f>packes[[#This Row],[num]]-SUM(packes[[#This Row],[num2]])</f>
        <v>2700</v>
      </c>
      <c r="I456" s="324"/>
      <c r="J456" s="21"/>
      <c r="K456" s="287" t="s">
        <v>1417</v>
      </c>
    </row>
    <row r="457" spans="1:11" ht="16.5">
      <c r="A457" s="1">
        <v>924</v>
      </c>
      <c r="B457" s="2" t="s">
        <v>795</v>
      </c>
      <c r="C457" s="1">
        <v>140310031</v>
      </c>
      <c r="D457" s="1">
        <v>700</v>
      </c>
      <c r="E457" s="12">
        <f>_xlfn.XLOOKUP(packes[[#This Row],[productId]],bom[Id],bom[wgt])</f>
        <v>1.9455252918287937</v>
      </c>
      <c r="F457" s="12">
        <f>packes[[#This Row],[num]]*packes[[#This Row],[wtg]]</f>
        <v>1361.8677042801555</v>
      </c>
      <c r="G457" s="324">
        <v>4</v>
      </c>
      <c r="H457" s="21">
        <f>packes[[#This Row],[num]]-SUM(packes[[#This Row],[num2]])</f>
        <v>700</v>
      </c>
      <c r="I457" s="324"/>
      <c r="J457" s="21"/>
      <c r="K457" s="287" t="s">
        <v>1418</v>
      </c>
    </row>
    <row r="458" spans="1:11" ht="16.5">
      <c r="A458" s="1">
        <v>925</v>
      </c>
      <c r="B458" s="2" t="s">
        <v>795</v>
      </c>
      <c r="C458" s="1">
        <v>140550056</v>
      </c>
      <c r="D458" s="1">
        <v>30</v>
      </c>
      <c r="E458" s="12" t="e">
        <f>_xlfn.XLOOKUP(packes[[#This Row],[productId]],bom[Id],bom[wgt])</f>
        <v>#N/A</v>
      </c>
      <c r="F458" s="12" t="e">
        <f>packes[[#This Row],[num]]*packes[[#This Row],[wtg]]</f>
        <v>#N/A</v>
      </c>
      <c r="G458" s="324"/>
      <c r="H458" s="21">
        <f>packes[[#This Row],[num]]-SUM(packes[[#This Row],[num2]])</f>
        <v>30</v>
      </c>
      <c r="I458" s="324"/>
      <c r="J458" s="21"/>
      <c r="K458" s="287"/>
    </row>
    <row r="459" spans="1:11" ht="16.5">
      <c r="A459" s="1">
        <v>926</v>
      </c>
      <c r="B459" s="2" t="s">
        <v>796</v>
      </c>
      <c r="C459" s="1">
        <v>140310007</v>
      </c>
      <c r="D459" s="1">
        <v>1650</v>
      </c>
      <c r="E459" s="12">
        <f>_xlfn.XLOOKUP(packes[[#This Row],[productId]],bom[Id],bom[wgt])</f>
        <v>1.1413748378728923</v>
      </c>
      <c r="F459" s="12">
        <f>packes[[#This Row],[num]]*packes[[#This Row],[wtg]]</f>
        <v>1883.2684824902724</v>
      </c>
      <c r="G459" s="324">
        <v>4</v>
      </c>
      <c r="H459" s="21">
        <f>packes[[#This Row],[num]]-SUM(packes[[#This Row],[num2]])</f>
        <v>1650</v>
      </c>
      <c r="I459" s="324"/>
      <c r="J459" s="21"/>
      <c r="K459" s="287" t="s">
        <v>1419</v>
      </c>
    </row>
    <row r="460" spans="1:11" ht="16.5">
      <c r="A460" s="1">
        <v>927</v>
      </c>
      <c r="B460" s="2" t="s">
        <v>796</v>
      </c>
      <c r="C460" s="1">
        <v>140310031</v>
      </c>
      <c r="D460" s="1">
        <v>800</v>
      </c>
      <c r="E460" s="12">
        <f>_xlfn.XLOOKUP(packes[[#This Row],[productId]],bom[Id],bom[wgt])</f>
        <v>1.9455252918287937</v>
      </c>
      <c r="F460" s="12">
        <f>packes[[#This Row],[num]]*packes[[#This Row],[wtg]]</f>
        <v>1556.4202334630349</v>
      </c>
      <c r="G460" s="324">
        <v>4</v>
      </c>
      <c r="H460" s="21">
        <f>packes[[#This Row],[num]]-SUM(packes[[#This Row],[num2]])</f>
        <v>800</v>
      </c>
      <c r="I460" s="324"/>
      <c r="J460" s="21"/>
      <c r="K460" s="287" t="s">
        <v>1420</v>
      </c>
    </row>
    <row r="461" spans="1:11" ht="16.5">
      <c r="A461" s="1">
        <v>928</v>
      </c>
      <c r="B461" s="2" t="s">
        <v>796</v>
      </c>
      <c r="C461" s="1">
        <v>140310071</v>
      </c>
      <c r="D461" s="1">
        <v>700</v>
      </c>
      <c r="E461" s="12">
        <f>_xlfn.XLOOKUP(packes[[#This Row],[productId]],bom[Id],bom[wgt])</f>
        <v>1.3</v>
      </c>
      <c r="F461" s="12">
        <f>packes[[#This Row],[num]]*packes[[#This Row],[wtg]]</f>
        <v>910</v>
      </c>
      <c r="G461" s="324">
        <v>3</v>
      </c>
      <c r="H461" s="21">
        <f>packes[[#This Row],[num]]-SUM(packes[[#This Row],[num2]])</f>
        <v>700</v>
      </c>
      <c r="I461" s="324"/>
      <c r="J461" s="21"/>
      <c r="K461" s="287" t="s">
        <v>1421</v>
      </c>
    </row>
    <row r="462" spans="1:11" ht="16.5">
      <c r="A462" s="1">
        <v>929</v>
      </c>
      <c r="B462" s="2" t="s">
        <v>796</v>
      </c>
      <c r="C462" s="1">
        <v>140450047</v>
      </c>
      <c r="D462" s="1">
        <v>600</v>
      </c>
      <c r="E462" s="12">
        <f>_xlfn.XLOOKUP(packes[[#This Row],[productId]],bom[Id],bom[wgt])</f>
        <v>0</v>
      </c>
      <c r="F462" s="12">
        <f>packes[[#This Row],[num]]*packes[[#This Row],[wtg]]</f>
        <v>0</v>
      </c>
      <c r="G462" s="324">
        <v>4</v>
      </c>
      <c r="H462" s="21">
        <f>packes[[#This Row],[num]]-SUM(packes[[#This Row],[num2]])</f>
        <v>600</v>
      </c>
      <c r="I462" s="324"/>
      <c r="J462" s="21"/>
      <c r="K462" s="287" t="s">
        <v>1422</v>
      </c>
    </row>
    <row r="463" spans="1:11" ht="16.5">
      <c r="A463" s="1">
        <v>930</v>
      </c>
      <c r="B463" s="2" t="s">
        <v>797</v>
      </c>
      <c r="C463" s="1">
        <v>140310007</v>
      </c>
      <c r="D463" s="1">
        <v>1100</v>
      </c>
      <c r="E463" s="12">
        <f>_xlfn.XLOOKUP(packes[[#This Row],[productId]],bom[Id],bom[wgt])</f>
        <v>1.1413748378728923</v>
      </c>
      <c r="F463" s="12">
        <f>packes[[#This Row],[num]]*packes[[#This Row],[wtg]]</f>
        <v>1255.5123216601814</v>
      </c>
      <c r="G463" s="324">
        <v>4</v>
      </c>
      <c r="H463" s="21">
        <f>packes[[#This Row],[num]]-SUM(packes[[#This Row],[num2]])</f>
        <v>1100</v>
      </c>
      <c r="I463" s="324"/>
      <c r="J463" s="21"/>
      <c r="K463" s="287" t="s">
        <v>1427</v>
      </c>
    </row>
    <row r="464" spans="1:11" ht="16.5">
      <c r="A464" s="1">
        <v>931</v>
      </c>
      <c r="B464" s="2" t="s">
        <v>797</v>
      </c>
      <c r="C464" s="1">
        <v>140310031</v>
      </c>
      <c r="D464" s="1">
        <v>50</v>
      </c>
      <c r="E464" s="12">
        <f>_xlfn.XLOOKUP(packes[[#This Row],[productId]],bom[Id],bom[wgt])</f>
        <v>1.9455252918287937</v>
      </c>
      <c r="F464" s="12">
        <f>packes[[#This Row],[num]]*packes[[#This Row],[wtg]]</f>
        <v>97.276264591439684</v>
      </c>
      <c r="G464" s="324">
        <v>4</v>
      </c>
      <c r="H464" s="21">
        <f>packes[[#This Row],[num]]-SUM(packes[[#This Row],[num2]])</f>
        <v>50</v>
      </c>
      <c r="I464" s="324"/>
      <c r="J464" s="21"/>
      <c r="K464" s="287" t="s">
        <v>1273</v>
      </c>
    </row>
    <row r="465" spans="1:11" ht="16.5">
      <c r="A465" s="1">
        <v>932</v>
      </c>
      <c r="B465" s="2" t="s">
        <v>797</v>
      </c>
      <c r="C465" s="1">
        <v>140310071</v>
      </c>
      <c r="D465" s="1">
        <v>2200</v>
      </c>
      <c r="E465" s="12">
        <f>_xlfn.XLOOKUP(packes[[#This Row],[productId]],bom[Id],bom[wgt])</f>
        <v>1.3</v>
      </c>
      <c r="F465" s="12">
        <f>packes[[#This Row],[num]]*packes[[#This Row],[wtg]]</f>
        <v>2860</v>
      </c>
      <c r="G465" s="324">
        <v>3</v>
      </c>
      <c r="H465" s="21">
        <f>packes[[#This Row],[num]]-SUM(packes[[#This Row],[num2]])</f>
        <v>2200</v>
      </c>
      <c r="I465" s="324"/>
      <c r="J465" s="21"/>
      <c r="K465" s="287" t="s">
        <v>1428</v>
      </c>
    </row>
    <row r="466" spans="1:11" ht="16.5">
      <c r="A466" s="1">
        <v>933</v>
      </c>
      <c r="B466" s="2" t="s">
        <v>797</v>
      </c>
      <c r="C466" s="1">
        <v>140450047</v>
      </c>
      <c r="D466" s="1">
        <v>200</v>
      </c>
      <c r="E466" s="12">
        <f>_xlfn.XLOOKUP(packes[[#This Row],[productId]],bom[Id],bom[wgt])</f>
        <v>0</v>
      </c>
      <c r="F466" s="12">
        <f>packes[[#This Row],[num]]*packes[[#This Row],[wtg]]</f>
        <v>0</v>
      </c>
      <c r="G466" s="324">
        <v>4</v>
      </c>
      <c r="H466" s="21">
        <f>packes[[#This Row],[num]]-SUM(packes[[#This Row],[num2]])</f>
        <v>200</v>
      </c>
      <c r="I466" s="324"/>
      <c r="J466" s="21"/>
      <c r="K466" s="287" t="s">
        <v>1429</v>
      </c>
    </row>
    <row r="467" spans="1:11" ht="16.5">
      <c r="A467" s="1">
        <v>934</v>
      </c>
      <c r="B467" s="2" t="s">
        <v>798</v>
      </c>
      <c r="C467" s="1">
        <v>140010117</v>
      </c>
      <c r="D467" s="1">
        <v>750</v>
      </c>
      <c r="E467" s="12">
        <f>_xlfn.XLOOKUP(packes[[#This Row],[productId]],bom[Id],bom[wgt])</f>
        <v>1</v>
      </c>
      <c r="F467" s="12">
        <f>packes[[#This Row],[num]]*packes[[#This Row],[wtg]]</f>
        <v>750</v>
      </c>
      <c r="G467" s="324">
        <v>6</v>
      </c>
      <c r="H467" s="21">
        <f>packes[[#This Row],[num]]-SUM(packes[[#This Row],[num2]])</f>
        <v>750</v>
      </c>
      <c r="I467" s="324"/>
      <c r="J467" s="21"/>
      <c r="K467" s="287" t="s">
        <v>1431</v>
      </c>
    </row>
    <row r="468" spans="1:11" ht="16.5">
      <c r="A468" s="1">
        <v>935</v>
      </c>
      <c r="B468" s="2" t="s">
        <v>798</v>
      </c>
      <c r="C468" s="1">
        <v>140010230</v>
      </c>
      <c r="D468" s="1">
        <v>10</v>
      </c>
      <c r="E468" s="12">
        <f>_xlfn.XLOOKUP(packes[[#This Row],[productId]],bom[Id],bom[wgt])</f>
        <v>1.4486680634540554</v>
      </c>
      <c r="F468" s="12">
        <f>packes[[#This Row],[num]]*packes[[#This Row],[wtg]]</f>
        <v>14.486680634540555</v>
      </c>
      <c r="G468" s="324">
        <v>6</v>
      </c>
      <c r="H468" s="21">
        <f>packes[[#This Row],[num]]-SUM(packes[[#This Row],[num2]])</f>
        <v>10</v>
      </c>
      <c r="I468" s="324"/>
      <c r="J468" s="21"/>
      <c r="K468" s="287" t="s">
        <v>1432</v>
      </c>
    </row>
    <row r="469" spans="1:11" ht="16.5">
      <c r="A469" s="1">
        <v>936</v>
      </c>
      <c r="B469" s="2" t="s">
        <v>798</v>
      </c>
      <c r="C469" s="1">
        <v>140310007</v>
      </c>
      <c r="D469" s="1">
        <v>1800</v>
      </c>
      <c r="E469" s="12">
        <f>_xlfn.XLOOKUP(packes[[#This Row],[productId]],bom[Id],bom[wgt])</f>
        <v>1.1413748378728923</v>
      </c>
      <c r="F469" s="12">
        <f>packes[[#This Row],[num]]*packes[[#This Row],[wtg]]</f>
        <v>2054.4747081712062</v>
      </c>
      <c r="G469" s="324">
        <v>4</v>
      </c>
      <c r="H469" s="21">
        <f>packes[[#This Row],[num]]-SUM(packes[[#This Row],[num2]])</f>
        <v>1800</v>
      </c>
      <c r="I469" s="324"/>
      <c r="J469" s="21"/>
      <c r="K469" s="287" t="s">
        <v>1433</v>
      </c>
    </row>
    <row r="470" spans="1:11" ht="16.5">
      <c r="A470" s="1">
        <v>937</v>
      </c>
      <c r="B470" s="2" t="s">
        <v>801</v>
      </c>
      <c r="C470" s="1">
        <v>140010117</v>
      </c>
      <c r="D470" s="1">
        <v>1500</v>
      </c>
      <c r="E470" s="12">
        <f>_xlfn.XLOOKUP(packes[[#This Row],[productId]],bom[Id],bom[wgt])</f>
        <v>1</v>
      </c>
      <c r="F470" s="12">
        <f>packes[[#This Row],[num]]*packes[[#This Row],[wtg]]</f>
        <v>1500</v>
      </c>
      <c r="G470" s="324">
        <v>6</v>
      </c>
      <c r="H470" s="21">
        <f>packes[[#This Row],[num]]-SUM(packes[[#This Row],[num2]])</f>
        <v>1500</v>
      </c>
      <c r="I470" s="324"/>
      <c r="J470" s="21"/>
      <c r="K470" s="287" t="s">
        <v>1434</v>
      </c>
    </row>
    <row r="471" spans="1:11" ht="16.5">
      <c r="A471" s="1">
        <v>938</v>
      </c>
      <c r="B471" s="2" t="s">
        <v>801</v>
      </c>
      <c r="C471" s="1">
        <v>140310007</v>
      </c>
      <c r="D471" s="1">
        <v>1200</v>
      </c>
      <c r="E471" s="12">
        <f>_xlfn.XLOOKUP(packes[[#This Row],[productId]],bom[Id],bom[wgt])</f>
        <v>1.1413748378728923</v>
      </c>
      <c r="F471" s="12">
        <f>packes[[#This Row],[num]]*packes[[#This Row],[wtg]]</f>
        <v>1369.6498054474707</v>
      </c>
      <c r="G471" s="324">
        <v>4</v>
      </c>
      <c r="H471" s="21">
        <f>packes[[#This Row],[num]]-SUM(packes[[#This Row],[num2]])</f>
        <v>1200</v>
      </c>
      <c r="I471" s="324"/>
      <c r="J471" s="21"/>
      <c r="K471" s="287" t="s">
        <v>1435</v>
      </c>
    </row>
    <row r="472" spans="1:11" ht="16.5">
      <c r="A472" s="1">
        <v>939</v>
      </c>
      <c r="B472" s="2" t="s">
        <v>801</v>
      </c>
      <c r="C472" s="1">
        <v>140310083</v>
      </c>
      <c r="D472" s="1">
        <v>100</v>
      </c>
      <c r="E472" s="12">
        <f>_xlfn.XLOOKUP(packes[[#This Row],[productId]],bom[Id],bom[wgt])</f>
        <v>1.3369250723336326</v>
      </c>
      <c r="F472" s="12">
        <f>packes[[#This Row],[num]]*packes[[#This Row],[wtg]]</f>
        <v>133.69250723336324</v>
      </c>
      <c r="G472" s="324">
        <v>3</v>
      </c>
      <c r="H472" s="21">
        <f>packes[[#This Row],[num]]-SUM(packes[[#This Row],[num2]])</f>
        <v>100</v>
      </c>
      <c r="I472" s="324"/>
      <c r="J472" s="21"/>
      <c r="K472" s="287" t="s">
        <v>1265</v>
      </c>
    </row>
    <row r="473" spans="1:11" ht="16.5">
      <c r="A473" s="1">
        <v>940</v>
      </c>
      <c r="B473" s="2" t="s">
        <v>803</v>
      </c>
      <c r="C473" s="1">
        <v>140010117</v>
      </c>
      <c r="D473" s="1">
        <v>75</v>
      </c>
      <c r="E473" s="12">
        <f>_xlfn.XLOOKUP(packes[[#This Row],[productId]],bom[Id],bom[wgt])</f>
        <v>1</v>
      </c>
      <c r="F473" s="12">
        <f>packes[[#This Row],[num]]*packes[[#This Row],[wtg]]</f>
        <v>75</v>
      </c>
      <c r="G473" s="324">
        <v>6</v>
      </c>
      <c r="H473" s="21">
        <f>packes[[#This Row],[num]]-SUM(packes[[#This Row],[num2]])</f>
        <v>75</v>
      </c>
      <c r="I473" s="324"/>
      <c r="J473" s="21"/>
      <c r="K473" s="287" t="s">
        <v>1438</v>
      </c>
    </row>
    <row r="474" spans="1:11" ht="16.5">
      <c r="A474" s="1">
        <v>941</v>
      </c>
      <c r="B474" s="2" t="s">
        <v>803</v>
      </c>
      <c r="C474" s="1">
        <v>140010230</v>
      </c>
      <c r="D474" s="1">
        <v>500</v>
      </c>
      <c r="E474" s="12">
        <f>_xlfn.XLOOKUP(packes[[#This Row],[productId]],bom[Id],bom[wgt])</f>
        <v>1.4486680634540554</v>
      </c>
      <c r="F474" s="12">
        <f>packes[[#This Row],[num]]*packes[[#This Row],[wtg]]</f>
        <v>724.33403172702765</v>
      </c>
      <c r="G474" s="324">
        <v>6</v>
      </c>
      <c r="H474" s="21">
        <f>packes[[#This Row],[num]]-SUM(packes[[#This Row],[num2]])</f>
        <v>500</v>
      </c>
      <c r="I474" s="324"/>
      <c r="J474" s="21"/>
      <c r="K474" s="287" t="s">
        <v>1439</v>
      </c>
    </row>
    <row r="475" spans="1:11" ht="16.5">
      <c r="A475" s="1">
        <v>942</v>
      </c>
      <c r="B475" s="2" t="s">
        <v>803</v>
      </c>
      <c r="C475" s="1">
        <v>140310007</v>
      </c>
      <c r="D475" s="1">
        <v>1100</v>
      </c>
      <c r="E475" s="12">
        <f>_xlfn.XLOOKUP(packes[[#This Row],[productId]],bom[Id],bom[wgt])</f>
        <v>1.1413748378728923</v>
      </c>
      <c r="F475" s="12">
        <f>packes[[#This Row],[num]]*packes[[#This Row],[wtg]]</f>
        <v>1255.5123216601814</v>
      </c>
      <c r="G475" s="324">
        <v>4</v>
      </c>
      <c r="H475" s="21">
        <f>packes[[#This Row],[num]]-SUM(packes[[#This Row],[num2]])</f>
        <v>1100</v>
      </c>
      <c r="I475" s="324"/>
      <c r="J475" s="21"/>
      <c r="K475" s="287" t="s">
        <v>1440</v>
      </c>
    </row>
    <row r="476" spans="1:11" ht="16.5">
      <c r="A476" s="1">
        <v>943</v>
      </c>
      <c r="B476" s="2" t="s">
        <v>803</v>
      </c>
      <c r="C476" s="1">
        <v>140310071</v>
      </c>
      <c r="D476" s="1">
        <v>200</v>
      </c>
      <c r="E476" s="12">
        <f>_xlfn.XLOOKUP(packes[[#This Row],[productId]],bom[Id],bom[wgt])</f>
        <v>1.3</v>
      </c>
      <c r="F476" s="12">
        <f>packes[[#This Row],[num]]*packes[[#This Row],[wtg]]</f>
        <v>260</v>
      </c>
      <c r="G476" s="324">
        <v>3</v>
      </c>
      <c r="H476" s="21">
        <f>packes[[#This Row],[num]]-SUM(packes[[#This Row],[num2]])</f>
        <v>200</v>
      </c>
      <c r="I476" s="324"/>
      <c r="J476" s="21"/>
      <c r="K476" s="287" t="s">
        <v>1441</v>
      </c>
    </row>
    <row r="477" spans="1:11" ht="16.5">
      <c r="A477" s="1">
        <v>944</v>
      </c>
      <c r="B477" s="2" t="s">
        <v>804</v>
      </c>
      <c r="C477" s="1">
        <v>140010117</v>
      </c>
      <c r="D477" s="1">
        <v>375</v>
      </c>
      <c r="E477" s="12">
        <f>_xlfn.XLOOKUP(packes[[#This Row],[productId]],bom[Id],bom[wgt])</f>
        <v>1</v>
      </c>
      <c r="F477" s="12">
        <f>packes[[#This Row],[num]]*packes[[#This Row],[wtg]]</f>
        <v>375</v>
      </c>
      <c r="G477" s="324">
        <v>6</v>
      </c>
      <c r="H477" s="21">
        <f>packes[[#This Row],[num]]-SUM(packes[[#This Row],[num2]])</f>
        <v>375</v>
      </c>
      <c r="I477" s="324"/>
      <c r="J477" s="21"/>
      <c r="K477" s="287" t="s">
        <v>1444</v>
      </c>
    </row>
    <row r="478" spans="1:11" ht="16.5">
      <c r="A478" s="1">
        <v>945</v>
      </c>
      <c r="B478" s="2" t="s">
        <v>804</v>
      </c>
      <c r="C478" s="1">
        <v>140010230</v>
      </c>
      <c r="D478" s="1">
        <v>500</v>
      </c>
      <c r="E478" s="12">
        <f>_xlfn.XLOOKUP(packes[[#This Row],[productId]],bom[Id],bom[wgt])</f>
        <v>1.4486680634540554</v>
      </c>
      <c r="F478" s="12">
        <f>packes[[#This Row],[num]]*packes[[#This Row],[wtg]]</f>
        <v>724.33403172702765</v>
      </c>
      <c r="G478" s="324">
        <v>6</v>
      </c>
      <c r="H478" s="21">
        <f>packes[[#This Row],[num]]-SUM(packes[[#This Row],[num2]])</f>
        <v>500</v>
      </c>
      <c r="I478" s="324"/>
      <c r="J478" s="21"/>
      <c r="K478" s="287" t="s">
        <v>1445</v>
      </c>
    </row>
    <row r="479" spans="1:11" ht="16.5">
      <c r="A479" s="1">
        <v>946</v>
      </c>
      <c r="B479" s="2" t="s">
        <v>804</v>
      </c>
      <c r="C479" s="1">
        <v>140310007</v>
      </c>
      <c r="D479" s="1">
        <v>200</v>
      </c>
      <c r="E479" s="12">
        <f>_xlfn.XLOOKUP(packes[[#This Row],[productId]],bom[Id],bom[wgt])</f>
        <v>1.1413748378728923</v>
      </c>
      <c r="F479" s="12">
        <f>packes[[#This Row],[num]]*packes[[#This Row],[wtg]]</f>
        <v>228.27496757457845</v>
      </c>
      <c r="G479" s="324">
        <v>4</v>
      </c>
      <c r="H479" s="21">
        <f>packes[[#This Row],[num]]-SUM(packes[[#This Row],[num2]])</f>
        <v>200</v>
      </c>
      <c r="I479" s="324"/>
      <c r="J479" s="21"/>
      <c r="K479" s="287" t="s">
        <v>1446</v>
      </c>
    </row>
    <row r="480" spans="1:11" ht="16.5">
      <c r="A480" s="1">
        <v>947</v>
      </c>
      <c r="B480" s="2" t="s">
        <v>804</v>
      </c>
      <c r="C480" s="1">
        <v>140450047</v>
      </c>
      <c r="D480" s="1">
        <v>1500</v>
      </c>
      <c r="E480" s="12">
        <f>_xlfn.XLOOKUP(packes[[#This Row],[productId]],bom[Id],bom[wgt])</f>
        <v>0</v>
      </c>
      <c r="F480" s="12">
        <f>packes[[#This Row],[num]]*packes[[#This Row],[wtg]]</f>
        <v>0</v>
      </c>
      <c r="G480" s="324">
        <v>4</v>
      </c>
      <c r="H480" s="21">
        <f>packes[[#This Row],[num]]-SUM(packes[[#This Row],[num2]])</f>
        <v>1500</v>
      </c>
      <c r="I480" s="324"/>
      <c r="J480" s="21"/>
      <c r="K480" s="287" t="s">
        <v>1447</v>
      </c>
    </row>
    <row r="481" spans="1:11" ht="16.5">
      <c r="A481" s="1">
        <v>948</v>
      </c>
      <c r="B481" s="2" t="s">
        <v>805</v>
      </c>
      <c r="C481" s="1">
        <v>140010117</v>
      </c>
      <c r="D481" s="1">
        <v>225</v>
      </c>
      <c r="E481" s="12">
        <f>_xlfn.XLOOKUP(packes[[#This Row],[productId]],bom[Id],bom[wgt])</f>
        <v>1</v>
      </c>
      <c r="F481" s="12">
        <f>packes[[#This Row],[num]]*packes[[#This Row],[wtg]]</f>
        <v>225</v>
      </c>
      <c r="G481" s="324">
        <v>6</v>
      </c>
      <c r="H481" s="21">
        <f>packes[[#This Row],[num]]-SUM(packes[[#This Row],[num2]])</f>
        <v>225</v>
      </c>
      <c r="I481" s="324"/>
      <c r="J481" s="21"/>
      <c r="K481" s="287" t="s">
        <v>1452</v>
      </c>
    </row>
    <row r="482" spans="1:11" ht="16.5">
      <c r="A482" s="1">
        <v>949</v>
      </c>
      <c r="B482" s="2" t="s">
        <v>805</v>
      </c>
      <c r="C482" s="1">
        <v>140010230</v>
      </c>
      <c r="D482" s="1">
        <v>1000</v>
      </c>
      <c r="E482" s="12">
        <f>_xlfn.XLOOKUP(packes[[#This Row],[productId]],bom[Id],bom[wgt])</f>
        <v>1.4486680634540554</v>
      </c>
      <c r="F482" s="12">
        <f>packes[[#This Row],[num]]*packes[[#This Row],[wtg]]</f>
        <v>1448.6680634540553</v>
      </c>
      <c r="G482" s="324">
        <v>6</v>
      </c>
      <c r="H482" s="21">
        <f>packes[[#This Row],[num]]-SUM(packes[[#This Row],[num2]])</f>
        <v>1000</v>
      </c>
      <c r="I482" s="324"/>
      <c r="J482" s="21"/>
      <c r="K482" s="287" t="s">
        <v>1453</v>
      </c>
    </row>
    <row r="483" spans="1:11" ht="16.5">
      <c r="A483" s="1">
        <v>950</v>
      </c>
      <c r="B483" s="2" t="s">
        <v>805</v>
      </c>
      <c r="C483" s="1">
        <v>140010255</v>
      </c>
      <c r="D483" s="1">
        <v>900</v>
      </c>
      <c r="E483" s="12">
        <f>_xlfn.XLOOKUP(packes[[#This Row],[productId]],bom[Id],bom[wgt])</f>
        <v>1</v>
      </c>
      <c r="F483" s="12">
        <f>packes[[#This Row],[num]]*packes[[#This Row],[wtg]]</f>
        <v>900</v>
      </c>
      <c r="G483" s="324">
        <v>6</v>
      </c>
      <c r="H483" s="21">
        <f>packes[[#This Row],[num]]-SUM(packes[[#This Row],[num2]])</f>
        <v>900</v>
      </c>
      <c r="I483" s="324"/>
      <c r="J483" s="21"/>
      <c r="K483" s="287" t="s">
        <v>1454</v>
      </c>
    </row>
    <row r="484" spans="1:11" ht="16.5">
      <c r="A484" s="1">
        <v>951</v>
      </c>
      <c r="B484" s="2" t="s">
        <v>805</v>
      </c>
      <c r="C484" s="1">
        <v>140310096</v>
      </c>
      <c r="D484" s="1">
        <v>300</v>
      </c>
      <c r="E484" s="12">
        <f>_xlfn.XLOOKUP(packes[[#This Row],[productId]],bom[Id],bom[wgt])</f>
        <v>1.3</v>
      </c>
      <c r="F484" s="12">
        <f>packes[[#This Row],[num]]*packes[[#This Row],[wtg]]</f>
        <v>390</v>
      </c>
      <c r="G484" s="324">
        <v>6</v>
      </c>
      <c r="H484" s="21">
        <f>packes[[#This Row],[num]]-SUM(packes[[#This Row],[num2]])</f>
        <v>300</v>
      </c>
      <c r="I484" s="324"/>
      <c r="J484" s="21"/>
      <c r="K484" s="287" t="s">
        <v>1456</v>
      </c>
    </row>
    <row r="485" spans="1:11" ht="16.5">
      <c r="A485" s="1">
        <v>952</v>
      </c>
      <c r="B485" s="2" t="s">
        <v>805</v>
      </c>
      <c r="C485" s="1">
        <v>140450047</v>
      </c>
      <c r="D485" s="1">
        <v>200</v>
      </c>
      <c r="E485" s="12">
        <f>_xlfn.XLOOKUP(packes[[#This Row],[productId]],bom[Id],bom[wgt])</f>
        <v>0</v>
      </c>
      <c r="F485" s="12">
        <f>packes[[#This Row],[num]]*packes[[#This Row],[wtg]]</f>
        <v>0</v>
      </c>
      <c r="G485" s="324">
        <v>4</v>
      </c>
      <c r="H485" s="21">
        <f>packes[[#This Row],[num]]-SUM(packes[[#This Row],[num2]])</f>
        <v>200</v>
      </c>
      <c r="I485" s="324"/>
      <c r="J485" s="21"/>
      <c r="K485" s="287" t="s">
        <v>1455</v>
      </c>
    </row>
    <row r="486" spans="1:11" ht="16.5">
      <c r="A486" s="1">
        <v>953</v>
      </c>
      <c r="B486" s="2" t="s">
        <v>808</v>
      </c>
      <c r="C486" s="1">
        <v>140010230</v>
      </c>
      <c r="D486" s="1">
        <v>950</v>
      </c>
      <c r="E486" s="12">
        <f>_xlfn.XLOOKUP(packes[[#This Row],[productId]],bom[Id],bom[wgt])</f>
        <v>1.4486680634540554</v>
      </c>
      <c r="F486" s="12">
        <f>packes[[#This Row],[num]]*packes[[#This Row],[wtg]]</f>
        <v>1376.2346602813527</v>
      </c>
      <c r="G486" s="324">
        <v>6</v>
      </c>
      <c r="H486" s="21">
        <f>packes[[#This Row],[num]]-SUM(packes[[#This Row],[num2]])</f>
        <v>950</v>
      </c>
      <c r="I486" s="324"/>
      <c r="J486" s="21"/>
      <c r="K486" s="287" t="s">
        <v>1457</v>
      </c>
    </row>
    <row r="487" spans="1:11" ht="16.5">
      <c r="A487" s="1">
        <v>954</v>
      </c>
      <c r="B487" s="2" t="s">
        <v>808</v>
      </c>
      <c r="C487" s="1">
        <v>140010255</v>
      </c>
      <c r="D487" s="1">
        <v>675</v>
      </c>
      <c r="E487" s="12">
        <f>_xlfn.XLOOKUP(packes[[#This Row],[productId]],bom[Id],bom[wgt])</f>
        <v>1</v>
      </c>
      <c r="F487" s="12">
        <f>packes[[#This Row],[num]]*packes[[#This Row],[wtg]]</f>
        <v>675</v>
      </c>
      <c r="G487" s="324">
        <v>6</v>
      </c>
      <c r="H487" s="21">
        <f>packes[[#This Row],[num]]-SUM(packes[[#This Row],[num2]])</f>
        <v>675</v>
      </c>
      <c r="I487" s="324"/>
      <c r="J487" s="21"/>
      <c r="K487" s="287" t="s">
        <v>1458</v>
      </c>
    </row>
    <row r="488" spans="1:11" ht="16.5">
      <c r="A488" s="1">
        <v>955</v>
      </c>
      <c r="B488" s="2" t="s">
        <v>808</v>
      </c>
      <c r="C488" s="1">
        <v>140310007</v>
      </c>
      <c r="D488" s="1">
        <v>1700</v>
      </c>
      <c r="E488" s="12">
        <f>_xlfn.XLOOKUP(packes[[#This Row],[productId]],bom[Id],bom[wgt])</f>
        <v>1.1413748378728923</v>
      </c>
      <c r="F488" s="12">
        <f>packes[[#This Row],[num]]*packes[[#This Row],[wtg]]</f>
        <v>1940.3372243839169</v>
      </c>
      <c r="G488" s="324">
        <v>4</v>
      </c>
      <c r="H488" s="21">
        <f>packes[[#This Row],[num]]-SUM(packes[[#This Row],[num2]])</f>
        <v>1700</v>
      </c>
      <c r="I488" s="324"/>
      <c r="J488" s="21"/>
      <c r="K488" s="287" t="s">
        <v>1459</v>
      </c>
    </row>
    <row r="489" spans="1:11" ht="16.5">
      <c r="A489" s="1">
        <v>956</v>
      </c>
      <c r="B489" s="2" t="s">
        <v>808</v>
      </c>
      <c r="C489" s="1">
        <v>140310031</v>
      </c>
      <c r="D489" s="1">
        <v>50</v>
      </c>
      <c r="E489" s="12">
        <f>_xlfn.XLOOKUP(packes[[#This Row],[productId]],bom[Id],bom[wgt])</f>
        <v>1.9455252918287937</v>
      </c>
      <c r="F489" s="12">
        <f>packes[[#This Row],[num]]*packes[[#This Row],[wtg]]</f>
        <v>97.276264591439684</v>
      </c>
      <c r="G489" s="324">
        <v>4</v>
      </c>
      <c r="H489" s="21">
        <f>packes[[#This Row],[num]]-SUM(packes[[#This Row],[num2]])</f>
        <v>50</v>
      </c>
      <c r="I489" s="324"/>
      <c r="J489" s="21"/>
      <c r="K489" s="287" t="s">
        <v>1460</v>
      </c>
    </row>
    <row r="490" spans="1:11" ht="16.5">
      <c r="A490" s="1">
        <v>957</v>
      </c>
      <c r="B490" s="2" t="s">
        <v>809</v>
      </c>
      <c r="C490" s="1">
        <v>140010117</v>
      </c>
      <c r="D490" s="1">
        <v>1500</v>
      </c>
      <c r="E490" s="12">
        <f>_xlfn.XLOOKUP(packes[[#This Row],[productId]],bom[Id],bom[wgt])</f>
        <v>1</v>
      </c>
      <c r="F490" s="12">
        <f>packes[[#This Row],[num]]*packes[[#This Row],[wtg]]</f>
        <v>1500</v>
      </c>
      <c r="G490" s="324">
        <v>6</v>
      </c>
      <c r="H490" s="21">
        <f>packes[[#This Row],[num]]-SUM(packes[[#This Row],[num2]])</f>
        <v>1500</v>
      </c>
      <c r="I490" s="324"/>
      <c r="J490" s="21"/>
      <c r="K490" s="287" t="s">
        <v>1464</v>
      </c>
    </row>
    <row r="491" spans="1:11" ht="16.5">
      <c r="A491" s="1">
        <v>958</v>
      </c>
      <c r="B491" s="2" t="s">
        <v>809</v>
      </c>
      <c r="C491" s="1">
        <v>140010230</v>
      </c>
      <c r="D491" s="1">
        <v>200</v>
      </c>
      <c r="E491" s="12">
        <f>_xlfn.XLOOKUP(packes[[#This Row],[productId]],bom[Id],bom[wgt])</f>
        <v>1.4486680634540554</v>
      </c>
      <c r="F491" s="12">
        <f>packes[[#This Row],[num]]*packes[[#This Row],[wtg]]</f>
        <v>289.73361269081107</v>
      </c>
      <c r="G491" s="324">
        <v>6</v>
      </c>
      <c r="H491" s="21">
        <f>packes[[#This Row],[num]]-SUM(packes[[#This Row],[num2]])</f>
        <v>200</v>
      </c>
      <c r="I491" s="324"/>
      <c r="J491" s="21"/>
      <c r="K491" s="287" t="s">
        <v>1465</v>
      </c>
    </row>
    <row r="492" spans="1:11" ht="16.5">
      <c r="A492" s="1">
        <v>959</v>
      </c>
      <c r="B492" s="2" t="s">
        <v>809</v>
      </c>
      <c r="C492" s="1">
        <v>140030039</v>
      </c>
      <c r="D492" s="1">
        <v>800</v>
      </c>
      <c r="E492" s="12">
        <f>_xlfn.XLOOKUP(packes[[#This Row],[productId]],bom[Id],bom[wgt])</f>
        <v>1.1413748378728923</v>
      </c>
      <c r="F492" s="12">
        <f>packes[[#This Row],[num]]*packes[[#This Row],[wtg]]</f>
        <v>913.09987029831382</v>
      </c>
      <c r="G492" s="324">
        <v>6</v>
      </c>
      <c r="H492" s="21">
        <f>packes[[#This Row],[num]]-SUM(packes[[#This Row],[num2]])</f>
        <v>800</v>
      </c>
      <c r="I492" s="324"/>
      <c r="J492" s="21"/>
      <c r="K492" s="287" t="s">
        <v>1454</v>
      </c>
    </row>
    <row r="493" spans="1:11" ht="16.5">
      <c r="A493" s="1">
        <v>960</v>
      </c>
      <c r="B493" s="2" t="s">
        <v>809</v>
      </c>
      <c r="C493" s="1">
        <v>140310007</v>
      </c>
      <c r="D493" s="1">
        <v>900</v>
      </c>
      <c r="E493" s="12">
        <f>_xlfn.XLOOKUP(packes[[#This Row],[productId]],bom[Id],bom[wgt])</f>
        <v>1.1413748378728923</v>
      </c>
      <c r="F493" s="12">
        <f>packes[[#This Row],[num]]*packes[[#This Row],[wtg]]</f>
        <v>1027.2373540856031</v>
      </c>
      <c r="G493" s="324">
        <v>4</v>
      </c>
      <c r="H493" s="21">
        <f>packes[[#This Row],[num]]-SUM(packes[[#This Row],[num2]])</f>
        <v>900</v>
      </c>
      <c r="I493" s="324"/>
      <c r="J493" s="21"/>
      <c r="K493" s="287" t="s">
        <v>1466</v>
      </c>
    </row>
    <row r="494" spans="1:11" ht="16.5">
      <c r="A494" s="1">
        <v>961</v>
      </c>
      <c r="B494" s="2" t="s">
        <v>811</v>
      </c>
      <c r="C494" s="1">
        <v>140010230</v>
      </c>
      <c r="D494" s="1">
        <v>300</v>
      </c>
      <c r="E494" s="12">
        <f>_xlfn.XLOOKUP(packes[[#This Row],[productId]],bom[Id],bom[wgt])</f>
        <v>1.4486680634540554</v>
      </c>
      <c r="F494" s="12">
        <f>packes[[#This Row],[num]]*packes[[#This Row],[wtg]]</f>
        <v>434.60041903621664</v>
      </c>
      <c r="G494" s="324">
        <v>6</v>
      </c>
      <c r="H494" s="21">
        <f>packes[[#This Row],[num]]-SUM(packes[[#This Row],[num2]])</f>
        <v>300</v>
      </c>
      <c r="I494" s="324"/>
      <c r="J494" s="21"/>
      <c r="K494" s="287" t="s">
        <v>1467</v>
      </c>
    </row>
    <row r="495" spans="1:11" ht="16.5">
      <c r="A495" s="1">
        <v>962</v>
      </c>
      <c r="B495" s="2" t="s">
        <v>811</v>
      </c>
      <c r="C495" s="1">
        <v>140030039</v>
      </c>
      <c r="D495" s="1">
        <v>600</v>
      </c>
      <c r="E495" s="12">
        <f>_xlfn.XLOOKUP(packes[[#This Row],[productId]],bom[Id],bom[wgt])</f>
        <v>1.1413748378728923</v>
      </c>
      <c r="F495" s="12">
        <f>packes[[#This Row],[num]]*packes[[#This Row],[wtg]]</f>
        <v>684.82490272373536</v>
      </c>
      <c r="G495" s="324">
        <v>6</v>
      </c>
      <c r="H495" s="21">
        <f>packes[[#This Row],[num]]-SUM(packes[[#This Row],[num2]])</f>
        <v>600</v>
      </c>
      <c r="I495" s="324"/>
      <c r="J495" s="21"/>
      <c r="K495" s="287" t="s">
        <v>1468</v>
      </c>
    </row>
    <row r="496" spans="1:11" ht="16.5">
      <c r="A496" s="1">
        <v>963</v>
      </c>
      <c r="B496" s="2" t="s">
        <v>811</v>
      </c>
      <c r="C496" s="1">
        <v>140310007</v>
      </c>
      <c r="D496" s="1">
        <v>1500</v>
      </c>
      <c r="E496" s="12">
        <f>_xlfn.XLOOKUP(packes[[#This Row],[productId]],bom[Id],bom[wgt])</f>
        <v>1.1413748378728923</v>
      </c>
      <c r="F496" s="12">
        <f>packes[[#This Row],[num]]*packes[[#This Row],[wtg]]</f>
        <v>1712.0622568093384</v>
      </c>
      <c r="G496" s="324">
        <v>4</v>
      </c>
      <c r="H496" s="21">
        <f>packes[[#This Row],[num]]-SUM(packes[[#This Row],[num2]])</f>
        <v>1500</v>
      </c>
      <c r="I496" s="324"/>
      <c r="J496" s="21"/>
      <c r="K496" s="287" t="s">
        <v>1469</v>
      </c>
    </row>
    <row r="497" spans="1:11" ht="16.5">
      <c r="A497" s="1">
        <v>964</v>
      </c>
      <c r="B497" s="2" t="s">
        <v>811</v>
      </c>
      <c r="C497" s="1">
        <v>140310096</v>
      </c>
      <c r="D497" s="1">
        <v>1500</v>
      </c>
      <c r="E497" s="12">
        <f>_xlfn.XLOOKUP(packes[[#This Row],[productId]],bom[Id],bom[wgt])</f>
        <v>1.3</v>
      </c>
      <c r="F497" s="12">
        <f>packes[[#This Row],[num]]*packes[[#This Row],[wtg]]</f>
        <v>1950</v>
      </c>
      <c r="G497" s="324">
        <v>6</v>
      </c>
      <c r="H497" s="21">
        <f>packes[[#This Row],[num]]-SUM(packes[[#This Row],[num2]])</f>
        <v>1500</v>
      </c>
      <c r="I497" s="324"/>
      <c r="J497" s="21"/>
      <c r="K497" s="287" t="s">
        <v>1470</v>
      </c>
    </row>
    <row r="498" spans="1:11" ht="16.5">
      <c r="A498" s="1">
        <v>965</v>
      </c>
      <c r="B498" s="2" t="s">
        <v>811</v>
      </c>
      <c r="C498" s="1">
        <v>140450047</v>
      </c>
      <c r="D498" s="1">
        <v>135</v>
      </c>
      <c r="E498" s="12">
        <f>_xlfn.XLOOKUP(packes[[#This Row],[productId]],bom[Id],bom[wgt])</f>
        <v>0</v>
      </c>
      <c r="F498" s="12">
        <f>packes[[#This Row],[num]]*packes[[#This Row],[wtg]]</f>
        <v>0</v>
      </c>
      <c r="G498" s="324">
        <v>4</v>
      </c>
      <c r="H498" s="21">
        <f>packes[[#This Row],[num]]-SUM(packes[[#This Row],[num2]])</f>
        <v>135</v>
      </c>
      <c r="I498" s="324"/>
      <c r="J498" s="21"/>
      <c r="K498" s="287" t="s">
        <v>1471</v>
      </c>
    </row>
  </sheetData>
  <phoneticPr fontId="1" type="noConversion"/>
  <conditionalFormatting sqref="B2:B4">
    <cfRule type="expression" dxfId="6" priority="2">
      <formula>OR($C2="جمعه",$C2="پنجشنبه")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14</xdr:col>
                    <xdr:colOff>114300</xdr:colOff>
                    <xdr:row>0</xdr:row>
                    <xdr:rowOff>66675</xdr:rowOff>
                  </from>
                  <to>
                    <xdr:col>14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15</xdr:col>
                    <xdr:colOff>114300</xdr:colOff>
                    <xdr:row>0</xdr:row>
                    <xdr:rowOff>66675</xdr:rowOff>
                  </from>
                  <to>
                    <xdr:col>15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4F07D5-B2B5-4102-955A-5602AA5FB545}">
          <x14:formula1>
            <xm:f>bom!$A$2:$A$135</xm:f>
          </x14:formula1>
          <xm:sqref>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79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1" sqref="K11"/>
    </sheetView>
  </sheetViews>
  <sheetFormatPr defaultColWidth="12.7109375" defaultRowHeight="16.5" outlineLevelCol="1"/>
  <cols>
    <col min="1" max="1" width="9.7109375" style="48" customWidth="1"/>
    <col min="2" max="2" width="4.7109375" style="250" customWidth="1"/>
    <col min="3" max="3" width="8.7109375" style="94" customWidth="1" collapsed="1"/>
    <col min="4" max="5" width="5.7109375" style="32" hidden="1" customWidth="1" outlineLevel="1"/>
    <col min="6" max="6" width="5.7109375" style="24" hidden="1" customWidth="1" outlineLevel="1"/>
    <col min="7" max="8" width="5.7109375" style="32" hidden="1" customWidth="1" outlineLevel="1"/>
    <col min="9" max="9" width="6.7109375" style="31" customWidth="1"/>
    <col min="10" max="10" width="12.7109375" outlineLevel="1"/>
    <col min="11" max="11" width="6.7109375" style="51" customWidth="1" outlineLevel="1"/>
    <col min="12" max="14" width="6.7109375" style="48" customWidth="1" outlineLevel="1"/>
    <col min="15" max="15" width="6.7109375" style="48" customWidth="1" collapsed="1"/>
    <col min="16" max="16" width="6.7109375" style="90" hidden="1" customWidth="1" outlineLevel="1" collapsed="1"/>
    <col min="17" max="17" width="6.7109375" style="48" hidden="1" customWidth="1" outlineLevel="1"/>
    <col min="18" max="21" width="5.7109375" style="32" hidden="1" customWidth="1" outlineLevel="1"/>
    <col min="22" max="22" width="5.7109375" style="20" customWidth="1"/>
    <col min="23" max="23" width="5.7109375" style="22" customWidth="1" outlineLevel="1"/>
    <col min="24" max="24" width="5.7109375" style="30" customWidth="1" outlineLevel="1"/>
    <col min="25" max="27" width="5.7109375" style="20" customWidth="1" outlineLevel="1"/>
    <col min="28" max="28" width="5.7109375" style="30" customWidth="1" outlineLevel="1"/>
    <col min="29" max="30" width="5.7109375" style="20" customWidth="1" outlineLevel="1"/>
    <col min="31" max="31" width="5.7109375" style="30" customWidth="1" outlineLevel="1"/>
    <col min="32" max="34" width="5.7109375" style="20" customWidth="1" outlineLevel="1"/>
    <col min="35" max="35" width="5.7109375" style="30" customWidth="1" outlineLevel="1"/>
    <col min="36" max="37" width="5.7109375" style="20" customWidth="1" outlineLevel="1"/>
    <col min="38" max="38" width="5.7109375" style="30" customWidth="1" outlineLevel="1"/>
    <col min="39" max="41" width="5.7109375" style="20" customWidth="1" outlineLevel="1"/>
    <col min="42" max="42" width="5.7109375" style="30" customWidth="1" outlineLevel="1"/>
    <col min="43" max="51" width="5.7109375" style="20" customWidth="1" outlineLevel="1"/>
    <col min="52" max="52" width="5.7109375" style="30" customWidth="1" outlineLevel="1"/>
    <col min="53" max="53" width="5.7109375" style="20" customWidth="1"/>
    <col min="54" max="54" width="5.7109375" style="22" customWidth="1"/>
    <col min="55" max="55" width="5.7109375" style="30" customWidth="1"/>
    <col min="56" max="58" width="5.7109375" style="20" customWidth="1"/>
    <col min="59" max="59" width="5.7109375" style="30" customWidth="1"/>
    <col min="60" max="61" width="5.7109375" style="20" customWidth="1"/>
    <col min="62" max="62" width="5.7109375" style="30" customWidth="1"/>
    <col min="63" max="65" width="5.7109375" style="20" customWidth="1"/>
    <col min="66" max="66" width="5.7109375" style="30" customWidth="1"/>
    <col min="67" max="68" width="5.7109375" style="20" customWidth="1"/>
    <col min="69" max="69" width="5.7109375" style="30" customWidth="1"/>
    <col min="70" max="72" width="5.7109375" style="20" customWidth="1"/>
    <col min="73" max="73" width="5.7109375" style="30" customWidth="1"/>
    <col min="74" max="82" width="5.7109375" style="20" customWidth="1"/>
    <col min="83" max="83" width="5.7109375" style="30" customWidth="1"/>
    <col min="84" max="84" width="4.7109375" style="20" customWidth="1"/>
    <col min="85" max="85" width="6.42578125" style="20" customWidth="1" collapsed="1"/>
    <col min="86" max="95" width="6.7109375" style="20" customWidth="1"/>
    <col min="96" max="16384" width="12.7109375" style="20"/>
  </cols>
  <sheetData>
    <row r="1" spans="1:83">
      <c r="A1" s="32" t="e" cm="1">
        <f t="array" aca="1" ref="A1" ca="1">J_TODAY(1)</f>
        <v>#NAME?</v>
      </c>
      <c r="J1" s="51"/>
      <c r="K1" s="48"/>
      <c r="L1" s="286">
        <f>ABS(SUM(progress_tbl[cut re]))</f>
        <v>14498</v>
      </c>
      <c r="M1" s="286">
        <f>ABS(SUM(progress_tbl[pack re]))</f>
        <v>47490</v>
      </c>
      <c r="O1" s="90"/>
      <c r="P1" s="48"/>
      <c r="Q1" s="32"/>
      <c r="U1" s="24"/>
      <c r="V1" s="22"/>
      <c r="W1" s="30"/>
      <c r="X1" s="20"/>
      <c r="AA1" s="30"/>
      <c r="AB1" s="20"/>
      <c r="AD1" s="30"/>
      <c r="AE1" s="20"/>
      <c r="AH1" s="30"/>
      <c r="AI1" s="20"/>
      <c r="AK1" s="30"/>
      <c r="AL1" s="20"/>
      <c r="AO1" s="30"/>
      <c r="AP1" s="20"/>
      <c r="AY1" s="30"/>
      <c r="AZ1" s="20"/>
      <c r="BB1" s="20"/>
      <c r="BC1" s="20"/>
      <c r="BG1" s="20"/>
      <c r="BJ1" s="20"/>
      <c r="BN1" s="20"/>
      <c r="BQ1" s="20"/>
      <c r="BU1" s="20"/>
      <c r="CE1" s="20"/>
    </row>
    <row r="2" spans="1:83" s="108" customFormat="1" ht="24.95" customHeight="1" thickBot="1">
      <c r="A2" s="115" t="s">
        <v>181</v>
      </c>
      <c r="B2" s="251" t="s">
        <v>190</v>
      </c>
      <c r="C2" s="116" t="s">
        <v>1038</v>
      </c>
      <c r="D2" s="110" t="s">
        <v>147</v>
      </c>
      <c r="E2" s="109" t="s">
        <v>148</v>
      </c>
      <c r="F2" s="111" t="s">
        <v>149</v>
      </c>
      <c r="G2" s="110" t="s">
        <v>1087</v>
      </c>
      <c r="H2" s="110" t="s">
        <v>170</v>
      </c>
      <c r="I2" s="100" t="s">
        <v>196</v>
      </c>
      <c r="J2" s="117" t="s">
        <v>228</v>
      </c>
      <c r="K2" s="101" t="s">
        <v>109</v>
      </c>
      <c r="L2" s="102" t="s">
        <v>227</v>
      </c>
      <c r="M2" s="102" t="s">
        <v>226</v>
      </c>
      <c r="N2" s="101" t="s">
        <v>235</v>
      </c>
      <c r="O2" s="103" t="s">
        <v>1029</v>
      </c>
      <c r="P2" s="104" t="s">
        <v>217</v>
      </c>
      <c r="Q2" s="104" t="s">
        <v>218</v>
      </c>
      <c r="R2" s="104" t="s">
        <v>219</v>
      </c>
      <c r="S2" s="104" t="s">
        <v>220</v>
      </c>
      <c r="T2" s="104" t="s">
        <v>221</v>
      </c>
      <c r="U2" s="105" t="s">
        <v>1030</v>
      </c>
      <c r="V2" s="299" t="s">
        <v>1218</v>
      </c>
      <c r="W2" s="300" t="s">
        <v>1219</v>
      </c>
      <c r="X2" s="301" t="s">
        <v>1220</v>
      </c>
      <c r="Y2" s="302" t="s">
        <v>1221</v>
      </c>
      <c r="Z2" s="303" t="s">
        <v>1222</v>
      </c>
      <c r="AA2" s="304" t="s">
        <v>1223</v>
      </c>
      <c r="AB2" s="305" t="s">
        <v>1224</v>
      </c>
      <c r="AC2" s="306" t="s">
        <v>1225</v>
      </c>
      <c r="AD2" s="304" t="s">
        <v>1226</v>
      </c>
      <c r="AE2" s="301" t="s">
        <v>1227</v>
      </c>
      <c r="AF2" s="302" t="s">
        <v>1228</v>
      </c>
      <c r="AG2" s="303" t="s">
        <v>1229</v>
      </c>
      <c r="AH2" s="304" t="s">
        <v>1230</v>
      </c>
      <c r="AI2" s="305" t="s">
        <v>1231</v>
      </c>
      <c r="AJ2" s="306" t="s">
        <v>1232</v>
      </c>
      <c r="AK2" s="304" t="s">
        <v>1233</v>
      </c>
      <c r="AL2" s="301" t="s">
        <v>1234</v>
      </c>
      <c r="AM2" s="302" t="s">
        <v>1235</v>
      </c>
      <c r="AN2" s="303" t="s">
        <v>1236</v>
      </c>
      <c r="AO2" s="304" t="s">
        <v>1237</v>
      </c>
      <c r="AP2" s="305" t="s">
        <v>1238</v>
      </c>
      <c r="AQ2" s="306" t="s">
        <v>1239</v>
      </c>
      <c r="AR2" s="304" t="s">
        <v>1240</v>
      </c>
      <c r="AS2" s="301" t="s">
        <v>1241</v>
      </c>
      <c r="AT2" s="302" t="s">
        <v>1242</v>
      </c>
      <c r="AU2" s="303" t="s">
        <v>1243</v>
      </c>
      <c r="AV2" s="304" t="s">
        <v>1244</v>
      </c>
      <c r="AW2" s="305" t="s">
        <v>1245</v>
      </c>
      <c r="AX2" s="306" t="s">
        <v>1246</v>
      </c>
      <c r="AY2" s="304" t="s">
        <v>1247</v>
      </c>
      <c r="AZ2" s="301" t="s">
        <v>1248</v>
      </c>
      <c r="BA2" s="106" t="s">
        <v>200</v>
      </c>
      <c r="BB2" s="307"/>
      <c r="BC2" s="107"/>
      <c r="BD2" s="107"/>
    </row>
    <row r="3" spans="1:83" s="88" customFormat="1" ht="24.95" customHeight="1" thickTop="1" thickBot="1">
      <c r="A3" s="154">
        <v>140310007</v>
      </c>
      <c r="B3" s="244">
        <v>4</v>
      </c>
      <c r="C3" s="237" t="s">
        <v>55</v>
      </c>
      <c r="D3" s="238" t="str">
        <f>_xlfn.XLOOKUP(progress_tbl[[#This Row],[productId]],bom[Id],bom[ph],"NA")</f>
        <v>-</v>
      </c>
      <c r="E3" s="238" t="str">
        <f>_xlfn.XLOOKUP(progress_tbl[[#This Row],[productId]],bom[Id],bom[erth],"NA")</f>
        <v>nut4</v>
      </c>
      <c r="F3" s="239" t="str">
        <f>_xlfn.XLOOKUP(progress_tbl[[#This Row],[productId]],bom[Id],bom[dbl],"NA")</f>
        <v>-</v>
      </c>
      <c r="G3" s="238" t="str">
        <f>_xlfn.XLOOKUP(progress_tbl[[#This Row],[productId]],bom[Id],bom[نوع کابل],"NA")</f>
        <v>3*0.75</v>
      </c>
      <c r="H3" s="238" t="str">
        <f>_xlfn.XLOOKUP(progress_tbl[[#This Row],[productId]],bom[Id],bom[strip],"NA")</f>
        <v>strp</v>
      </c>
      <c r="I3" s="159">
        <f>SUMIFS(plans[num],plans[productId],A3,plans[planId],B3)</f>
        <v>60000</v>
      </c>
      <c r="J3" s="308">
        <f>SUMIFS(cutts[num1],cutts[productId],A3,cutts[plan1],B3)+SUMIFS(cutts[num2],cutts[productId],A3,cutts[plan2],B3)</f>
        <v>50500</v>
      </c>
      <c r="K3" s="160">
        <f>SUMIFS(packes[num1],packes[productId],A3,packes[plan1],B3)+SUMIFS(packes[num2],packes[productId],A3,packes[plan2],B3)</f>
        <v>42000</v>
      </c>
      <c r="L3" s="161">
        <f t="shared" ref="L3:L10" si="0">-I3+J3</f>
        <v>-9500</v>
      </c>
      <c r="M3" s="162">
        <f t="shared" ref="M3:M10" si="1">K3-I3</f>
        <v>-18000</v>
      </c>
      <c r="N3" s="163">
        <f t="shared" ref="N3:N10" si="2">J3-K3</f>
        <v>8500</v>
      </c>
      <c r="O3" s="164" t="s">
        <v>1169</v>
      </c>
      <c r="P3" s="165"/>
      <c r="Q3" s="166"/>
      <c r="R3" s="167"/>
      <c r="S3" s="167"/>
      <c r="T3" s="167"/>
      <c r="U3" s="242">
        <v>19</v>
      </c>
      <c r="V3" s="265" t="s">
        <v>1280</v>
      </c>
      <c r="W3" s="266" t="s">
        <v>1280</v>
      </c>
      <c r="X3" s="269" t="s">
        <v>1280</v>
      </c>
      <c r="Y3" s="272" t="s">
        <v>1281</v>
      </c>
      <c r="Z3" s="268" t="s">
        <v>1282</v>
      </c>
      <c r="AA3" s="273" t="s">
        <v>1283</v>
      </c>
      <c r="AB3" s="267" t="s">
        <v>1284</v>
      </c>
      <c r="AC3" s="273" t="s">
        <v>1285</v>
      </c>
      <c r="AD3" s="320" t="s">
        <v>1286</v>
      </c>
      <c r="AE3" s="269" t="s">
        <v>1286</v>
      </c>
      <c r="AF3" s="272" t="s">
        <v>1286</v>
      </c>
      <c r="AG3" s="268" t="s">
        <v>1286</v>
      </c>
      <c r="AH3" s="273" t="s">
        <v>1286</v>
      </c>
      <c r="AI3" s="267" t="s">
        <v>1286</v>
      </c>
      <c r="AJ3" s="273" t="s">
        <v>1286</v>
      </c>
      <c r="AK3" s="273" t="s">
        <v>1286</v>
      </c>
      <c r="AL3" s="269" t="s">
        <v>1286</v>
      </c>
      <c r="AM3" s="321" t="s">
        <v>1287</v>
      </c>
      <c r="AN3" s="268" t="s">
        <v>1287</v>
      </c>
      <c r="AO3" s="273" t="s">
        <v>1287</v>
      </c>
      <c r="AP3" s="267" t="s">
        <v>1287</v>
      </c>
      <c r="AQ3" s="273" t="s">
        <v>1287</v>
      </c>
      <c r="AR3" s="273" t="s">
        <v>1287</v>
      </c>
      <c r="AS3" s="269" t="s">
        <v>1287</v>
      </c>
      <c r="AT3" s="272" t="s">
        <v>1287</v>
      </c>
      <c r="AU3" s="268" t="s">
        <v>1287</v>
      </c>
      <c r="AV3" s="320" t="s">
        <v>1288</v>
      </c>
      <c r="AW3" s="267" t="s">
        <v>1288</v>
      </c>
      <c r="AX3" s="273" t="s">
        <v>1288</v>
      </c>
      <c r="AY3" s="273" t="s">
        <v>1288</v>
      </c>
      <c r="AZ3" s="269" t="s">
        <v>1288</v>
      </c>
      <c r="BA3" s="86"/>
      <c r="BB3" s="87"/>
      <c r="BC3" s="87"/>
    </row>
    <row r="4" spans="1:83" s="88" customFormat="1" ht="24.95" customHeight="1" thickTop="1" thickBot="1">
      <c r="A4" s="154">
        <v>140010230</v>
      </c>
      <c r="B4" s="244">
        <v>6</v>
      </c>
      <c r="C4" s="237" t="s">
        <v>0</v>
      </c>
      <c r="D4" s="238" t="str">
        <f>_xlfn.XLOOKUP(progress_tbl[[#This Row],[productId]],bom[Id],bom[ph],"NA")</f>
        <v>nar.p</v>
      </c>
      <c r="E4" s="238" t="str">
        <f>_xlfn.XLOOKUP(progress_tbl[[#This Row],[productId]],bom[Id],bom[erth],"NA")</f>
        <v>-</v>
      </c>
      <c r="F4" s="239" t="str">
        <f>_xlfn.XLOOKUP(progress_tbl[[#This Row],[productId]],bom[Id],bom[dbl],"NA")</f>
        <v>nar.p</v>
      </c>
      <c r="G4" s="238" t="str">
        <f>_xlfn.XLOOKUP(progress_tbl[[#This Row],[productId]],bom[Id],bom[نوع کابل],"NA")</f>
        <v>3*0.75</v>
      </c>
      <c r="H4" s="238" t="str">
        <f>_xlfn.XLOOKUP(progress_tbl[[#This Row],[productId]],bom[Id],bom[strip],"NA")</f>
        <v>?</v>
      </c>
      <c r="I4" s="159">
        <f>SUMIFS(plans[num],plans[productId],A4,plans[planId],B4)</f>
        <v>18000</v>
      </c>
      <c r="J4" s="308">
        <f>SUMIFS(cutts[num1],cutts[productId],A4,cutts[plan1],B4)+SUMIFS(cutts[num2],cutts[productId],A4,cutts[plan2],B4)</f>
        <v>15000</v>
      </c>
      <c r="K4" s="160">
        <f>SUMIFS(packes[num1],packes[productId],A4,packes[plan1],B4)+SUMIFS(packes[num2],packes[productId],A4,packes[plan2],B4)</f>
        <v>3460</v>
      </c>
      <c r="L4" s="161">
        <f t="shared" si="0"/>
        <v>-3000</v>
      </c>
      <c r="M4" s="162">
        <f t="shared" si="1"/>
        <v>-14540</v>
      </c>
      <c r="N4" s="163">
        <f t="shared" si="2"/>
        <v>11540</v>
      </c>
      <c r="O4" s="148"/>
      <c r="P4" s="165"/>
      <c r="Q4" s="166"/>
      <c r="R4" s="167"/>
      <c r="S4" s="167"/>
      <c r="T4" s="167"/>
      <c r="U4" s="432"/>
      <c r="V4" s="265"/>
      <c r="W4" s="266"/>
      <c r="X4" s="269"/>
      <c r="Y4" s="272"/>
      <c r="Z4" s="268"/>
      <c r="AA4" s="273"/>
      <c r="AB4" s="267"/>
      <c r="AC4" s="273"/>
      <c r="AD4" s="273"/>
      <c r="AE4" s="269"/>
      <c r="AF4" s="272"/>
      <c r="AG4" s="268"/>
      <c r="AH4" s="273"/>
      <c r="AI4" s="267"/>
      <c r="AJ4" s="273"/>
      <c r="AK4" s="273"/>
      <c r="AL4" s="269"/>
      <c r="AM4" s="272"/>
      <c r="AN4" s="268"/>
      <c r="AO4" s="273"/>
      <c r="AP4" s="267"/>
      <c r="AQ4" s="273"/>
      <c r="AR4" s="273"/>
      <c r="AS4" s="269"/>
      <c r="AT4" s="272"/>
      <c r="AU4" s="268"/>
      <c r="AV4" s="273"/>
      <c r="AW4" s="267"/>
      <c r="AX4" s="273"/>
      <c r="AY4" s="273"/>
      <c r="AZ4" s="269"/>
      <c r="BA4" s="86"/>
      <c r="BB4" s="87">
        <v>-50</v>
      </c>
      <c r="BC4" s="87"/>
    </row>
    <row r="5" spans="1:83" s="88" customFormat="1" ht="24.95" customHeight="1" thickTop="1" thickBot="1">
      <c r="A5" s="154">
        <v>140010117</v>
      </c>
      <c r="B5" s="244">
        <v>6</v>
      </c>
      <c r="C5" s="237" t="s">
        <v>0</v>
      </c>
      <c r="D5" s="238" t="str">
        <f>_xlfn.XLOOKUP(progress_tbl[[#This Row],[productId]],bom[Id],bom[ph],"NA")</f>
        <v>nar.p</v>
      </c>
      <c r="E5" s="238" t="str">
        <f>_xlfn.XLOOKUP(progress_tbl[[#This Row],[productId]],bom[Id],bom[erth],"NA")</f>
        <v>-</v>
      </c>
      <c r="F5" s="239" t="str">
        <f>_xlfn.XLOOKUP(progress_tbl[[#This Row],[productId]],bom[Id],bom[dbl],"NA")</f>
        <v>nar.p</v>
      </c>
      <c r="G5" s="238" t="str">
        <f>_xlfn.XLOOKUP(progress_tbl[[#This Row],[productId]],bom[Id],bom[نوع کابل],"NA")</f>
        <v>3*0.75</v>
      </c>
      <c r="H5" s="238" t="str">
        <f>_xlfn.XLOOKUP(progress_tbl[[#This Row],[productId]],bom[Id],bom[strip],"NA")</f>
        <v>?</v>
      </c>
      <c r="I5" s="159">
        <f>SUMIFS(plans[num],plans[productId],A5,plans[planId],B5)</f>
        <v>17000</v>
      </c>
      <c r="J5" s="308">
        <f>SUMIFS(cutts[num1],cutts[productId],A5,cutts[plan1],B5)+SUMIFS(cutts[num2],cutts[productId],A5,cutts[plan2],B5)</f>
        <v>15000</v>
      </c>
      <c r="K5" s="160">
        <f>SUMIFS(packes[num1],packes[productId],A5,packes[plan1],B5)+SUMIFS(packes[num2],packes[productId],A5,packes[plan2],B5)</f>
        <v>4425</v>
      </c>
      <c r="L5" s="161">
        <f t="shared" si="0"/>
        <v>-2000</v>
      </c>
      <c r="M5" s="162">
        <f t="shared" si="1"/>
        <v>-12575</v>
      </c>
      <c r="N5" s="163">
        <f t="shared" si="2"/>
        <v>10575</v>
      </c>
      <c r="O5" s="164"/>
      <c r="P5" s="165"/>
      <c r="Q5" s="166"/>
      <c r="R5" s="167"/>
      <c r="S5" s="167"/>
      <c r="T5" s="167"/>
      <c r="U5" s="432"/>
      <c r="V5" s="265"/>
      <c r="W5" s="266"/>
      <c r="X5" s="269"/>
      <c r="Y5" s="272"/>
      <c r="Z5" s="268"/>
      <c r="AA5" s="273"/>
      <c r="AB5" s="267"/>
      <c r="AC5" s="273"/>
      <c r="AD5" s="273"/>
      <c r="AE5" s="269"/>
      <c r="AF5" s="272"/>
      <c r="AG5" s="268"/>
      <c r="AH5" s="273"/>
      <c r="AI5" s="267"/>
      <c r="AJ5" s="273"/>
      <c r="AK5" s="273"/>
      <c r="AL5" s="269"/>
      <c r="AM5" s="272"/>
      <c r="AN5" s="268"/>
      <c r="AO5" s="273"/>
      <c r="AP5" s="267"/>
      <c r="AQ5" s="273"/>
      <c r="AR5" s="273"/>
      <c r="AS5" s="269"/>
      <c r="AT5" s="272"/>
      <c r="AU5" s="268"/>
      <c r="AV5" s="273"/>
      <c r="AW5" s="267"/>
      <c r="AX5" s="273"/>
      <c r="AY5" s="273"/>
      <c r="AZ5" s="269"/>
      <c r="BA5" s="86"/>
      <c r="BB5" s="87">
        <v>-30</v>
      </c>
      <c r="BC5" s="87"/>
    </row>
    <row r="6" spans="1:83" s="88" customFormat="1" ht="24.95" customHeight="1" thickTop="1" thickBot="1">
      <c r="A6" s="168">
        <v>140450047</v>
      </c>
      <c r="B6" s="243">
        <v>4</v>
      </c>
      <c r="C6" s="234" t="s">
        <v>203</v>
      </c>
      <c r="D6" s="235">
        <f>_xlfn.XLOOKUP(progress_tbl[[#This Row],[productId]],bom[Id],bom[ph],"NA")</f>
        <v>0</v>
      </c>
      <c r="E6" s="235">
        <f>_xlfn.XLOOKUP(progress_tbl[[#This Row],[productId]],bom[Id],bom[erth],"NA")</f>
        <v>0</v>
      </c>
      <c r="F6" s="236">
        <f>_xlfn.XLOOKUP(progress_tbl[[#This Row],[productId]],bom[Id],bom[dbl],"NA")</f>
        <v>0</v>
      </c>
      <c r="G6" s="235" t="str">
        <f>_xlfn.XLOOKUP(progress_tbl[[#This Row],[productId]],bom[Id],bom[نوع کابل],"NA")</f>
        <v>3*1</v>
      </c>
      <c r="H6" s="235">
        <f>_xlfn.XLOOKUP(progress_tbl[[#This Row],[productId]],bom[Id],bom[strip],"NA")</f>
        <v>0</v>
      </c>
      <c r="I6" s="143">
        <f>SUMIFS(plans[num],plans[productId],A6,plans[planId],B6)</f>
        <v>11000</v>
      </c>
      <c r="J6" s="241">
        <f>SUMIFS(cutts[num1],cutts[productId],A6,cutts[plan1],B6)+SUMIFS(cutts[num2],cutts[productId],A6,cutts[plan2],B6)</f>
        <v>11000</v>
      </c>
      <c r="K6" s="144">
        <f>SUMIFS(packes[num1],packes[productId],A6,packes[plan1],B6)+SUMIFS(packes[num2],packes[productId],A6,packes[plan2],B6)</f>
        <v>11000</v>
      </c>
      <c r="L6" s="145">
        <f t="shared" si="0"/>
        <v>0</v>
      </c>
      <c r="M6" s="146">
        <f t="shared" si="1"/>
        <v>0</v>
      </c>
      <c r="N6" s="147">
        <f t="shared" si="2"/>
        <v>0</v>
      </c>
      <c r="O6" s="148" t="s">
        <v>218</v>
      </c>
      <c r="P6" s="149"/>
      <c r="Q6" s="150"/>
      <c r="R6" s="151"/>
      <c r="S6" s="151"/>
      <c r="T6" s="151"/>
      <c r="U6" s="242">
        <v>19</v>
      </c>
      <c r="V6" s="260" t="s">
        <v>1294</v>
      </c>
      <c r="W6" s="261" t="s">
        <v>1294</v>
      </c>
      <c r="X6" s="264" t="s">
        <v>1294</v>
      </c>
      <c r="Y6" s="270" t="s">
        <v>1295</v>
      </c>
      <c r="Z6" s="263" t="s">
        <v>1296</v>
      </c>
      <c r="AA6" s="271" t="s">
        <v>1297</v>
      </c>
      <c r="AB6" s="262" t="s">
        <v>1297</v>
      </c>
      <c r="AC6" s="271" t="s">
        <v>1297</v>
      </c>
      <c r="AD6" s="271" t="s">
        <v>1297</v>
      </c>
      <c r="AE6" s="264" t="s">
        <v>1297</v>
      </c>
      <c r="AF6" s="270" t="s">
        <v>1297</v>
      </c>
      <c r="AG6" s="263" t="s">
        <v>1297</v>
      </c>
      <c r="AH6" s="271" t="s">
        <v>1297</v>
      </c>
      <c r="AI6" s="262" t="s">
        <v>1297</v>
      </c>
      <c r="AJ6" s="271" t="s">
        <v>1297</v>
      </c>
      <c r="AK6" s="271" t="s">
        <v>1297</v>
      </c>
      <c r="AL6" s="264" t="s">
        <v>1297</v>
      </c>
      <c r="AM6" s="270" t="s">
        <v>1297</v>
      </c>
      <c r="AN6" s="263" t="s">
        <v>1297</v>
      </c>
      <c r="AO6" s="271" t="s">
        <v>1297</v>
      </c>
      <c r="AP6" s="262" t="s">
        <v>1297</v>
      </c>
      <c r="AQ6" s="271" t="s">
        <v>1297</v>
      </c>
      <c r="AR6" s="271" t="s">
        <v>1297</v>
      </c>
      <c r="AS6" s="264" t="s">
        <v>1297</v>
      </c>
      <c r="AT6" s="270" t="s">
        <v>1297</v>
      </c>
      <c r="AU6" s="263" t="s">
        <v>1297</v>
      </c>
      <c r="AV6" s="271" t="s">
        <v>1297</v>
      </c>
      <c r="AW6" s="262" t="s">
        <v>1297</v>
      </c>
      <c r="AX6" s="271" t="s">
        <v>1297</v>
      </c>
      <c r="AY6" s="271" t="s">
        <v>1297</v>
      </c>
      <c r="AZ6" s="264" t="s">
        <v>1297</v>
      </c>
      <c r="BA6" s="86"/>
      <c r="BB6" s="87"/>
      <c r="BC6" s="87"/>
    </row>
    <row r="7" spans="1:83" s="88" customFormat="1" ht="24.95" customHeight="1" thickTop="1" thickBot="1">
      <c r="A7" s="168">
        <v>140010255</v>
      </c>
      <c r="B7" s="243">
        <v>6</v>
      </c>
      <c r="C7" s="234" t="s">
        <v>0</v>
      </c>
      <c r="D7" s="235" t="str">
        <f>_xlfn.XLOOKUP(progress_tbl[[#This Row],[productId]],bom[Id],bom[ph],"NA")</f>
        <v>-</v>
      </c>
      <c r="E7" s="235" t="str">
        <f>_xlfn.XLOOKUP(progress_tbl[[#This Row],[productId]],bom[Id],bom[erth],"NA")</f>
        <v>-</v>
      </c>
      <c r="F7" s="236" t="str">
        <f>_xlfn.XLOOKUP(progress_tbl[[#This Row],[productId]],bom[Id],bom[dbl],"NA")</f>
        <v>6.3flat</v>
      </c>
      <c r="G7" s="235" t="str">
        <f>_xlfn.XLOOKUP(progress_tbl[[#This Row],[productId]],bom[Id],bom[نوع کابل],"NA")</f>
        <v>3*0.75</v>
      </c>
      <c r="H7" s="235" t="str">
        <f>_xlfn.XLOOKUP(progress_tbl[[#This Row],[productId]],bom[Id],bom[strip],"NA")</f>
        <v>?</v>
      </c>
      <c r="I7" s="143">
        <f>SUMIFS(plans[num],plans[productId],A7,plans[planId],B7)</f>
        <v>2800</v>
      </c>
      <c r="J7" s="241">
        <f>SUMIFS(cutts[num1],cutts[productId],A7,cutts[plan1],B7)+SUMIFS(cutts[num2],cutts[productId],A7,cutts[plan2],B7)</f>
        <v>2800</v>
      </c>
      <c r="K7" s="144">
        <f>SUMIFS(packes[num1],packes[productId],A7,packes[plan1],B7)+SUMIFS(packes[num2],packes[productId],A7,packes[plan2],B7)</f>
        <v>1575</v>
      </c>
      <c r="L7" s="145">
        <f t="shared" si="0"/>
        <v>0</v>
      </c>
      <c r="M7" s="146">
        <f t="shared" si="1"/>
        <v>-1225</v>
      </c>
      <c r="N7" s="147">
        <f t="shared" si="2"/>
        <v>1225</v>
      </c>
      <c r="O7" s="148"/>
      <c r="P7" s="149"/>
      <c r="Q7" s="150"/>
      <c r="R7" s="151"/>
      <c r="S7" s="151"/>
      <c r="T7" s="151"/>
      <c r="U7" s="432"/>
      <c r="V7" s="260"/>
      <c r="W7" s="261"/>
      <c r="X7" s="264"/>
      <c r="Y7" s="270"/>
      <c r="Z7" s="263"/>
      <c r="AA7" s="271"/>
      <c r="AB7" s="262"/>
      <c r="AC7" s="271"/>
      <c r="AD7" s="271"/>
      <c r="AE7" s="264"/>
      <c r="AF7" s="270"/>
      <c r="AG7" s="263"/>
      <c r="AH7" s="271"/>
      <c r="AI7" s="262"/>
      <c r="AJ7" s="271"/>
      <c r="AK7" s="271"/>
      <c r="AL7" s="264"/>
      <c r="AM7" s="270"/>
      <c r="AN7" s="263"/>
      <c r="AO7" s="271"/>
      <c r="AP7" s="262"/>
      <c r="AQ7" s="271"/>
      <c r="AR7" s="271"/>
      <c r="AS7" s="264"/>
      <c r="AT7" s="270"/>
      <c r="AU7" s="263"/>
      <c r="AV7" s="271"/>
      <c r="AW7" s="262"/>
      <c r="AX7" s="271"/>
      <c r="AY7" s="271"/>
      <c r="AZ7" s="264"/>
      <c r="BA7" s="86"/>
      <c r="BB7" s="87"/>
      <c r="BC7" s="87"/>
    </row>
    <row r="8" spans="1:83" s="88" customFormat="1" ht="24.95" customHeight="1" thickTop="1" thickBot="1">
      <c r="A8" s="154">
        <v>140030039</v>
      </c>
      <c r="B8" s="243">
        <v>6</v>
      </c>
      <c r="C8" s="237" t="s">
        <v>1107</v>
      </c>
      <c r="D8" s="238" t="str">
        <f>_xlfn.XLOOKUP(progress_tbl[[#This Row],[productId]],bom[Id],bom[ph],"NA")</f>
        <v>YH</v>
      </c>
      <c r="E8" s="238" t="str">
        <f>_xlfn.XLOOKUP(progress_tbl[[#This Row],[productId]],bom[Id],bom[erth],"NA")</f>
        <v>sun</v>
      </c>
      <c r="F8" s="239" t="str">
        <f>_xlfn.XLOOKUP(progress_tbl[[#This Row],[productId]],bom[Id],bom[dbl],"NA")</f>
        <v>-</v>
      </c>
      <c r="G8" s="238" t="str">
        <f>_xlfn.XLOOKUP(progress_tbl[[#This Row],[productId]],bom[Id],bom[نوع کابل],"NA")</f>
        <v>3*0.75</v>
      </c>
      <c r="H8" s="238" t="str">
        <f>_xlfn.XLOOKUP(progress_tbl[[#This Row],[productId]],bom[Id],bom[strip],"NA")</f>
        <v>noStrp</v>
      </c>
      <c r="I8" s="159">
        <f>SUMIFS(plans[num],plans[productId],A8,plans[planId],B8)</f>
        <v>1800</v>
      </c>
      <c r="J8" s="308">
        <f>SUMIFS(cutts[num1],cutts[productId],A8,cutts[plan1],B8)+SUMIFS(cutts[num2],cutts[productId],A8,cutts[plan2],B8)</f>
        <v>1800</v>
      </c>
      <c r="K8" s="160">
        <f>SUMIFS(packes[num1],packes[productId],A8,packes[plan1],B8)+SUMIFS(packes[num2],packes[productId],A8,packes[plan2],B8)</f>
        <v>1400</v>
      </c>
      <c r="L8" s="161">
        <f t="shared" si="0"/>
        <v>0</v>
      </c>
      <c r="M8" s="162">
        <f t="shared" si="1"/>
        <v>-400</v>
      </c>
      <c r="N8" s="163">
        <f t="shared" si="2"/>
        <v>400</v>
      </c>
      <c r="O8" s="164"/>
      <c r="P8" s="165"/>
      <c r="Q8" s="166"/>
      <c r="R8" s="167"/>
      <c r="S8" s="167"/>
      <c r="T8" s="167"/>
      <c r="U8" s="432"/>
      <c r="V8" s="265"/>
      <c r="W8" s="266"/>
      <c r="X8" s="269"/>
      <c r="Y8" s="272"/>
      <c r="Z8" s="268"/>
      <c r="AA8" s="273"/>
      <c r="AB8" s="267"/>
      <c r="AC8" s="273"/>
      <c r="AD8" s="273"/>
      <c r="AE8" s="269"/>
      <c r="AF8" s="272"/>
      <c r="AG8" s="268"/>
      <c r="AH8" s="273"/>
      <c r="AI8" s="267"/>
      <c r="AJ8" s="273"/>
      <c r="AK8" s="273"/>
      <c r="AL8" s="269"/>
      <c r="AM8" s="272"/>
      <c r="AN8" s="268"/>
      <c r="AO8" s="273"/>
      <c r="AP8" s="267"/>
      <c r="AQ8" s="273"/>
      <c r="AR8" s="273"/>
      <c r="AS8" s="269"/>
      <c r="AT8" s="272"/>
      <c r="AU8" s="268"/>
      <c r="AV8" s="273"/>
      <c r="AW8" s="267"/>
      <c r="AX8" s="273"/>
      <c r="AY8" s="273"/>
      <c r="AZ8" s="269"/>
      <c r="BA8" s="86"/>
      <c r="BB8" s="87"/>
      <c r="BC8" s="87"/>
    </row>
    <row r="9" spans="1:83" s="88" customFormat="1" ht="24.95" customHeight="1" thickTop="1" thickBot="1">
      <c r="A9" s="168">
        <v>140310071</v>
      </c>
      <c r="B9" s="243">
        <v>3</v>
      </c>
      <c r="C9" s="234" t="s">
        <v>55</v>
      </c>
      <c r="D9" s="235" t="str">
        <f>_xlfn.XLOOKUP(progress_tbl[[#This Row],[productId]],bom[Id],bom[ph],"NA")</f>
        <v>6.3ch</v>
      </c>
      <c r="E9" s="235" t="str">
        <f>_xlfn.XLOOKUP(progress_tbl[[#This Row],[productId]],bom[Id],bom[erth],"NA")</f>
        <v>6.3k</v>
      </c>
      <c r="F9" s="239" t="str">
        <f>_xlfn.XLOOKUP(progress_tbl[[#This Row],[productId]],bom[Id],bom[dbl],"NA")</f>
        <v>-</v>
      </c>
      <c r="G9" s="235" t="str">
        <f>_xlfn.XLOOKUP(progress_tbl[[#This Row],[productId]],bom[Id],bom[نوع کابل],"NA")</f>
        <v>3*1</v>
      </c>
      <c r="H9" s="235" t="str">
        <f>_xlfn.XLOOKUP(progress_tbl[[#This Row],[productId]],bom[Id],bom[strip],"NA")</f>
        <v>noStrp</v>
      </c>
      <c r="I9" s="143">
        <f>SUMIFS(plans[num],plans[productId],A9,plans[planId],B9)</f>
        <v>70000</v>
      </c>
      <c r="J9" s="112">
        <f>SUMIFS(cutts[num1],cutts[productId],A9,cutts[plan1],B9)+SUMIFS(cutts[num2],cutts[productId],A9,cutts[plan2],B9)</f>
        <v>70000</v>
      </c>
      <c r="K9" s="144">
        <f>SUMIFS(packes[num1],packes[productId],A9,packes[plan1],B9)+SUMIFS(packes[num2],packes[productId],A9,packes[plan2],B9)</f>
        <v>69950</v>
      </c>
      <c r="L9" s="145">
        <f t="shared" si="0"/>
        <v>0</v>
      </c>
      <c r="M9" s="146">
        <f t="shared" si="1"/>
        <v>-50</v>
      </c>
      <c r="N9" s="147">
        <f t="shared" si="2"/>
        <v>50</v>
      </c>
      <c r="O9" s="148" t="s">
        <v>1169</v>
      </c>
      <c r="P9" s="149"/>
      <c r="Q9" s="150"/>
      <c r="R9" s="151"/>
      <c r="S9" s="151"/>
      <c r="T9" s="151"/>
      <c r="U9" s="242">
        <v>4</v>
      </c>
      <c r="V9" s="260" t="s">
        <v>1289</v>
      </c>
      <c r="W9" s="261" t="s">
        <v>1289</v>
      </c>
      <c r="X9" s="264" t="s">
        <v>1289</v>
      </c>
      <c r="Y9" s="270" t="s">
        <v>1290</v>
      </c>
      <c r="Z9" s="263" t="s">
        <v>1290</v>
      </c>
      <c r="AA9" s="271" t="s">
        <v>1291</v>
      </c>
      <c r="AB9" s="262" t="s">
        <v>1292</v>
      </c>
      <c r="AC9" s="271" t="s">
        <v>1293</v>
      </c>
      <c r="AD9" s="271" t="s">
        <v>1293</v>
      </c>
      <c r="AE9" s="264" t="s">
        <v>1293</v>
      </c>
      <c r="AF9" s="270" t="s">
        <v>1293</v>
      </c>
      <c r="AG9" s="263" t="s">
        <v>1293</v>
      </c>
      <c r="AH9" s="271" t="s">
        <v>1293</v>
      </c>
      <c r="AI9" s="262" t="s">
        <v>1293</v>
      </c>
      <c r="AJ9" s="271" t="s">
        <v>1293</v>
      </c>
      <c r="AK9" s="271" t="s">
        <v>1293</v>
      </c>
      <c r="AL9" s="264" t="s">
        <v>1293</v>
      </c>
      <c r="AM9" s="270" t="s">
        <v>1293</v>
      </c>
      <c r="AN9" s="263" t="s">
        <v>1293</v>
      </c>
      <c r="AO9" s="271" t="s">
        <v>1293</v>
      </c>
      <c r="AP9" s="262" t="s">
        <v>1293</v>
      </c>
      <c r="AQ9" s="271" t="s">
        <v>1293</v>
      </c>
      <c r="AR9" s="271" t="s">
        <v>1293</v>
      </c>
      <c r="AS9" s="264" t="s">
        <v>1293</v>
      </c>
      <c r="AT9" s="270" t="s">
        <v>1293</v>
      </c>
      <c r="AU9" s="263" t="s">
        <v>1293</v>
      </c>
      <c r="AV9" s="271" t="s">
        <v>1293</v>
      </c>
      <c r="AW9" s="262" t="s">
        <v>1293</v>
      </c>
      <c r="AX9" s="271" t="s">
        <v>1293</v>
      </c>
      <c r="AY9" s="271" t="s">
        <v>1293</v>
      </c>
      <c r="AZ9" s="264" t="s">
        <v>1293</v>
      </c>
      <c r="BA9" s="86"/>
      <c r="BB9" s="87"/>
      <c r="BC9" s="87"/>
    </row>
    <row r="10" spans="1:83" s="88" customFormat="1" ht="24.95" customHeight="1" thickTop="1" thickBot="1">
      <c r="A10" s="168">
        <v>140310031</v>
      </c>
      <c r="B10" s="433">
        <v>4</v>
      </c>
      <c r="C10" s="434" t="s">
        <v>55</v>
      </c>
      <c r="D10" s="235">
        <f>_xlfn.XLOOKUP(progress_tbl[[#This Row],[productId]],bom[Id],bom[ph],"NA")</f>
        <v>461</v>
      </c>
      <c r="E10" s="235" t="str">
        <f>_xlfn.XLOOKUP(progress_tbl[[#This Row],[productId]],bom[Id],bom[erth],"NA")</f>
        <v>nut4</v>
      </c>
      <c r="F10" s="235" t="str">
        <f>_xlfn.XLOOKUP(progress_tbl[[#This Row],[productId]],bom[Id],bom[dbl],"NA")</f>
        <v>-</v>
      </c>
      <c r="G10" s="235" t="str">
        <f>_xlfn.XLOOKUP(progress_tbl[[#This Row],[productId]],bom[Id],bom[نوع کابل],"NA")</f>
        <v>3*0.75</v>
      </c>
      <c r="H10" s="235" t="str">
        <f>_xlfn.XLOOKUP(progress_tbl[[#This Row],[productId]],bom[Id],bom[strip],"NA")</f>
        <v>strp</v>
      </c>
      <c r="I10" s="143">
        <f>SUMIFS(plans[num],plans[productId],A10,plans[planId],B10)</f>
        <v>8500</v>
      </c>
      <c r="J10" s="241">
        <f>SUMIFS(cutts[num1],cutts[productId],A10,cutts[plan1],B10)+SUMIFS(cutts[num2],cutts[productId],A10,cutts[plan2],B10)</f>
        <v>8502</v>
      </c>
      <c r="K10" s="144">
        <f>SUMIFS(packes[num1],packes[productId],A10,packes[plan1],B10)+SUMIFS(packes[num2],packes[productId],A10,packes[plan2],B10)</f>
        <v>8500</v>
      </c>
      <c r="L10" s="145">
        <f t="shared" si="0"/>
        <v>2</v>
      </c>
      <c r="M10" s="146">
        <f t="shared" si="1"/>
        <v>0</v>
      </c>
      <c r="N10" s="147">
        <f t="shared" si="2"/>
        <v>2</v>
      </c>
      <c r="O10" s="148"/>
      <c r="P10" s="149"/>
      <c r="Q10" s="150"/>
      <c r="R10" s="151"/>
      <c r="S10" s="151"/>
      <c r="T10" s="151"/>
      <c r="U10" s="435">
        <v>20</v>
      </c>
      <c r="V10" s="260" t="s">
        <v>1298</v>
      </c>
      <c r="W10" s="261" t="s">
        <v>1298</v>
      </c>
      <c r="X10" s="264" t="s">
        <v>1298</v>
      </c>
      <c r="Y10" s="270" t="s">
        <v>1299</v>
      </c>
      <c r="Z10" s="263" t="s">
        <v>1299</v>
      </c>
      <c r="AA10" s="271" t="s">
        <v>1299</v>
      </c>
      <c r="AB10" s="262" t="s">
        <v>1299</v>
      </c>
      <c r="AC10" s="322" t="s">
        <v>1300</v>
      </c>
      <c r="AD10" s="271" t="s">
        <v>1300</v>
      </c>
      <c r="AE10" s="264" t="s">
        <v>1300</v>
      </c>
      <c r="AF10" s="270" t="s">
        <v>1300</v>
      </c>
      <c r="AG10" s="263" t="s">
        <v>1300</v>
      </c>
      <c r="AH10" s="271" t="s">
        <v>1300</v>
      </c>
      <c r="AI10" s="262" t="s">
        <v>1300</v>
      </c>
      <c r="AJ10" s="271" t="s">
        <v>1300</v>
      </c>
      <c r="AK10" s="271" t="s">
        <v>1300</v>
      </c>
      <c r="AL10" s="264" t="s">
        <v>1300</v>
      </c>
      <c r="AM10" s="270" t="s">
        <v>1300</v>
      </c>
      <c r="AN10" s="263" t="s">
        <v>1300</v>
      </c>
      <c r="AO10" s="271" t="s">
        <v>1300</v>
      </c>
      <c r="AP10" s="262" t="s">
        <v>1300</v>
      </c>
      <c r="AQ10" s="271" t="s">
        <v>1300</v>
      </c>
      <c r="AR10" s="271" t="s">
        <v>1300</v>
      </c>
      <c r="AS10" s="264" t="s">
        <v>1300</v>
      </c>
      <c r="AT10" s="270" t="s">
        <v>1300</v>
      </c>
      <c r="AU10" s="263" t="s">
        <v>1300</v>
      </c>
      <c r="AV10" s="271" t="s">
        <v>1300</v>
      </c>
      <c r="AW10" s="262" t="s">
        <v>1300</v>
      </c>
      <c r="AX10" s="271" t="s">
        <v>1300</v>
      </c>
      <c r="AY10" s="271" t="s">
        <v>1300</v>
      </c>
      <c r="AZ10" s="264" t="s">
        <v>1300</v>
      </c>
      <c r="BA10" s="86"/>
      <c r="BB10" s="87"/>
      <c r="BC10" s="87"/>
    </row>
    <row r="11" spans="1:83" s="88" customFormat="1" ht="24.95" customHeight="1" thickTop="1" thickBot="1">
      <c r="A11" s="436">
        <v>140310096</v>
      </c>
      <c r="B11" s="437">
        <v>6</v>
      </c>
      <c r="C11" s="438" t="s">
        <v>55</v>
      </c>
      <c r="D11" s="439" t="str">
        <f>_xlfn.XLOOKUP(progress_tbl[[#This Row],[productId]],bom[Id],bom[ph],"NA")</f>
        <v>6.3ch</v>
      </c>
      <c r="E11" s="439" t="str">
        <f>_xlfn.XLOOKUP(progress_tbl[[#This Row],[productId]],bom[Id],bom[erth],"NA")</f>
        <v>6.3k</v>
      </c>
      <c r="F11" s="439">
        <f>_xlfn.XLOOKUP(progress_tbl[[#This Row],[productId]],bom[Id],bom[dbl],"NA")</f>
        <v>0</v>
      </c>
      <c r="G11" s="235" t="str">
        <f>_xlfn.XLOOKUP(progress_tbl[[#This Row],[productId]],bom[Id],bom[نوع کابل],"NA")</f>
        <v>3*1</v>
      </c>
      <c r="H11" s="235" t="str">
        <f>_xlfn.XLOOKUP(progress_tbl[[#This Row],[productId]],bom[Id],bom[strip],"NA")</f>
        <v>strp</v>
      </c>
      <c r="I11" s="440">
        <f>SUMIFS(plans[num],plans[productId],A11,plans[planId],B11)</f>
        <v>2500</v>
      </c>
      <c r="J11" s="112">
        <f>SUMIFS(cutts[num1],cutts[productId],A11,cutts[plan1],B11)+SUMIFS(cutts[num2],cutts[productId],A11,cutts[plan2],B11)</f>
        <v>2500</v>
      </c>
      <c r="K11" s="441">
        <f>SUMIFS(packes[num1],packes[productId],A11,packes[plan1],B11)+SUMIFS(packes[num2],packes[productId],A11,packes[plan2],B11)</f>
        <v>1800</v>
      </c>
      <c r="L11" s="442">
        <f>-I11+J11</f>
        <v>0</v>
      </c>
      <c r="M11" s="443">
        <f>K11-I11</f>
        <v>-700</v>
      </c>
      <c r="N11" s="444">
        <f>J11-K11</f>
        <v>700</v>
      </c>
      <c r="O11" s="445"/>
      <c r="P11" s="113"/>
      <c r="Q11" s="95"/>
      <c r="R11" s="96"/>
      <c r="S11" s="96"/>
      <c r="T11" s="96"/>
      <c r="U11" s="435"/>
      <c r="V11" s="260"/>
      <c r="W11" s="261"/>
      <c r="X11" s="264"/>
      <c r="Y11" s="270"/>
      <c r="Z11" s="263"/>
      <c r="AA11" s="271"/>
      <c r="AB11" s="262"/>
      <c r="AC11" s="271"/>
      <c r="AD11" s="271"/>
      <c r="AE11" s="264"/>
      <c r="AF11" s="270"/>
      <c r="AG11" s="263"/>
      <c r="AH11" s="271"/>
      <c r="AI11" s="262"/>
      <c r="AJ11" s="271"/>
      <c r="AK11" s="271"/>
      <c r="AL11" s="264"/>
      <c r="AM11" s="270"/>
      <c r="AN11" s="263"/>
      <c r="AO11" s="271"/>
      <c r="AP11" s="262"/>
      <c r="AQ11" s="271"/>
      <c r="AR11" s="271"/>
      <c r="AS11" s="264"/>
      <c r="AT11" s="270"/>
      <c r="AU11" s="263"/>
      <c r="AV11" s="271"/>
      <c r="AW11" s="262"/>
      <c r="AX11" s="271"/>
      <c r="AY11" s="271"/>
      <c r="AZ11" s="264"/>
      <c r="BA11" s="86"/>
      <c r="BB11" s="87"/>
      <c r="BC11" s="87"/>
    </row>
    <row r="12" spans="1:83" s="88" customFormat="1" ht="24.95" customHeight="1" thickTop="1" thickBot="1">
      <c r="A12" s="257"/>
      <c r="B12" s="206"/>
      <c r="C12" s="190"/>
      <c r="D12" s="126"/>
      <c r="E12" s="126"/>
      <c r="F12" s="126"/>
      <c r="G12" s="126"/>
      <c r="H12" s="126"/>
      <c r="I12" s="207"/>
      <c r="J12" s="208"/>
      <c r="K12" s="209"/>
      <c r="L12" s="210"/>
      <c r="M12" s="211"/>
      <c r="N12" s="212"/>
      <c r="O12" s="193"/>
      <c r="P12" s="124"/>
      <c r="Q12" s="125"/>
      <c r="R12" s="126"/>
      <c r="S12" s="127"/>
      <c r="T12" s="127"/>
      <c r="U12" s="127"/>
      <c r="V12" s="130"/>
      <c r="W12" s="129"/>
      <c r="X12" s="130"/>
      <c r="Y12" s="130"/>
      <c r="Z12" s="130"/>
      <c r="AA12" s="132"/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29"/>
      <c r="BA12" s="86"/>
      <c r="BB12" s="87"/>
      <c r="BC12" s="87"/>
    </row>
    <row r="13" spans="1:83" s="88" customFormat="1" ht="24.95" customHeight="1" thickTop="1" thickBot="1">
      <c r="A13" s="255" t="s">
        <v>213</v>
      </c>
      <c r="B13" s="252"/>
      <c r="C13" s="189"/>
      <c r="D13" s="194"/>
      <c r="E13" s="194"/>
      <c r="F13" s="195"/>
      <c r="G13" s="194"/>
      <c r="H13" s="194"/>
      <c r="I13" s="196"/>
      <c r="J13" s="197"/>
      <c r="K13" s="198"/>
      <c r="L13" s="199"/>
      <c r="M13" s="200"/>
      <c r="N13" s="200"/>
      <c r="O13" s="193"/>
      <c r="P13" s="124"/>
      <c r="Q13" s="125"/>
      <c r="R13" s="126"/>
      <c r="S13" s="127"/>
      <c r="T13" s="127"/>
      <c r="U13" s="127"/>
      <c r="V13" s="130"/>
      <c r="W13" s="129"/>
      <c r="X13" s="130"/>
      <c r="Y13" s="130"/>
      <c r="Z13" s="130"/>
      <c r="AA13" s="132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29"/>
      <c r="BA13" s="86"/>
      <c r="BB13" s="87"/>
      <c r="BC13" s="87"/>
    </row>
    <row r="14" spans="1:83" s="88" customFormat="1" ht="24.95" customHeight="1" thickTop="1" thickBot="1">
      <c r="A14" s="274">
        <v>140310083</v>
      </c>
      <c r="B14" s="275">
        <v>3</v>
      </c>
      <c r="C14" s="276" t="s">
        <v>55</v>
      </c>
      <c r="D14" s="277" t="e">
        <v>#VALUE!</v>
      </c>
      <c r="E14" s="277" t="e">
        <v>#VALUE!</v>
      </c>
      <c r="F14" s="239" t="e">
        <v>#VALUE!</v>
      </c>
      <c r="G14" s="277" t="e">
        <v>#VALUE!</v>
      </c>
      <c r="H14" s="277" t="e">
        <v>#VALUE!</v>
      </c>
      <c r="I14" s="278">
        <v>30000</v>
      </c>
      <c r="J14" s="182">
        <v>30000</v>
      </c>
      <c r="K14" s="279">
        <v>30000</v>
      </c>
      <c r="L14" s="280">
        <v>0</v>
      </c>
      <c r="M14" s="281">
        <v>0</v>
      </c>
      <c r="N14" s="282">
        <v>0</v>
      </c>
      <c r="O14" s="216"/>
      <c r="P14" s="217"/>
      <c r="Q14" s="218"/>
      <c r="R14" s="219"/>
      <c r="S14" s="219"/>
      <c r="T14" s="219"/>
      <c r="U14" s="127"/>
      <c r="V14" s="221"/>
      <c r="W14" s="222"/>
      <c r="X14" s="222"/>
      <c r="Y14" s="222"/>
      <c r="Z14" s="223"/>
      <c r="AA14" s="222"/>
      <c r="AB14" s="222"/>
      <c r="AC14" s="222"/>
      <c r="AD14" s="222"/>
      <c r="AE14" s="222"/>
      <c r="AF14" s="222"/>
      <c r="AG14" s="223"/>
      <c r="AH14" s="222"/>
      <c r="AI14" s="222"/>
      <c r="AJ14" s="222"/>
      <c r="AK14" s="222"/>
      <c r="AL14" s="222"/>
      <c r="AM14" s="222"/>
      <c r="AN14" s="223"/>
      <c r="AO14" s="222"/>
      <c r="AP14" s="222"/>
      <c r="AQ14" s="222"/>
      <c r="AR14" s="222"/>
      <c r="AS14" s="222"/>
      <c r="AT14" s="222"/>
      <c r="AU14" s="223"/>
      <c r="AV14" s="222"/>
      <c r="AW14" s="222"/>
      <c r="AX14" s="222"/>
      <c r="AY14" s="222"/>
      <c r="AZ14" s="222"/>
      <c r="BA14" s="86"/>
      <c r="BB14" s="87"/>
      <c r="BC14" s="87"/>
    </row>
    <row r="15" spans="1:83" s="88" customFormat="1" ht="24.95" customHeight="1" thickTop="1" thickBot="1">
      <c r="A15" s="274">
        <v>140640007</v>
      </c>
      <c r="B15" s="309">
        <v>2</v>
      </c>
      <c r="C15" s="310" t="s">
        <v>1076</v>
      </c>
      <c r="D15" s="277" t="e">
        <v>#VALUE!</v>
      </c>
      <c r="E15" s="277" t="e">
        <v>#VALUE!</v>
      </c>
      <c r="F15" s="277" t="e">
        <v>#VALUE!</v>
      </c>
      <c r="G15" s="277" t="e">
        <v>#VALUE!</v>
      </c>
      <c r="H15" s="277" t="e">
        <v>#VALUE!</v>
      </c>
      <c r="I15" s="278">
        <v>15000</v>
      </c>
      <c r="J15" s="182">
        <v>15070</v>
      </c>
      <c r="K15" s="279">
        <v>15000</v>
      </c>
      <c r="L15" s="280">
        <v>70</v>
      </c>
      <c r="M15" s="281">
        <v>0</v>
      </c>
      <c r="N15" s="282">
        <v>70</v>
      </c>
      <c r="O15" s="216"/>
      <c r="P15" s="217"/>
      <c r="Q15" s="218"/>
      <c r="R15" s="219"/>
      <c r="S15" s="219"/>
      <c r="T15" s="219"/>
      <c r="U15" s="127"/>
      <c r="V15" s="221"/>
      <c r="W15" s="222"/>
      <c r="X15" s="222"/>
      <c r="Y15" s="222"/>
      <c r="Z15" s="223"/>
      <c r="AA15" s="222"/>
      <c r="AB15" s="222"/>
      <c r="AC15" s="222"/>
      <c r="AD15" s="222"/>
      <c r="AE15" s="222"/>
      <c r="AF15" s="222"/>
      <c r="AG15" s="223"/>
      <c r="AH15" s="222"/>
      <c r="AI15" s="222"/>
      <c r="AJ15" s="222"/>
      <c r="AK15" s="222"/>
      <c r="AL15" s="222"/>
      <c r="AM15" s="222"/>
      <c r="AN15" s="223"/>
      <c r="AO15" s="222"/>
      <c r="AP15" s="222"/>
      <c r="AQ15" s="222"/>
      <c r="AR15" s="222"/>
      <c r="AS15" s="222"/>
      <c r="AT15" s="222"/>
      <c r="AU15" s="223"/>
      <c r="AV15" s="222"/>
      <c r="AW15" s="222"/>
      <c r="AX15" s="222"/>
      <c r="AY15" s="222"/>
      <c r="AZ15" s="222"/>
      <c r="BA15" s="86"/>
      <c r="BB15" s="87"/>
      <c r="BC15" s="87"/>
    </row>
    <row r="16" spans="1:83" s="88" customFormat="1" ht="24.95" customHeight="1" thickTop="1" thickBot="1">
      <c r="A16" s="274">
        <v>140010117</v>
      </c>
      <c r="B16" s="309">
        <v>4</v>
      </c>
      <c r="C16" s="310" t="s">
        <v>0</v>
      </c>
      <c r="D16" s="277" t="e">
        <v>#VALUE!</v>
      </c>
      <c r="E16" s="277" t="e">
        <v>#VALUE!</v>
      </c>
      <c r="F16" s="277" t="e">
        <v>#VALUE!</v>
      </c>
      <c r="G16" s="277" t="e">
        <v>#VALUE!</v>
      </c>
      <c r="H16" s="277" t="e">
        <v>#VALUE!</v>
      </c>
      <c r="I16" s="278">
        <v>2000</v>
      </c>
      <c r="J16" s="283">
        <v>2075</v>
      </c>
      <c r="K16" s="279">
        <v>2000</v>
      </c>
      <c r="L16" s="280">
        <v>75</v>
      </c>
      <c r="M16" s="281">
        <v>0</v>
      </c>
      <c r="N16" s="282">
        <v>75</v>
      </c>
      <c r="O16" s="216"/>
      <c r="P16" s="217"/>
      <c r="Q16" s="218"/>
      <c r="R16" s="219"/>
      <c r="S16" s="219"/>
      <c r="T16" s="219"/>
      <c r="U16" s="127"/>
      <c r="V16" s="221"/>
      <c r="W16" s="222"/>
      <c r="X16" s="222"/>
      <c r="Y16" s="222"/>
      <c r="Z16" s="223"/>
      <c r="AA16" s="222"/>
      <c r="AB16" s="222"/>
      <c r="AC16" s="222"/>
      <c r="AD16" s="222"/>
      <c r="AE16" s="222"/>
      <c r="AF16" s="222"/>
      <c r="AG16" s="223"/>
      <c r="AH16" s="222"/>
      <c r="AI16" s="222"/>
      <c r="AJ16" s="222"/>
      <c r="AK16" s="222"/>
      <c r="AL16" s="222"/>
      <c r="AM16" s="222"/>
      <c r="AN16" s="223"/>
      <c r="AO16" s="222"/>
      <c r="AP16" s="222"/>
      <c r="AQ16" s="222"/>
      <c r="AR16" s="222"/>
      <c r="AS16" s="222"/>
      <c r="AT16" s="222"/>
      <c r="AU16" s="223"/>
      <c r="AV16" s="222"/>
      <c r="AW16" s="222"/>
      <c r="AX16" s="222"/>
      <c r="AY16" s="222"/>
      <c r="AZ16" s="222"/>
      <c r="BA16" s="86"/>
      <c r="BB16" s="87"/>
      <c r="BC16" s="87"/>
    </row>
    <row r="17" spans="1:86" s="88" customFormat="1" ht="24.95" customHeight="1" thickTop="1" thickBot="1">
      <c r="A17" s="274">
        <v>140550019</v>
      </c>
      <c r="B17" s="309">
        <v>10</v>
      </c>
      <c r="C17" s="310" t="s">
        <v>73</v>
      </c>
      <c r="D17" s="277" t="e">
        <v>#VALUE!</v>
      </c>
      <c r="E17" s="277" t="e">
        <v>#VALUE!</v>
      </c>
      <c r="F17" s="277" t="e">
        <v>#VALUE!</v>
      </c>
      <c r="G17" s="277" t="e">
        <v>#VALUE!</v>
      </c>
      <c r="H17" s="277" t="e">
        <v>#VALUE!</v>
      </c>
      <c r="I17" s="278">
        <v>8864</v>
      </c>
      <c r="J17" s="283">
        <v>8888</v>
      </c>
      <c r="K17" s="279">
        <v>8864</v>
      </c>
      <c r="L17" s="280">
        <v>24</v>
      </c>
      <c r="M17" s="281">
        <v>0</v>
      </c>
      <c r="N17" s="282">
        <v>24</v>
      </c>
      <c r="O17" s="216"/>
      <c r="P17" s="217"/>
      <c r="Q17" s="218"/>
      <c r="R17" s="219"/>
      <c r="S17" s="219"/>
      <c r="T17" s="219"/>
      <c r="U17" s="127"/>
      <c r="V17" s="221"/>
      <c r="W17" s="222"/>
      <c r="X17" s="222"/>
      <c r="Y17" s="222"/>
      <c r="Z17" s="223"/>
      <c r="AA17" s="222"/>
      <c r="AB17" s="222"/>
      <c r="AC17" s="222"/>
      <c r="AD17" s="222"/>
      <c r="AE17" s="222"/>
      <c r="AF17" s="222"/>
      <c r="AG17" s="223"/>
      <c r="AH17" s="222"/>
      <c r="AI17" s="222"/>
      <c r="AJ17" s="222"/>
      <c r="AK17" s="222"/>
      <c r="AL17" s="222"/>
      <c r="AM17" s="222"/>
      <c r="AN17" s="223"/>
      <c r="AO17" s="222"/>
      <c r="AP17" s="222"/>
      <c r="AQ17" s="222"/>
      <c r="AR17" s="222"/>
      <c r="AS17" s="222"/>
      <c r="AT17" s="222"/>
      <c r="AU17" s="223"/>
      <c r="AV17" s="222"/>
      <c r="AW17" s="222"/>
      <c r="AX17" s="222"/>
      <c r="AY17" s="222"/>
      <c r="AZ17" s="222"/>
      <c r="BA17" s="86"/>
      <c r="BB17" s="87"/>
      <c r="BC17" s="87"/>
    </row>
    <row r="18" spans="1:86" s="88" customFormat="1" ht="24.95" customHeight="1" thickTop="1" thickBot="1">
      <c r="A18" s="274">
        <v>140010230</v>
      </c>
      <c r="B18" s="309">
        <v>5</v>
      </c>
      <c r="C18" s="310"/>
      <c r="D18" s="277" t="e">
        <v>#VALUE!</v>
      </c>
      <c r="E18" s="277" t="e">
        <v>#VALUE!</v>
      </c>
      <c r="F18" s="277" t="e">
        <v>#VALUE!</v>
      </c>
      <c r="G18" s="277" t="e">
        <v>#VALUE!</v>
      </c>
      <c r="H18" s="277" t="e">
        <v>#VALUE!</v>
      </c>
      <c r="I18" s="278">
        <v>400</v>
      </c>
      <c r="J18" s="283">
        <v>403</v>
      </c>
      <c r="K18" s="279">
        <v>400</v>
      </c>
      <c r="L18" s="280">
        <v>3</v>
      </c>
      <c r="M18" s="281">
        <v>0</v>
      </c>
      <c r="N18" s="282">
        <v>3</v>
      </c>
      <c r="O18" s="216"/>
      <c r="P18" s="217"/>
      <c r="Q18" s="218"/>
      <c r="R18" s="219"/>
      <c r="S18" s="219"/>
      <c r="T18" s="219"/>
      <c r="U18" s="219"/>
      <c r="V18" s="221"/>
      <c r="W18" s="222"/>
      <c r="X18" s="222"/>
      <c r="Y18" s="222"/>
      <c r="Z18" s="223"/>
      <c r="AA18" s="222"/>
      <c r="AB18" s="222"/>
      <c r="AC18" s="222"/>
      <c r="AD18" s="222"/>
      <c r="AE18" s="222"/>
      <c r="AF18" s="222"/>
      <c r="AG18" s="223"/>
      <c r="AH18" s="222"/>
      <c r="AI18" s="222"/>
      <c r="AJ18" s="222"/>
      <c r="AK18" s="222"/>
      <c r="AL18" s="222"/>
      <c r="AM18" s="222"/>
      <c r="AN18" s="223"/>
      <c r="AO18" s="222"/>
      <c r="AP18" s="222"/>
      <c r="AQ18" s="222"/>
      <c r="AR18" s="222"/>
      <c r="AS18" s="222"/>
      <c r="AT18" s="222"/>
      <c r="AU18" s="223"/>
      <c r="AV18" s="222"/>
      <c r="AW18" s="222"/>
      <c r="AX18" s="222"/>
      <c r="AY18" s="222"/>
      <c r="AZ18" s="222"/>
      <c r="BA18" s="86"/>
      <c r="BB18" s="87"/>
      <c r="BC18" s="87"/>
    </row>
    <row r="19" spans="1:86" s="88" customFormat="1" ht="24.95" customHeight="1" thickTop="1" thickBot="1">
      <c r="A19" s="215">
        <v>140010255</v>
      </c>
      <c r="B19" s="315">
        <v>5</v>
      </c>
      <c r="C19" s="316"/>
      <c r="D19" s="238" t="e">
        <v>#VALUE!</v>
      </c>
      <c r="E19" s="238" t="e">
        <v>#VALUE!</v>
      </c>
      <c r="F19" s="238" t="e">
        <v>#VALUE!</v>
      </c>
      <c r="G19" s="238" t="e">
        <v>#VALUE!</v>
      </c>
      <c r="H19" s="238" t="e">
        <v>#VALUE!</v>
      </c>
      <c r="I19" s="159">
        <v>700</v>
      </c>
      <c r="J19" s="308">
        <v>700</v>
      </c>
      <c r="K19" s="160">
        <v>700</v>
      </c>
      <c r="L19" s="161">
        <v>0</v>
      </c>
      <c r="M19" s="162">
        <v>0</v>
      </c>
      <c r="N19" s="163">
        <v>0</v>
      </c>
      <c r="O19" s="216"/>
      <c r="P19" s="217"/>
      <c r="Q19" s="218"/>
      <c r="R19" s="219"/>
      <c r="S19" s="219"/>
      <c r="T19" s="219"/>
      <c r="U19" s="219"/>
      <c r="V19" s="221"/>
      <c r="W19" s="222"/>
      <c r="X19" s="222"/>
      <c r="Y19" s="222"/>
      <c r="Z19" s="223"/>
      <c r="AA19" s="222"/>
      <c r="AB19" s="222"/>
      <c r="AC19" s="222"/>
      <c r="AD19" s="222"/>
      <c r="AE19" s="222"/>
      <c r="AF19" s="222"/>
      <c r="AG19" s="223"/>
      <c r="AH19" s="222"/>
      <c r="AI19" s="222"/>
      <c r="AJ19" s="222"/>
      <c r="AK19" s="222"/>
      <c r="AL19" s="222"/>
      <c r="AM19" s="222"/>
      <c r="AN19" s="223"/>
      <c r="AO19" s="222"/>
      <c r="AP19" s="222"/>
      <c r="AQ19" s="222"/>
      <c r="AR19" s="222"/>
      <c r="AS19" s="222"/>
      <c r="AT19" s="222"/>
      <c r="AU19" s="223"/>
      <c r="AV19" s="222"/>
      <c r="AW19" s="222"/>
      <c r="AX19" s="222"/>
      <c r="AY19" s="222"/>
      <c r="AZ19" s="222"/>
      <c r="BA19" s="86"/>
      <c r="BB19" s="87"/>
      <c r="BC19" s="87"/>
    </row>
    <row r="20" spans="1:86" s="88" customFormat="1" ht="24.95" customHeight="1" thickTop="1" thickBot="1">
      <c r="A20" s="215">
        <v>140310058</v>
      </c>
      <c r="B20" s="275">
        <v>3</v>
      </c>
      <c r="C20" s="276" t="s">
        <v>55</v>
      </c>
      <c r="D20" s="238"/>
      <c r="E20" s="238"/>
      <c r="F20" s="239"/>
      <c r="G20" s="238"/>
      <c r="H20" s="238"/>
      <c r="I20" s="159">
        <v>4000</v>
      </c>
      <c r="J20" s="80">
        <v>4000</v>
      </c>
      <c r="K20" s="160">
        <v>3900</v>
      </c>
      <c r="L20" s="161">
        <v>0</v>
      </c>
      <c r="M20" s="162">
        <v>-100</v>
      </c>
      <c r="N20" s="163">
        <v>100</v>
      </c>
      <c r="O20" s="407" t="s">
        <v>1373</v>
      </c>
      <c r="P20" s="217"/>
      <c r="Q20" s="218"/>
      <c r="R20" s="219"/>
      <c r="S20" s="219"/>
      <c r="T20" s="219"/>
      <c r="U20" s="127"/>
      <c r="V20" s="221"/>
      <c r="W20" s="222"/>
      <c r="X20" s="222"/>
      <c r="Y20" s="222"/>
      <c r="Z20" s="223"/>
      <c r="AA20" s="222"/>
      <c r="AB20" s="222"/>
      <c r="AC20" s="222"/>
      <c r="AD20" s="222"/>
      <c r="AE20" s="222"/>
      <c r="AF20" s="222"/>
      <c r="AG20" s="223"/>
      <c r="AH20" s="222"/>
      <c r="AI20" s="222"/>
      <c r="AJ20" s="222"/>
      <c r="AK20" s="222"/>
      <c r="AL20" s="222"/>
      <c r="AM20" s="222"/>
      <c r="AN20" s="223"/>
      <c r="AO20" s="222"/>
      <c r="AP20" s="222"/>
      <c r="AQ20" s="222"/>
      <c r="AR20" s="222"/>
      <c r="AS20" s="222"/>
      <c r="AT20" s="222"/>
      <c r="AU20" s="223"/>
      <c r="AV20" s="222"/>
      <c r="AW20" s="222"/>
      <c r="AX20" s="222"/>
      <c r="AY20" s="222"/>
      <c r="AZ20" s="222"/>
      <c r="BA20" s="140"/>
      <c r="BB20" s="135"/>
      <c r="BC20" s="136"/>
      <c r="BD20" s="136"/>
      <c r="BE20" s="136"/>
      <c r="BF20" s="140"/>
      <c r="BG20" s="136"/>
      <c r="BH20" s="136"/>
      <c r="BI20" s="136"/>
      <c r="BJ20" s="136"/>
      <c r="BK20" s="136"/>
      <c r="BL20" s="136"/>
      <c r="BM20" s="140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40"/>
      <c r="CB20" s="136"/>
      <c r="CC20" s="136"/>
      <c r="CD20" s="136"/>
      <c r="CE20" s="136"/>
      <c r="CF20" s="86"/>
      <c r="CG20" s="87"/>
      <c r="CH20" s="87"/>
    </row>
    <row r="21" spans="1:86" s="88" customFormat="1" ht="24.95" customHeight="1" thickTop="1" thickBot="1">
      <c r="A21" s="215">
        <v>140010230</v>
      </c>
      <c r="B21" s="315">
        <v>4</v>
      </c>
      <c r="C21" s="237" t="s">
        <v>0</v>
      </c>
      <c r="D21" s="238"/>
      <c r="E21" s="238"/>
      <c r="F21" s="239"/>
      <c r="G21" s="238"/>
      <c r="H21" s="238"/>
      <c r="I21" s="159">
        <v>9000</v>
      </c>
      <c r="J21" s="308">
        <v>9000</v>
      </c>
      <c r="K21" s="160">
        <v>9000</v>
      </c>
      <c r="L21" s="161">
        <v>0</v>
      </c>
      <c r="M21" s="162">
        <v>0</v>
      </c>
      <c r="N21" s="163">
        <v>0</v>
      </c>
      <c r="O21" s="216"/>
      <c r="P21" s="217"/>
      <c r="Q21" s="218"/>
      <c r="R21" s="219"/>
      <c r="S21" s="219"/>
      <c r="T21" s="219"/>
      <c r="U21" s="127"/>
      <c r="V21" s="221"/>
      <c r="W21" s="222"/>
      <c r="X21" s="222"/>
      <c r="Y21" s="222"/>
      <c r="Z21" s="223"/>
      <c r="AA21" s="222"/>
      <c r="AB21" s="222"/>
      <c r="AC21" s="222"/>
      <c r="AD21" s="222"/>
      <c r="AE21" s="222"/>
      <c r="AF21" s="222"/>
      <c r="AG21" s="223"/>
      <c r="AH21" s="222"/>
      <c r="AI21" s="222"/>
      <c r="AJ21" s="222"/>
      <c r="AK21" s="222"/>
      <c r="AL21" s="222"/>
      <c r="AM21" s="222"/>
      <c r="AN21" s="223"/>
      <c r="AO21" s="222"/>
      <c r="AP21" s="222"/>
      <c r="AQ21" s="222"/>
      <c r="AR21" s="222"/>
      <c r="AS21" s="222"/>
      <c r="AT21" s="222"/>
      <c r="AU21" s="223"/>
      <c r="AV21" s="222"/>
      <c r="AW21" s="222"/>
      <c r="AX21" s="222"/>
      <c r="AY21" s="222"/>
      <c r="AZ21" s="222"/>
      <c r="BA21" s="140"/>
      <c r="BB21" s="135"/>
      <c r="BC21" s="136"/>
      <c r="BD21" s="136"/>
      <c r="BE21" s="136"/>
      <c r="BF21" s="140"/>
      <c r="BG21" s="136"/>
      <c r="BH21" s="136"/>
      <c r="BI21" s="136"/>
      <c r="BJ21" s="136"/>
      <c r="BK21" s="136"/>
      <c r="BL21" s="136"/>
      <c r="BM21" s="140"/>
      <c r="BN21" s="136"/>
      <c r="BO21" s="136"/>
      <c r="BP21" s="136"/>
      <c r="BQ21" s="136"/>
      <c r="BR21" s="136"/>
      <c r="BS21" s="136"/>
      <c r="BT21" s="136"/>
      <c r="BU21" s="136"/>
      <c r="BV21" s="136"/>
      <c r="BW21" s="136"/>
      <c r="BX21" s="136"/>
      <c r="BY21" s="136"/>
      <c r="BZ21" s="136"/>
      <c r="CA21" s="140"/>
      <c r="CB21" s="136"/>
      <c r="CC21" s="136"/>
      <c r="CD21" s="136"/>
      <c r="CE21" s="136"/>
      <c r="CF21" s="86"/>
      <c r="CG21" s="87"/>
      <c r="CH21" s="87"/>
    </row>
    <row r="22" spans="1:86" s="88" customFormat="1" ht="24.95" customHeight="1" thickTop="1" thickBot="1">
      <c r="A22" s="398">
        <v>140530039</v>
      </c>
      <c r="B22" s="399">
        <v>3</v>
      </c>
      <c r="C22" s="323" t="s">
        <v>1177</v>
      </c>
      <c r="D22" s="400"/>
      <c r="E22" s="400"/>
      <c r="F22" s="285"/>
      <c r="G22" s="400"/>
      <c r="H22" s="400"/>
      <c r="I22" s="401">
        <v>20000</v>
      </c>
      <c r="J22" s="402">
        <v>20100</v>
      </c>
      <c r="K22" s="403">
        <v>20073</v>
      </c>
      <c r="L22" s="404">
        <v>100</v>
      </c>
      <c r="M22" s="405">
        <v>73</v>
      </c>
      <c r="N22" s="406">
        <v>27</v>
      </c>
      <c r="O22" s="216"/>
      <c r="P22" s="217"/>
      <c r="Q22" s="218"/>
      <c r="R22" s="219"/>
      <c r="S22" s="219"/>
      <c r="T22" s="219"/>
      <c r="U22" s="127"/>
      <c r="V22" s="221"/>
      <c r="W22" s="222"/>
      <c r="X22" s="222"/>
      <c r="Y22" s="222"/>
      <c r="Z22" s="223"/>
      <c r="AA22" s="222"/>
      <c r="AB22" s="222"/>
      <c r="AC22" s="222"/>
      <c r="AD22" s="222"/>
      <c r="AE22" s="222"/>
      <c r="AF22" s="222"/>
      <c r="AG22" s="223"/>
      <c r="AH22" s="222"/>
      <c r="AI22" s="222"/>
      <c r="AJ22" s="222"/>
      <c r="AK22" s="222"/>
      <c r="AL22" s="222"/>
      <c r="AM22" s="222"/>
      <c r="AN22" s="223"/>
      <c r="AO22" s="222"/>
      <c r="AP22" s="222"/>
      <c r="AQ22" s="222"/>
      <c r="AR22" s="222"/>
      <c r="AS22" s="222"/>
      <c r="AT22" s="222"/>
      <c r="AU22" s="223"/>
      <c r="AV22" s="222"/>
      <c r="AW22" s="222"/>
      <c r="AX22" s="222"/>
      <c r="AY22" s="222"/>
      <c r="AZ22" s="222"/>
      <c r="BA22" s="140"/>
      <c r="BB22" s="135"/>
      <c r="BC22" s="136"/>
      <c r="BD22" s="136"/>
      <c r="BE22" s="136"/>
      <c r="BF22" s="140"/>
      <c r="BG22" s="136"/>
      <c r="BH22" s="136"/>
      <c r="BI22" s="136"/>
      <c r="BJ22" s="136"/>
      <c r="BK22" s="136"/>
      <c r="BL22" s="136"/>
      <c r="BM22" s="140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40"/>
      <c r="CB22" s="136"/>
      <c r="CC22" s="136"/>
      <c r="CD22" s="136"/>
      <c r="CE22" s="136"/>
      <c r="CF22" s="86"/>
      <c r="CG22" s="87"/>
      <c r="CH22" s="87"/>
    </row>
    <row r="23" spans="1:86" s="88" customFormat="1" ht="24.95" customHeight="1" thickTop="1" thickBot="1">
      <c r="A23" s="274">
        <v>140030039</v>
      </c>
      <c r="B23" s="309">
        <v>4</v>
      </c>
      <c r="C23" s="310" t="s">
        <v>1107</v>
      </c>
      <c r="D23" s="277"/>
      <c r="E23" s="277"/>
      <c r="F23" s="239"/>
      <c r="G23" s="277"/>
      <c r="H23" s="277"/>
      <c r="I23" s="278">
        <v>5200</v>
      </c>
      <c r="J23" s="283">
        <v>5200</v>
      </c>
      <c r="K23" s="279">
        <v>5200</v>
      </c>
      <c r="L23" s="280">
        <v>0</v>
      </c>
      <c r="M23" s="281">
        <v>0</v>
      </c>
      <c r="N23" s="282">
        <v>0</v>
      </c>
      <c r="O23" s="216"/>
      <c r="P23" s="217"/>
      <c r="Q23" s="218"/>
      <c r="R23" s="219"/>
      <c r="S23" s="219"/>
      <c r="T23" s="219"/>
      <c r="U23" s="127"/>
      <c r="V23" s="221"/>
      <c r="W23" s="222"/>
      <c r="X23" s="222"/>
      <c r="Y23" s="222"/>
      <c r="Z23" s="223"/>
      <c r="AA23" s="222"/>
      <c r="AB23" s="222"/>
      <c r="AC23" s="222"/>
      <c r="AD23" s="222"/>
      <c r="AE23" s="222"/>
      <c r="AF23" s="222"/>
      <c r="AG23" s="223"/>
      <c r="AH23" s="222"/>
      <c r="AI23" s="222"/>
      <c r="AJ23" s="222"/>
      <c r="AK23" s="222"/>
      <c r="AL23" s="222"/>
      <c r="AM23" s="222"/>
      <c r="AN23" s="223"/>
      <c r="AO23" s="222"/>
      <c r="AP23" s="222"/>
      <c r="AQ23" s="222"/>
      <c r="AR23" s="222"/>
      <c r="AS23" s="222"/>
      <c r="AT23" s="222"/>
      <c r="AU23" s="223"/>
      <c r="AV23" s="222"/>
      <c r="AW23" s="222"/>
      <c r="AX23" s="222"/>
      <c r="AY23" s="222"/>
      <c r="AZ23" s="222"/>
      <c r="BA23" s="140"/>
      <c r="BB23" s="135"/>
      <c r="BC23" s="136"/>
      <c r="BD23" s="136"/>
      <c r="BE23" s="136"/>
      <c r="BF23" s="140"/>
      <c r="BG23" s="136"/>
      <c r="BH23" s="136"/>
      <c r="BI23" s="136"/>
      <c r="BJ23" s="136"/>
      <c r="BK23" s="136"/>
      <c r="BL23" s="136"/>
      <c r="BM23" s="140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40"/>
      <c r="CB23" s="136"/>
      <c r="CC23" s="136"/>
      <c r="CD23" s="136"/>
      <c r="CE23" s="136"/>
      <c r="CF23" s="86"/>
      <c r="CG23" s="87"/>
      <c r="CH23" s="87"/>
    </row>
    <row r="24" spans="1:86" s="88" customFormat="1" ht="24.95" customHeight="1" thickTop="1" thickBot="1">
      <c r="A24" s="215">
        <v>140030040</v>
      </c>
      <c r="B24" s="315">
        <v>4</v>
      </c>
      <c r="C24" s="316" t="s">
        <v>1107</v>
      </c>
      <c r="D24" s="238"/>
      <c r="E24" s="238"/>
      <c r="F24" s="239"/>
      <c r="G24" s="238"/>
      <c r="H24" s="238"/>
      <c r="I24" s="159">
        <v>6300</v>
      </c>
      <c r="J24" s="308">
        <v>6300</v>
      </c>
      <c r="K24" s="160">
        <v>6300</v>
      </c>
      <c r="L24" s="161">
        <v>0</v>
      </c>
      <c r="M24" s="162">
        <v>0</v>
      </c>
      <c r="N24" s="163">
        <v>0</v>
      </c>
      <c r="O24" s="216"/>
      <c r="P24" s="217"/>
      <c r="Q24" s="218"/>
      <c r="R24" s="219"/>
      <c r="S24" s="219"/>
      <c r="T24" s="219"/>
      <c r="U24" s="127"/>
      <c r="V24" s="221"/>
      <c r="W24" s="222"/>
      <c r="X24" s="222"/>
      <c r="Y24" s="222"/>
      <c r="Z24" s="223"/>
      <c r="AA24" s="222"/>
      <c r="AB24" s="222"/>
      <c r="AC24" s="222"/>
      <c r="AD24" s="222"/>
      <c r="AE24" s="222"/>
      <c r="AF24" s="222"/>
      <c r="AG24" s="223"/>
      <c r="AH24" s="222"/>
      <c r="AI24" s="222"/>
      <c r="AJ24" s="222"/>
      <c r="AK24" s="222"/>
      <c r="AL24" s="222"/>
      <c r="AM24" s="222"/>
      <c r="AN24" s="223"/>
      <c r="AO24" s="222"/>
      <c r="AP24" s="222"/>
      <c r="AQ24" s="222"/>
      <c r="AR24" s="222"/>
      <c r="AS24" s="222"/>
      <c r="AT24" s="222"/>
      <c r="AU24" s="223"/>
      <c r="AV24" s="222"/>
      <c r="AW24" s="222"/>
      <c r="AX24" s="222"/>
      <c r="AY24" s="222"/>
      <c r="AZ24" s="222"/>
      <c r="BA24" s="140"/>
      <c r="BB24" s="135"/>
      <c r="BC24" s="136"/>
      <c r="BD24" s="136"/>
      <c r="BE24" s="136"/>
      <c r="BF24" s="140"/>
      <c r="BG24" s="136"/>
      <c r="BH24" s="136"/>
      <c r="BI24" s="136"/>
      <c r="BJ24" s="136"/>
      <c r="BK24" s="136"/>
      <c r="BL24" s="136"/>
      <c r="BM24" s="140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40"/>
      <c r="CB24" s="136"/>
      <c r="CC24" s="136"/>
      <c r="CD24" s="136"/>
      <c r="CE24" s="136"/>
      <c r="CF24" s="86"/>
      <c r="CG24" s="87"/>
      <c r="CH24" s="87"/>
    </row>
    <row r="25" spans="1:86" s="88" customFormat="1" ht="24.95" customHeight="1" thickTop="1" thickBot="1">
      <c r="A25" s="274">
        <v>140010117</v>
      </c>
      <c r="B25" s="309">
        <v>3</v>
      </c>
      <c r="C25" s="310" t="s">
        <v>0</v>
      </c>
      <c r="D25" s="277"/>
      <c r="E25" s="277"/>
      <c r="F25" s="239"/>
      <c r="G25" s="277"/>
      <c r="H25" s="277"/>
      <c r="I25" s="278">
        <v>12000</v>
      </c>
      <c r="J25" s="182">
        <v>12000</v>
      </c>
      <c r="K25" s="279">
        <v>12000</v>
      </c>
      <c r="L25" s="280">
        <v>0</v>
      </c>
      <c r="M25" s="281">
        <v>0</v>
      </c>
      <c r="N25" s="282">
        <v>0</v>
      </c>
      <c r="O25" s="216"/>
      <c r="P25" s="217"/>
      <c r="Q25" s="218"/>
      <c r="R25" s="219"/>
      <c r="S25" s="219"/>
      <c r="T25" s="219"/>
      <c r="U25" s="127"/>
      <c r="V25" s="221"/>
      <c r="W25" s="222"/>
      <c r="X25" s="222"/>
      <c r="Y25" s="222"/>
      <c r="Z25" s="223"/>
      <c r="AA25" s="222"/>
      <c r="AB25" s="222"/>
      <c r="AC25" s="222"/>
      <c r="AD25" s="222"/>
      <c r="AE25" s="222"/>
      <c r="AF25" s="222"/>
      <c r="AG25" s="223"/>
      <c r="AH25" s="222"/>
      <c r="AI25" s="222"/>
      <c r="AJ25" s="222"/>
      <c r="AK25" s="222"/>
      <c r="AL25" s="222"/>
      <c r="AM25" s="222"/>
      <c r="AN25" s="223"/>
      <c r="AO25" s="222"/>
      <c r="AP25" s="222"/>
      <c r="AQ25" s="222"/>
      <c r="AR25" s="222"/>
      <c r="AS25" s="222"/>
      <c r="AT25" s="222"/>
      <c r="AU25" s="223"/>
      <c r="AV25" s="222"/>
      <c r="AW25" s="222"/>
      <c r="AX25" s="222"/>
      <c r="AY25" s="222"/>
      <c r="AZ25" s="222"/>
      <c r="BA25" s="140"/>
      <c r="BB25" s="135"/>
      <c r="BC25" s="136"/>
      <c r="BD25" s="136"/>
      <c r="BE25" s="136"/>
      <c r="BF25" s="140"/>
      <c r="BG25" s="136"/>
      <c r="BH25" s="136"/>
      <c r="BI25" s="136"/>
      <c r="BJ25" s="136"/>
      <c r="BK25" s="136"/>
      <c r="BL25" s="136"/>
      <c r="BM25" s="140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40"/>
      <c r="CB25" s="136"/>
      <c r="CC25" s="136"/>
      <c r="CD25" s="136"/>
      <c r="CE25" s="136"/>
      <c r="CF25" s="86"/>
      <c r="CG25" s="87"/>
      <c r="CH25" s="87"/>
    </row>
    <row r="26" spans="1:86" s="88" customFormat="1" ht="24.95" customHeight="1" thickTop="1" thickBot="1">
      <c r="A26" s="311">
        <v>141320055</v>
      </c>
      <c r="B26" s="312">
        <v>3</v>
      </c>
      <c r="C26" s="313" t="s">
        <v>1176</v>
      </c>
      <c r="D26" s="291"/>
      <c r="E26" s="291"/>
      <c r="F26" s="285"/>
      <c r="G26" s="291"/>
      <c r="H26" s="291"/>
      <c r="I26" s="293">
        <v>15000</v>
      </c>
      <c r="J26" s="314">
        <v>15000</v>
      </c>
      <c r="K26" s="295">
        <v>15000</v>
      </c>
      <c r="L26" s="296">
        <v>0</v>
      </c>
      <c r="M26" s="297">
        <v>0</v>
      </c>
      <c r="N26" s="298">
        <v>0</v>
      </c>
      <c r="O26" s="216"/>
      <c r="P26" s="217"/>
      <c r="Q26" s="218"/>
      <c r="R26" s="219"/>
      <c r="S26" s="219"/>
      <c r="T26" s="219"/>
      <c r="U26" s="127"/>
      <c r="V26" s="221"/>
      <c r="W26" s="222"/>
      <c r="X26" s="222"/>
      <c r="Y26" s="222"/>
      <c r="Z26" s="223"/>
      <c r="AA26" s="222"/>
      <c r="AB26" s="222"/>
      <c r="AC26" s="222"/>
      <c r="AD26" s="222"/>
      <c r="AE26" s="222"/>
      <c r="AF26" s="222"/>
      <c r="AG26" s="223"/>
      <c r="AH26" s="222"/>
      <c r="AI26" s="222"/>
      <c r="AJ26" s="222"/>
      <c r="AK26" s="222"/>
      <c r="AL26" s="222"/>
      <c r="AM26" s="222"/>
      <c r="AN26" s="223"/>
      <c r="AO26" s="222"/>
      <c r="AP26" s="222"/>
      <c r="AQ26" s="222"/>
      <c r="AR26" s="222"/>
      <c r="AS26" s="222"/>
      <c r="AT26" s="222"/>
      <c r="AU26" s="223"/>
      <c r="AV26" s="222"/>
      <c r="AW26" s="222"/>
      <c r="AX26" s="222"/>
      <c r="AY26" s="222"/>
      <c r="AZ26" s="222"/>
      <c r="BA26" s="140"/>
      <c r="BB26" s="135"/>
      <c r="BC26" s="136"/>
      <c r="BD26" s="136"/>
      <c r="BE26" s="136"/>
      <c r="BF26" s="140"/>
      <c r="BG26" s="136"/>
      <c r="BH26" s="136"/>
      <c r="BI26" s="136"/>
      <c r="BJ26" s="136"/>
      <c r="BK26" s="136"/>
      <c r="BL26" s="136"/>
      <c r="BM26" s="140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40"/>
      <c r="CB26" s="136"/>
      <c r="CC26" s="136"/>
      <c r="CD26" s="136"/>
      <c r="CE26" s="136"/>
      <c r="CF26" s="86"/>
      <c r="CG26" s="87"/>
      <c r="CH26" s="87"/>
    </row>
    <row r="27" spans="1:86" s="88" customFormat="1" ht="24.95" customHeight="1" thickTop="1" thickBot="1">
      <c r="A27" s="274">
        <v>140010255</v>
      </c>
      <c r="B27" s="309">
        <v>4</v>
      </c>
      <c r="C27" s="310" t="s">
        <v>0</v>
      </c>
      <c r="D27" s="277"/>
      <c r="E27" s="277"/>
      <c r="F27" s="239"/>
      <c r="G27" s="277"/>
      <c r="H27" s="277"/>
      <c r="I27" s="278">
        <v>500</v>
      </c>
      <c r="J27" s="283">
        <v>500</v>
      </c>
      <c r="K27" s="279">
        <v>500</v>
      </c>
      <c r="L27" s="280">
        <v>0</v>
      </c>
      <c r="M27" s="281">
        <v>0</v>
      </c>
      <c r="N27" s="282">
        <v>0</v>
      </c>
      <c r="O27" s="216"/>
      <c r="P27" s="217"/>
      <c r="Q27" s="218"/>
      <c r="R27" s="219"/>
      <c r="S27" s="219"/>
      <c r="T27" s="219"/>
      <c r="U27" s="127"/>
      <c r="V27" s="221"/>
      <c r="W27" s="222"/>
      <c r="X27" s="222"/>
      <c r="Y27" s="222"/>
      <c r="Z27" s="223"/>
      <c r="AA27" s="222"/>
      <c r="AB27" s="222"/>
      <c r="AC27" s="222"/>
      <c r="AD27" s="222"/>
      <c r="AE27" s="222"/>
      <c r="AF27" s="222"/>
      <c r="AG27" s="223"/>
      <c r="AH27" s="222"/>
      <c r="AI27" s="222"/>
      <c r="AJ27" s="222"/>
      <c r="AK27" s="222"/>
      <c r="AL27" s="222"/>
      <c r="AM27" s="222"/>
      <c r="AN27" s="223"/>
      <c r="AO27" s="222"/>
      <c r="AP27" s="222"/>
      <c r="AQ27" s="222"/>
      <c r="AR27" s="222"/>
      <c r="AS27" s="222"/>
      <c r="AT27" s="222"/>
      <c r="AU27" s="223"/>
      <c r="AV27" s="222"/>
      <c r="AW27" s="222"/>
      <c r="AX27" s="222"/>
      <c r="AY27" s="222"/>
      <c r="AZ27" s="222"/>
      <c r="BA27" s="140"/>
      <c r="BB27" s="135"/>
      <c r="BC27" s="136"/>
      <c r="BD27" s="136"/>
      <c r="BE27" s="136"/>
      <c r="BF27" s="140"/>
      <c r="BG27" s="136"/>
      <c r="BH27" s="136"/>
      <c r="BI27" s="136"/>
      <c r="BJ27" s="136"/>
      <c r="BK27" s="136"/>
      <c r="BL27" s="136"/>
      <c r="BM27" s="140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40"/>
      <c r="CB27" s="136"/>
      <c r="CC27" s="136"/>
      <c r="CD27" s="136"/>
      <c r="CE27" s="136"/>
      <c r="CF27" s="86"/>
      <c r="CG27" s="87"/>
      <c r="CH27" s="87"/>
    </row>
    <row r="28" spans="1:86" s="88" customFormat="1" ht="24.95" customHeight="1" thickTop="1" thickBot="1">
      <c r="A28" s="215">
        <v>140310096</v>
      </c>
      <c r="B28" s="315">
        <v>3</v>
      </c>
      <c r="C28" s="316" t="s">
        <v>55</v>
      </c>
      <c r="D28" s="238"/>
      <c r="E28" s="238"/>
      <c r="F28" s="238"/>
      <c r="G28" s="238"/>
      <c r="H28" s="238"/>
      <c r="I28" s="159">
        <v>4000</v>
      </c>
      <c r="J28" s="80">
        <v>4000</v>
      </c>
      <c r="K28" s="160">
        <v>4007</v>
      </c>
      <c r="L28" s="161">
        <v>0</v>
      </c>
      <c r="M28" s="162">
        <v>7</v>
      </c>
      <c r="N28" s="163">
        <v>-7</v>
      </c>
      <c r="O28" s="216"/>
      <c r="P28" s="217"/>
      <c r="Q28" s="218"/>
      <c r="R28" s="219"/>
      <c r="S28" s="219"/>
      <c r="T28" s="219"/>
      <c r="U28" s="127"/>
      <c r="V28" s="221"/>
      <c r="W28" s="222"/>
      <c r="X28" s="222"/>
      <c r="Y28" s="222"/>
      <c r="Z28" s="223"/>
      <c r="AA28" s="222"/>
      <c r="AB28" s="222"/>
      <c r="AC28" s="222"/>
      <c r="AD28" s="222"/>
      <c r="AE28" s="222"/>
      <c r="AF28" s="222"/>
      <c r="AG28" s="223"/>
      <c r="AH28" s="222"/>
      <c r="AI28" s="222"/>
      <c r="AJ28" s="222"/>
      <c r="AK28" s="222"/>
      <c r="AL28" s="222"/>
      <c r="AM28" s="222"/>
      <c r="AN28" s="223"/>
      <c r="AO28" s="222"/>
      <c r="AP28" s="222"/>
      <c r="AQ28" s="222"/>
      <c r="AR28" s="222"/>
      <c r="AS28" s="222"/>
      <c r="AT28" s="222"/>
      <c r="AU28" s="223"/>
      <c r="AV28" s="222"/>
      <c r="AW28" s="222"/>
      <c r="AX28" s="222"/>
      <c r="AY28" s="222"/>
      <c r="AZ28" s="222"/>
      <c r="BA28" s="130"/>
      <c r="BB28" s="129"/>
      <c r="BC28" s="130"/>
      <c r="BD28" s="130"/>
      <c r="BE28" s="130"/>
      <c r="BF28" s="132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30"/>
      <c r="CB28" s="130"/>
      <c r="CC28" s="130"/>
      <c r="CD28" s="130"/>
      <c r="CE28" s="129"/>
      <c r="CF28" s="86"/>
      <c r="CG28" s="87"/>
      <c r="CH28" s="87"/>
    </row>
    <row r="29" spans="1:86" s="88" customFormat="1" ht="24.95" customHeight="1" thickTop="1" thickBot="1">
      <c r="A29" s="288">
        <v>141320055</v>
      </c>
      <c r="B29" s="289">
        <v>2</v>
      </c>
      <c r="C29" s="290" t="s">
        <v>1026</v>
      </c>
      <c r="D29" s="291"/>
      <c r="E29" s="291"/>
      <c r="F29" s="292"/>
      <c r="G29" s="291"/>
      <c r="H29" s="291"/>
      <c r="I29" s="293">
        <v>45000</v>
      </c>
      <c r="J29" s="294">
        <v>45000</v>
      </c>
      <c r="K29" s="295">
        <v>45000</v>
      </c>
      <c r="L29" s="296">
        <v>0</v>
      </c>
      <c r="M29" s="297">
        <v>0</v>
      </c>
      <c r="N29" s="298">
        <v>0</v>
      </c>
      <c r="O29" s="216"/>
      <c r="P29" s="217"/>
      <c r="Q29" s="218"/>
      <c r="R29" s="219"/>
      <c r="S29" s="219"/>
      <c r="T29" s="219"/>
      <c r="U29" s="127"/>
      <c r="V29" s="221"/>
      <c r="W29" s="222"/>
      <c r="X29" s="222"/>
      <c r="Y29" s="222"/>
      <c r="Z29" s="223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130"/>
      <c r="BB29" s="129"/>
      <c r="BC29" s="130"/>
      <c r="BD29" s="130"/>
      <c r="BE29" s="130"/>
      <c r="BF29" s="132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30"/>
      <c r="CB29" s="130"/>
      <c r="CC29" s="130"/>
      <c r="CD29" s="130"/>
      <c r="CE29" s="129"/>
      <c r="CF29" s="86"/>
      <c r="CG29" s="87"/>
      <c r="CH29" s="87"/>
    </row>
    <row r="30" spans="1:86" s="88" customFormat="1" ht="24.95" customHeight="1" thickTop="1" thickBot="1">
      <c r="A30" s="215">
        <v>140310007</v>
      </c>
      <c r="B30" s="244">
        <v>3</v>
      </c>
      <c r="C30" s="237" t="s">
        <v>55</v>
      </c>
      <c r="D30" s="238"/>
      <c r="E30" s="238"/>
      <c r="F30" s="239"/>
      <c r="G30" s="238"/>
      <c r="H30" s="238"/>
      <c r="I30" s="159">
        <v>10000</v>
      </c>
      <c r="J30" s="80">
        <v>10010</v>
      </c>
      <c r="K30" s="160">
        <v>10000</v>
      </c>
      <c r="L30" s="161">
        <v>10</v>
      </c>
      <c r="M30" s="162">
        <v>0</v>
      </c>
      <c r="N30" s="163">
        <v>10</v>
      </c>
      <c r="O30" s="216"/>
      <c r="P30" s="217"/>
      <c r="Q30" s="218"/>
      <c r="R30" s="219"/>
      <c r="S30" s="219"/>
      <c r="T30" s="219"/>
      <c r="U30" s="127"/>
      <c r="V30" s="221"/>
      <c r="W30" s="222"/>
      <c r="X30" s="222"/>
      <c r="Y30" s="222"/>
      <c r="Z30" s="223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130"/>
      <c r="BB30" s="129"/>
      <c r="BC30" s="130"/>
      <c r="BD30" s="130"/>
      <c r="BE30" s="130"/>
      <c r="BF30" s="132"/>
      <c r="BG30" s="130"/>
      <c r="BH30" s="130"/>
      <c r="BI30" s="130"/>
      <c r="BJ30" s="130"/>
      <c r="BK30" s="130"/>
      <c r="BL30" s="130"/>
      <c r="BM30" s="130"/>
      <c r="BN30" s="130"/>
      <c r="BO30" s="130"/>
      <c r="BP30" s="130"/>
      <c r="BQ30" s="130"/>
      <c r="BR30" s="130"/>
      <c r="BS30" s="130"/>
      <c r="BT30" s="130"/>
      <c r="BU30" s="130"/>
      <c r="BV30" s="130"/>
      <c r="BW30" s="130"/>
      <c r="BX30" s="130"/>
      <c r="BY30" s="130"/>
      <c r="BZ30" s="130"/>
      <c r="CA30" s="130"/>
      <c r="CB30" s="130"/>
      <c r="CC30" s="130"/>
      <c r="CD30" s="130"/>
      <c r="CE30" s="129"/>
      <c r="CF30" s="86"/>
      <c r="CG30" s="87"/>
      <c r="CH30" s="87"/>
    </row>
    <row r="31" spans="1:86" s="88" customFormat="1" ht="24.95" customHeight="1" thickTop="1" thickBot="1">
      <c r="A31" s="274">
        <v>140030040</v>
      </c>
      <c r="B31" s="275">
        <v>3</v>
      </c>
      <c r="C31" s="276" t="s">
        <v>1107</v>
      </c>
      <c r="D31" s="277"/>
      <c r="E31" s="277"/>
      <c r="F31" s="284"/>
      <c r="G31" s="277"/>
      <c r="H31" s="277"/>
      <c r="I31" s="278">
        <v>4400</v>
      </c>
      <c r="J31" s="283">
        <v>4400</v>
      </c>
      <c r="K31" s="279">
        <v>4400</v>
      </c>
      <c r="L31" s="280">
        <v>0</v>
      </c>
      <c r="M31" s="281">
        <v>0</v>
      </c>
      <c r="N31" s="282">
        <v>0</v>
      </c>
      <c r="O31" s="216"/>
      <c r="P31" s="217"/>
      <c r="Q31" s="218"/>
      <c r="R31" s="219"/>
      <c r="S31" s="219"/>
      <c r="T31" s="219"/>
      <c r="U31" s="127"/>
      <c r="V31" s="221"/>
      <c r="W31" s="222"/>
      <c r="X31" s="222"/>
      <c r="Y31" s="222"/>
      <c r="Z31" s="223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130"/>
      <c r="BB31" s="129"/>
      <c r="BC31" s="130"/>
      <c r="BD31" s="130"/>
      <c r="BE31" s="130"/>
      <c r="BF31" s="132"/>
      <c r="BG31" s="130"/>
      <c r="BH31" s="130"/>
      <c r="BI31" s="130"/>
      <c r="BJ31" s="130"/>
      <c r="BK31" s="130"/>
      <c r="BL31" s="130"/>
      <c r="BM31" s="130"/>
      <c r="BN31" s="130"/>
      <c r="BO31" s="130"/>
      <c r="BP31" s="130"/>
      <c r="BQ31" s="130"/>
      <c r="BR31" s="130"/>
      <c r="BS31" s="130"/>
      <c r="BT31" s="130"/>
      <c r="BU31" s="130"/>
      <c r="BV31" s="130"/>
      <c r="BW31" s="130"/>
      <c r="BX31" s="130"/>
      <c r="BY31" s="130"/>
      <c r="BZ31" s="130"/>
      <c r="CA31" s="130"/>
      <c r="CB31" s="130"/>
      <c r="CC31" s="130"/>
      <c r="CD31" s="130"/>
      <c r="CE31" s="129"/>
      <c r="CF31" s="86"/>
      <c r="CG31" s="87"/>
      <c r="CH31" s="87"/>
    </row>
    <row r="32" spans="1:86" s="88" customFormat="1" ht="24.95" customHeight="1" thickTop="1" thickBot="1">
      <c r="A32" s="274">
        <v>140030039</v>
      </c>
      <c r="B32" s="275">
        <v>3</v>
      </c>
      <c r="C32" s="276" t="s">
        <v>1107</v>
      </c>
      <c r="D32" s="277"/>
      <c r="E32" s="277"/>
      <c r="F32" s="284"/>
      <c r="G32" s="277"/>
      <c r="H32" s="277"/>
      <c r="I32" s="278">
        <v>8300</v>
      </c>
      <c r="J32" s="283">
        <v>8310</v>
      </c>
      <c r="K32" s="279">
        <v>8300</v>
      </c>
      <c r="L32" s="280">
        <v>10</v>
      </c>
      <c r="M32" s="281">
        <v>0</v>
      </c>
      <c r="N32" s="282">
        <v>10</v>
      </c>
      <c r="O32" s="193"/>
      <c r="P32" s="124"/>
      <c r="Q32" s="125"/>
      <c r="R32" s="126"/>
      <c r="S32" s="127"/>
      <c r="T32" s="127"/>
      <c r="U32" s="127"/>
      <c r="V32" s="130"/>
      <c r="W32" s="129"/>
      <c r="X32" s="130"/>
      <c r="Y32" s="130"/>
      <c r="Z32" s="130"/>
      <c r="AA32" s="132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/>
      <c r="AX32" s="130"/>
      <c r="AY32" s="130"/>
      <c r="AZ32" s="129"/>
      <c r="BA32" s="130"/>
      <c r="BB32" s="129"/>
      <c r="BC32" s="130"/>
      <c r="BD32" s="130"/>
      <c r="BE32" s="130"/>
      <c r="BF32" s="132"/>
      <c r="BG32" s="130"/>
      <c r="BH32" s="130"/>
      <c r="BI32" s="130"/>
      <c r="BJ32" s="130"/>
      <c r="BK32" s="130"/>
      <c r="BL32" s="130"/>
      <c r="BM32" s="130"/>
      <c r="BN32" s="130"/>
      <c r="BO32" s="130"/>
      <c r="BP32" s="130"/>
      <c r="BQ32" s="130"/>
      <c r="BR32" s="130"/>
      <c r="BS32" s="130"/>
      <c r="BT32" s="130"/>
      <c r="BU32" s="130"/>
      <c r="BV32" s="130"/>
      <c r="BW32" s="130"/>
      <c r="BX32" s="130"/>
      <c r="BY32" s="130"/>
      <c r="BZ32" s="130"/>
      <c r="CA32" s="130"/>
      <c r="CB32" s="130"/>
      <c r="CC32" s="130"/>
      <c r="CD32" s="130"/>
      <c r="CE32" s="129"/>
      <c r="CF32" s="86"/>
      <c r="CG32" s="87"/>
      <c r="CH32" s="87"/>
    </row>
    <row r="33" spans="1:87" s="88" customFormat="1" ht="24.95" customHeight="1" thickTop="1" thickBot="1">
      <c r="A33" s="259">
        <v>140450027</v>
      </c>
      <c r="B33" s="275">
        <v>11</v>
      </c>
      <c r="C33" s="276" t="s">
        <v>203</v>
      </c>
      <c r="D33" s="277"/>
      <c r="E33" s="277"/>
      <c r="F33" s="239"/>
      <c r="G33" s="277"/>
      <c r="H33" s="277"/>
      <c r="I33" s="278">
        <v>6400</v>
      </c>
      <c r="J33" s="283">
        <v>6410</v>
      </c>
      <c r="K33" s="279">
        <v>6402</v>
      </c>
      <c r="L33" s="280">
        <v>10</v>
      </c>
      <c r="M33" s="281">
        <v>2</v>
      </c>
      <c r="N33" s="282">
        <v>8</v>
      </c>
      <c r="O33" s="193"/>
      <c r="P33" s="124"/>
      <c r="Q33" s="125"/>
      <c r="R33" s="126"/>
      <c r="S33" s="127"/>
      <c r="T33" s="127"/>
      <c r="U33" s="127"/>
      <c r="V33" s="130"/>
      <c r="W33" s="129"/>
      <c r="X33" s="130"/>
      <c r="Y33" s="130"/>
      <c r="Z33" s="130"/>
      <c r="AA33" s="132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/>
      <c r="AX33" s="130"/>
      <c r="AY33" s="130"/>
      <c r="AZ33" s="129"/>
      <c r="BA33" s="130"/>
      <c r="BB33" s="129"/>
      <c r="BC33" s="130"/>
      <c r="BD33" s="130"/>
      <c r="BE33" s="130"/>
      <c r="BF33" s="132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  <c r="BR33" s="130"/>
      <c r="BS33" s="130"/>
      <c r="BT33" s="130"/>
      <c r="BU33" s="130"/>
      <c r="BV33" s="130"/>
      <c r="BW33" s="130"/>
      <c r="BX33" s="130"/>
      <c r="BY33" s="130"/>
      <c r="BZ33" s="130"/>
      <c r="CA33" s="130"/>
      <c r="CB33" s="130"/>
      <c r="CC33" s="130"/>
      <c r="CD33" s="130"/>
      <c r="CE33" s="129"/>
      <c r="CF33" s="86"/>
      <c r="CG33" s="87"/>
      <c r="CH33" s="87"/>
    </row>
    <row r="34" spans="1:87" s="88" customFormat="1" ht="24.95" customHeight="1" thickTop="1" thickBot="1">
      <c r="A34" s="274">
        <v>140450035</v>
      </c>
      <c r="B34" s="275">
        <v>11</v>
      </c>
      <c r="C34" s="276" t="s">
        <v>203</v>
      </c>
      <c r="D34" s="277"/>
      <c r="E34" s="277"/>
      <c r="F34" s="239"/>
      <c r="G34" s="277"/>
      <c r="H34" s="277"/>
      <c r="I34" s="278">
        <v>2800</v>
      </c>
      <c r="J34" s="283">
        <v>2808</v>
      </c>
      <c r="K34" s="279">
        <v>2808</v>
      </c>
      <c r="L34" s="280">
        <v>8</v>
      </c>
      <c r="M34" s="281">
        <v>8</v>
      </c>
      <c r="N34" s="282">
        <v>0</v>
      </c>
      <c r="O34" s="193"/>
      <c r="P34" s="124"/>
      <c r="Q34" s="125"/>
      <c r="R34" s="126"/>
      <c r="S34" s="127"/>
      <c r="T34" s="127"/>
      <c r="U34" s="127"/>
      <c r="V34" s="130"/>
      <c r="W34" s="129"/>
      <c r="X34" s="130"/>
      <c r="Y34" s="130"/>
      <c r="Z34" s="130"/>
      <c r="AA34" s="132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29"/>
      <c r="BA34" s="130"/>
      <c r="BB34" s="129"/>
      <c r="BC34" s="130"/>
      <c r="BD34" s="130"/>
      <c r="BE34" s="130"/>
      <c r="BF34" s="132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0"/>
      <c r="BZ34" s="130"/>
      <c r="CA34" s="130"/>
      <c r="CB34" s="130"/>
      <c r="CC34" s="130"/>
      <c r="CD34" s="130"/>
      <c r="CE34" s="129"/>
      <c r="CF34" s="86"/>
      <c r="CG34" s="87"/>
      <c r="CH34" s="87"/>
    </row>
    <row r="35" spans="1:87" s="88" customFormat="1" ht="24.95" customHeight="1" thickTop="1" thickBot="1">
      <c r="A35" s="215">
        <v>140010117</v>
      </c>
      <c r="B35" s="155" t="s">
        <v>1051</v>
      </c>
      <c r="C35" s="156" t="s">
        <v>0</v>
      </c>
      <c r="D35" s="157"/>
      <c r="E35" s="157"/>
      <c r="F35" s="158"/>
      <c r="G35" s="157"/>
      <c r="H35" s="157"/>
      <c r="I35" s="159">
        <v>3000</v>
      </c>
      <c r="J35" s="80">
        <v>3000</v>
      </c>
      <c r="K35" s="160">
        <v>3000</v>
      </c>
      <c r="L35" s="161">
        <v>0</v>
      </c>
      <c r="M35" s="162">
        <v>0</v>
      </c>
      <c r="N35" s="163">
        <v>0</v>
      </c>
      <c r="O35" s="193"/>
      <c r="P35" s="124"/>
      <c r="Q35" s="125"/>
      <c r="R35" s="126"/>
      <c r="S35" s="127"/>
      <c r="T35" s="127"/>
      <c r="U35" s="127"/>
      <c r="V35" s="130"/>
      <c r="W35" s="129"/>
      <c r="X35" s="130"/>
      <c r="Y35" s="130"/>
      <c r="Z35" s="130"/>
      <c r="AA35" s="132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/>
      <c r="AX35" s="130"/>
      <c r="AY35" s="130"/>
      <c r="AZ35" s="129"/>
      <c r="BA35" s="130"/>
      <c r="BB35" s="129"/>
      <c r="BC35" s="130"/>
      <c r="BD35" s="130"/>
      <c r="BE35" s="130"/>
      <c r="BF35" s="132"/>
      <c r="BG35" s="130"/>
      <c r="BH35" s="130"/>
      <c r="BI35" s="130"/>
      <c r="BJ35" s="130"/>
      <c r="BK35" s="130"/>
      <c r="BL35" s="130"/>
      <c r="BM35" s="130"/>
      <c r="BN35" s="130"/>
      <c r="BO35" s="130"/>
      <c r="BP35" s="130"/>
      <c r="BQ35" s="130"/>
      <c r="BR35" s="130"/>
      <c r="BS35" s="130"/>
      <c r="BT35" s="130"/>
      <c r="BU35" s="130"/>
      <c r="BV35" s="130"/>
      <c r="BW35" s="130"/>
      <c r="BX35" s="130"/>
      <c r="BY35" s="130"/>
      <c r="BZ35" s="130"/>
      <c r="CA35" s="130"/>
      <c r="CB35" s="130"/>
      <c r="CC35" s="130"/>
      <c r="CD35" s="130"/>
      <c r="CE35" s="129"/>
      <c r="CF35" s="86"/>
      <c r="CG35" s="87"/>
      <c r="CH35" s="87"/>
    </row>
    <row r="36" spans="1:87" s="88" customFormat="1" ht="24.95" customHeight="1" thickTop="1" thickBot="1">
      <c r="A36" s="215">
        <v>140010230</v>
      </c>
      <c r="B36" s="155">
        <v>2</v>
      </c>
      <c r="C36" s="156" t="s">
        <v>0</v>
      </c>
      <c r="D36" s="157"/>
      <c r="E36" s="157"/>
      <c r="F36" s="158"/>
      <c r="G36" s="157"/>
      <c r="H36" s="157"/>
      <c r="I36" s="159">
        <v>22000</v>
      </c>
      <c r="J36" s="80">
        <v>22000</v>
      </c>
      <c r="K36" s="160">
        <v>22000</v>
      </c>
      <c r="L36" s="161">
        <v>0</v>
      </c>
      <c r="M36" s="162">
        <v>0</v>
      </c>
      <c r="N36" s="163">
        <v>0</v>
      </c>
      <c r="O36" s="193"/>
      <c r="P36" s="124"/>
      <c r="Q36" s="125"/>
      <c r="R36" s="126"/>
      <c r="S36" s="127"/>
      <c r="T36" s="127"/>
      <c r="U36" s="127"/>
      <c r="V36" s="130"/>
      <c r="W36" s="129"/>
      <c r="X36" s="130"/>
      <c r="Y36" s="130"/>
      <c r="Z36" s="130"/>
      <c r="AA36" s="132"/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/>
      <c r="AX36" s="130"/>
      <c r="AY36" s="130"/>
      <c r="AZ36" s="129"/>
      <c r="BA36" s="130"/>
      <c r="BB36" s="129"/>
      <c r="BC36" s="130"/>
      <c r="BD36" s="130"/>
      <c r="BE36" s="130"/>
      <c r="BF36" s="132"/>
      <c r="BG36" s="130"/>
      <c r="BH36" s="130"/>
      <c r="BI36" s="130"/>
      <c r="BJ36" s="130"/>
      <c r="BK36" s="130"/>
      <c r="BL36" s="130"/>
      <c r="BM36" s="130"/>
      <c r="BN36" s="130"/>
      <c r="BO36" s="130"/>
      <c r="BP36" s="130"/>
      <c r="BQ36" s="130"/>
      <c r="BR36" s="130"/>
      <c r="BS36" s="130"/>
      <c r="BT36" s="130"/>
      <c r="BU36" s="130"/>
      <c r="BV36" s="130"/>
      <c r="BW36" s="130"/>
      <c r="BX36" s="130"/>
      <c r="BY36" s="130"/>
      <c r="BZ36" s="130"/>
      <c r="CA36" s="130"/>
      <c r="CB36" s="130"/>
      <c r="CC36" s="130"/>
      <c r="CD36" s="130"/>
      <c r="CE36" s="129"/>
      <c r="CF36" s="86"/>
      <c r="CG36" s="87"/>
      <c r="CH36" s="87"/>
    </row>
    <row r="37" spans="1:87" s="88" customFormat="1" ht="24.95" customHeight="1" thickTop="1" thickBot="1">
      <c r="A37" s="215">
        <v>140020181</v>
      </c>
      <c r="B37" s="155">
        <v>3</v>
      </c>
      <c r="C37" s="156" t="s">
        <v>19</v>
      </c>
      <c r="D37" s="157"/>
      <c r="E37" s="157"/>
      <c r="F37" s="158"/>
      <c r="G37" s="157"/>
      <c r="H37" s="157"/>
      <c r="I37" s="159">
        <v>10000</v>
      </c>
      <c r="J37" s="80">
        <v>10000</v>
      </c>
      <c r="K37" s="160">
        <v>10000</v>
      </c>
      <c r="L37" s="161">
        <v>0</v>
      </c>
      <c r="M37" s="162">
        <v>0</v>
      </c>
      <c r="N37" s="163">
        <v>0</v>
      </c>
      <c r="O37" s="193"/>
      <c r="P37" s="124"/>
      <c r="Q37" s="125"/>
      <c r="R37" s="126"/>
      <c r="S37" s="127"/>
      <c r="T37" s="127"/>
      <c r="U37" s="127"/>
      <c r="V37" s="130"/>
      <c r="W37" s="129"/>
      <c r="X37" s="130"/>
      <c r="Y37" s="130"/>
      <c r="Z37" s="130"/>
      <c r="AA37" s="132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29"/>
      <c r="BA37" s="130"/>
      <c r="BB37" s="129"/>
      <c r="BC37" s="130"/>
      <c r="BD37" s="130"/>
      <c r="BE37" s="130"/>
      <c r="BF37" s="132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0"/>
      <c r="BZ37" s="130"/>
      <c r="CA37" s="130"/>
      <c r="CB37" s="130"/>
      <c r="CC37" s="130"/>
      <c r="CD37" s="130"/>
      <c r="CE37" s="129"/>
      <c r="CF37" s="86"/>
      <c r="CG37" s="87"/>
      <c r="CH37" s="87"/>
    </row>
    <row r="38" spans="1:87" s="88" customFormat="1" ht="24.95" customHeight="1" thickTop="1" thickBot="1">
      <c r="A38" s="215">
        <v>140010230</v>
      </c>
      <c r="B38" s="155">
        <v>3</v>
      </c>
      <c r="C38" s="156" t="s">
        <v>0</v>
      </c>
      <c r="D38" s="157"/>
      <c r="E38" s="157"/>
      <c r="F38" s="158"/>
      <c r="G38" s="157"/>
      <c r="H38" s="157"/>
      <c r="I38" s="159">
        <v>3000</v>
      </c>
      <c r="J38" s="80">
        <v>3000</v>
      </c>
      <c r="K38" s="160">
        <v>3000</v>
      </c>
      <c r="L38" s="161">
        <v>0</v>
      </c>
      <c r="M38" s="162">
        <v>0</v>
      </c>
      <c r="N38" s="163">
        <v>0</v>
      </c>
      <c r="O38" s="193"/>
      <c r="P38" s="124"/>
      <c r="Q38" s="125"/>
      <c r="R38" s="126"/>
      <c r="S38" s="127"/>
      <c r="T38" s="127"/>
      <c r="U38" s="127"/>
      <c r="V38" s="130"/>
      <c r="W38" s="129"/>
      <c r="X38" s="130"/>
      <c r="Y38" s="130"/>
      <c r="Z38" s="130"/>
      <c r="AA38" s="132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29"/>
      <c r="BA38" s="130"/>
      <c r="BB38" s="129"/>
      <c r="BC38" s="130"/>
      <c r="BD38" s="130"/>
      <c r="BE38" s="130"/>
      <c r="BF38" s="132"/>
      <c r="BG38" s="130"/>
      <c r="BH38" s="130"/>
      <c r="BI38" s="130"/>
      <c r="BJ38" s="130"/>
      <c r="BK38" s="130"/>
      <c r="BL38" s="130"/>
      <c r="BM38" s="130"/>
      <c r="BN38" s="130"/>
      <c r="BO38" s="130"/>
      <c r="BP38" s="130"/>
      <c r="BQ38" s="130"/>
      <c r="BR38" s="130"/>
      <c r="BS38" s="130"/>
      <c r="BT38" s="130"/>
      <c r="BU38" s="130"/>
      <c r="BV38" s="130"/>
      <c r="BW38" s="130"/>
      <c r="BX38" s="130"/>
      <c r="BY38" s="130"/>
      <c r="BZ38" s="130"/>
      <c r="CA38" s="130"/>
      <c r="CB38" s="130"/>
      <c r="CC38" s="130"/>
      <c r="CD38" s="130"/>
      <c r="CE38" s="129"/>
      <c r="CF38" s="86"/>
      <c r="CG38" s="87"/>
      <c r="CH38" s="87"/>
    </row>
    <row r="39" spans="1:87" s="88" customFormat="1" ht="24.95" customHeight="1" thickTop="1" thickBot="1">
      <c r="A39" s="215">
        <v>140010255</v>
      </c>
      <c r="B39" s="155">
        <v>3</v>
      </c>
      <c r="C39" s="156" t="s">
        <v>0</v>
      </c>
      <c r="D39" s="157"/>
      <c r="E39" s="157"/>
      <c r="F39" s="158"/>
      <c r="G39" s="157"/>
      <c r="H39" s="157"/>
      <c r="I39" s="159">
        <v>500</v>
      </c>
      <c r="J39" s="80">
        <v>500</v>
      </c>
      <c r="K39" s="160">
        <v>500</v>
      </c>
      <c r="L39" s="161">
        <v>0</v>
      </c>
      <c r="M39" s="162">
        <v>0</v>
      </c>
      <c r="N39" s="163">
        <v>0</v>
      </c>
      <c r="O39" s="216"/>
      <c r="P39" s="217"/>
      <c r="Q39" s="218"/>
      <c r="R39" s="219"/>
      <c r="S39" s="219"/>
      <c r="T39" s="219"/>
      <c r="U39" s="220"/>
      <c r="V39" s="221"/>
      <c r="W39" s="222"/>
      <c r="X39" s="222"/>
      <c r="Y39" s="222"/>
      <c r="Z39" s="223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1"/>
      <c r="AZ39" s="224"/>
      <c r="BA39" s="221"/>
      <c r="BB39" s="222"/>
      <c r="BC39" s="222"/>
      <c r="BD39" s="222"/>
      <c r="BE39" s="223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1"/>
      <c r="CE39" s="224"/>
      <c r="CF39" s="86"/>
      <c r="CG39" s="87"/>
      <c r="CH39" s="87"/>
    </row>
    <row r="40" spans="1:87" s="192" customFormat="1" ht="24.95" customHeight="1" thickTop="1" thickBot="1">
      <c r="A40" s="215">
        <v>140030039</v>
      </c>
      <c r="B40" s="155" t="s">
        <v>1051</v>
      </c>
      <c r="C40" s="156" t="s">
        <v>1035</v>
      </c>
      <c r="D40" s="157"/>
      <c r="E40" s="157"/>
      <c r="F40" s="158"/>
      <c r="G40" s="157"/>
      <c r="H40" s="157"/>
      <c r="I40" s="159">
        <v>3000</v>
      </c>
      <c r="J40" s="80">
        <v>3000</v>
      </c>
      <c r="K40" s="160">
        <v>3700</v>
      </c>
      <c r="L40" s="161">
        <v>700</v>
      </c>
      <c r="M40" s="162">
        <v>700</v>
      </c>
      <c r="N40" s="163">
        <v>-700</v>
      </c>
      <c r="O40" s="216"/>
      <c r="P40" s="217"/>
      <c r="Q40" s="218"/>
      <c r="R40" s="219"/>
      <c r="S40" s="219"/>
      <c r="T40" s="219"/>
      <c r="U40" s="220"/>
      <c r="V40" s="221"/>
      <c r="W40" s="222"/>
      <c r="X40" s="222"/>
      <c r="Y40" s="222"/>
      <c r="Z40" s="223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1"/>
      <c r="AZ40" s="224"/>
      <c r="BA40" s="221"/>
      <c r="BB40" s="222"/>
      <c r="BC40" s="222"/>
      <c r="BD40" s="222"/>
      <c r="BE40" s="223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1"/>
      <c r="CE40" s="224"/>
      <c r="CF40" s="114"/>
      <c r="CG40" s="191"/>
      <c r="CH40" s="191"/>
    </row>
    <row r="41" spans="1:87" s="214" customFormat="1" ht="24.95" customHeight="1" thickTop="1" thickBot="1">
      <c r="A41" s="215">
        <v>140030040</v>
      </c>
      <c r="B41" s="155" t="s">
        <v>1051</v>
      </c>
      <c r="C41" s="156" t="s">
        <v>1036</v>
      </c>
      <c r="D41" s="157"/>
      <c r="E41" s="157"/>
      <c r="F41" s="158"/>
      <c r="G41" s="157"/>
      <c r="H41" s="157"/>
      <c r="I41" s="159">
        <v>3000</v>
      </c>
      <c r="J41" s="80">
        <v>3000</v>
      </c>
      <c r="K41" s="160">
        <v>3000</v>
      </c>
      <c r="L41" s="161">
        <v>0</v>
      </c>
      <c r="M41" s="162">
        <v>0</v>
      </c>
      <c r="N41" s="163">
        <v>0</v>
      </c>
      <c r="O41" s="124"/>
      <c r="P41" s="125"/>
      <c r="Q41" s="126"/>
      <c r="R41" s="127"/>
      <c r="S41" s="127"/>
      <c r="T41" s="127"/>
      <c r="U41" s="128"/>
      <c r="V41" s="129"/>
      <c r="W41" s="130"/>
      <c r="X41" s="130"/>
      <c r="Y41" s="130"/>
      <c r="Z41" s="132"/>
      <c r="AA41" s="131"/>
      <c r="AB41" s="130"/>
      <c r="AC41" s="130"/>
      <c r="AD41" s="130"/>
      <c r="AE41" s="130"/>
      <c r="AF41" s="131"/>
      <c r="AG41" s="130"/>
      <c r="AH41" s="130"/>
      <c r="AI41" s="130"/>
      <c r="AJ41" s="130"/>
      <c r="AK41" s="130"/>
      <c r="AL41" s="131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29"/>
      <c r="AZ41" s="130"/>
      <c r="BA41" s="129"/>
      <c r="BB41" s="130"/>
      <c r="BC41" s="130"/>
      <c r="BD41" s="130"/>
      <c r="BE41" s="132"/>
      <c r="BF41" s="131"/>
      <c r="BG41" s="130"/>
      <c r="BH41" s="130"/>
      <c r="BI41" s="130"/>
      <c r="BJ41" s="130"/>
      <c r="BK41" s="131"/>
      <c r="BL41" s="130"/>
      <c r="BM41" s="130"/>
      <c r="BN41" s="130"/>
      <c r="BO41" s="130"/>
      <c r="BP41" s="130"/>
      <c r="BQ41" s="131"/>
      <c r="BR41" s="130"/>
      <c r="BS41" s="130"/>
      <c r="BT41" s="130"/>
      <c r="BU41" s="130"/>
      <c r="BV41" s="130"/>
      <c r="BW41" s="130"/>
      <c r="BX41" s="130"/>
      <c r="BY41" s="130"/>
      <c r="BZ41" s="130"/>
      <c r="CA41" s="130"/>
      <c r="CB41" s="130"/>
      <c r="CC41" s="130"/>
      <c r="CD41" s="129"/>
      <c r="CE41" s="130"/>
      <c r="CF41" s="142"/>
      <c r="CG41" s="213"/>
      <c r="CH41" s="213"/>
    </row>
    <row r="42" spans="1:87" s="214" customFormat="1" ht="24.95" customHeight="1" thickTop="1" thickBot="1">
      <c r="A42" s="258">
        <v>140010117</v>
      </c>
      <c r="B42" s="89">
        <v>2</v>
      </c>
      <c r="C42" s="133" t="s">
        <v>0</v>
      </c>
      <c r="D42" s="85"/>
      <c r="E42" s="85"/>
      <c r="F42" s="93"/>
      <c r="G42" s="85"/>
      <c r="H42" s="85"/>
      <c r="I42" s="79">
        <v>7000</v>
      </c>
      <c r="J42" s="80">
        <v>7000</v>
      </c>
      <c r="K42" s="81">
        <v>7000</v>
      </c>
      <c r="L42" s="82">
        <v>0</v>
      </c>
      <c r="M42" s="83">
        <v>0</v>
      </c>
      <c r="N42" s="84">
        <v>0</v>
      </c>
      <c r="O42" s="201"/>
      <c r="P42" s="202"/>
      <c r="Q42" s="201"/>
      <c r="R42" s="203"/>
      <c r="S42" s="204"/>
      <c r="T42" s="204"/>
      <c r="U42" s="204"/>
      <c r="V42" s="136"/>
      <c r="W42" s="135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5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42"/>
      <c r="CG42" s="213"/>
      <c r="CH42" s="213"/>
    </row>
    <row r="43" spans="1:87" s="197" customFormat="1" ht="24.95" customHeight="1" thickTop="1" thickBot="1">
      <c r="A43" s="258">
        <v>140310058</v>
      </c>
      <c r="B43" s="89">
        <v>2</v>
      </c>
      <c r="C43" s="133" t="s">
        <v>0</v>
      </c>
      <c r="D43" s="85"/>
      <c r="E43" s="85"/>
      <c r="F43" s="93"/>
      <c r="G43" s="85"/>
      <c r="H43" s="85"/>
      <c r="I43" s="79">
        <v>6000</v>
      </c>
      <c r="J43" s="80">
        <v>6000</v>
      </c>
      <c r="K43" s="81">
        <v>6000</v>
      </c>
      <c r="L43" s="82">
        <v>0</v>
      </c>
      <c r="M43" s="83">
        <v>0</v>
      </c>
      <c r="N43" s="84">
        <v>0</v>
      </c>
      <c r="O43" s="124"/>
      <c r="P43" s="125"/>
      <c r="Q43" s="126"/>
      <c r="R43" s="127"/>
      <c r="S43" s="127"/>
      <c r="T43" s="127"/>
      <c r="U43" s="128"/>
      <c r="V43" s="129"/>
      <c r="W43" s="130"/>
      <c r="X43" s="130"/>
      <c r="Y43" s="130"/>
      <c r="Z43" s="132"/>
      <c r="AA43" s="131"/>
      <c r="AB43" s="130"/>
      <c r="AC43" s="130"/>
      <c r="AD43" s="130"/>
      <c r="AE43" s="131"/>
      <c r="AF43" s="130"/>
      <c r="AG43" s="131"/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/>
      <c r="AX43" s="130"/>
      <c r="AY43" s="129"/>
      <c r="AZ43" s="130"/>
      <c r="BA43" s="129"/>
      <c r="BB43" s="130"/>
      <c r="BC43" s="130"/>
      <c r="BD43" s="130"/>
      <c r="BE43" s="132"/>
      <c r="BF43" s="131"/>
      <c r="BG43" s="130"/>
      <c r="BH43" s="130"/>
      <c r="BI43" s="130"/>
      <c r="BJ43" s="131"/>
      <c r="BK43" s="130"/>
      <c r="BL43" s="131"/>
      <c r="BM43" s="130"/>
      <c r="BN43" s="130"/>
      <c r="BO43" s="130"/>
      <c r="BP43" s="130"/>
      <c r="BQ43" s="130"/>
      <c r="BR43" s="130"/>
      <c r="BS43" s="130"/>
      <c r="BT43" s="130"/>
      <c r="BU43" s="130"/>
      <c r="BV43" s="130"/>
      <c r="BW43" s="130"/>
      <c r="BX43" s="130"/>
      <c r="BY43" s="130"/>
      <c r="BZ43" s="130"/>
      <c r="CA43" s="130"/>
      <c r="CB43" s="130"/>
      <c r="CC43" s="130"/>
      <c r="CD43" s="129"/>
      <c r="CE43" s="130"/>
      <c r="CF43" s="139"/>
      <c r="CG43" s="205"/>
      <c r="CH43" s="205"/>
    </row>
    <row r="44" spans="1:87" s="88" customFormat="1" ht="24.95" customHeight="1" thickTop="1" thickBot="1">
      <c r="A44" s="215">
        <v>140310031</v>
      </c>
      <c r="B44" s="155">
        <v>2</v>
      </c>
      <c r="C44" s="156" t="s">
        <v>55</v>
      </c>
      <c r="D44" s="157"/>
      <c r="E44" s="157"/>
      <c r="F44" s="158"/>
      <c r="G44" s="157"/>
      <c r="H44" s="157"/>
      <c r="I44" s="159">
        <v>500</v>
      </c>
      <c r="J44" s="80">
        <v>513</v>
      </c>
      <c r="K44" s="160">
        <v>514</v>
      </c>
      <c r="L44" s="161">
        <v>14</v>
      </c>
      <c r="M44" s="162">
        <v>14</v>
      </c>
      <c r="N44" s="163">
        <v>-1</v>
      </c>
      <c r="O44" s="124"/>
      <c r="P44" s="125"/>
      <c r="Q44" s="126"/>
      <c r="R44" s="127"/>
      <c r="S44" s="127"/>
      <c r="T44" s="127"/>
      <c r="U44" s="128"/>
      <c r="V44" s="129"/>
      <c r="W44" s="130"/>
      <c r="X44" s="130"/>
      <c r="Y44" s="130"/>
      <c r="Z44" s="132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29"/>
      <c r="AZ44" s="130"/>
      <c r="BA44" s="129"/>
      <c r="BB44" s="130"/>
      <c r="BC44" s="130"/>
      <c r="BD44" s="130"/>
      <c r="BE44" s="132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0"/>
      <c r="BV44" s="130"/>
      <c r="BW44" s="130"/>
      <c r="BX44" s="130"/>
      <c r="BY44" s="130"/>
      <c r="BZ44" s="130"/>
      <c r="CA44" s="130"/>
      <c r="CB44" s="130"/>
      <c r="CC44" s="130"/>
      <c r="CD44" s="129"/>
      <c r="CE44" s="130"/>
      <c r="CF44" s="86"/>
      <c r="CG44" s="87"/>
      <c r="CH44" s="87"/>
    </row>
    <row r="45" spans="1:87" s="88" customFormat="1" ht="24.95" customHeight="1" thickTop="1" thickBot="1">
      <c r="A45" s="259">
        <v>140310096</v>
      </c>
      <c r="B45" s="177">
        <v>2</v>
      </c>
      <c r="C45" s="178" t="s">
        <v>55</v>
      </c>
      <c r="D45" s="179"/>
      <c r="E45" s="179"/>
      <c r="F45" s="180"/>
      <c r="G45" s="179"/>
      <c r="H45" s="179"/>
      <c r="I45" s="181">
        <v>3000</v>
      </c>
      <c r="J45" s="182">
        <v>3000</v>
      </c>
      <c r="K45" s="183">
        <v>3000</v>
      </c>
      <c r="L45" s="184">
        <v>0</v>
      </c>
      <c r="M45" s="185">
        <v>0</v>
      </c>
      <c r="N45" s="186">
        <v>0</v>
      </c>
      <c r="O45" s="124"/>
      <c r="P45" s="125"/>
      <c r="Q45" s="126"/>
      <c r="R45" s="127"/>
      <c r="S45" s="127"/>
      <c r="T45" s="127"/>
      <c r="U45" s="128"/>
      <c r="V45" s="129"/>
      <c r="W45" s="130"/>
      <c r="X45" s="130"/>
      <c r="Y45" s="130"/>
      <c r="Z45" s="188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29"/>
      <c r="AZ45" s="130"/>
      <c r="BA45" s="129"/>
      <c r="BB45" s="130"/>
      <c r="BC45" s="130"/>
      <c r="BD45" s="130"/>
      <c r="BE45" s="188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  <c r="BR45" s="130"/>
      <c r="BS45" s="130"/>
      <c r="BT45" s="130"/>
      <c r="BU45" s="130"/>
      <c r="BV45" s="130"/>
      <c r="BW45" s="130"/>
      <c r="BX45" s="130"/>
      <c r="BY45" s="130"/>
      <c r="BZ45" s="130"/>
      <c r="CA45" s="130"/>
      <c r="CB45" s="130"/>
      <c r="CC45" s="130"/>
      <c r="CD45" s="129"/>
      <c r="CE45" s="130"/>
      <c r="CF45" s="97"/>
      <c r="CG45" s="86"/>
      <c r="CH45" s="87"/>
      <c r="CI45" s="87"/>
    </row>
    <row r="46" spans="1:87" s="88" customFormat="1" ht="24.95" customHeight="1" thickTop="1" thickBot="1">
      <c r="A46" s="258">
        <v>140010255</v>
      </c>
      <c r="B46" s="89">
        <v>2</v>
      </c>
      <c r="C46" s="133" t="s">
        <v>0</v>
      </c>
      <c r="D46" s="85"/>
      <c r="E46" s="85"/>
      <c r="F46" s="93"/>
      <c r="G46" s="85"/>
      <c r="H46" s="85"/>
      <c r="I46" s="79">
        <v>1000</v>
      </c>
      <c r="J46" s="80">
        <v>1000</v>
      </c>
      <c r="K46" s="81">
        <v>1000</v>
      </c>
      <c r="L46" s="82">
        <v>0</v>
      </c>
      <c r="M46" s="83">
        <v>0</v>
      </c>
      <c r="N46" s="84">
        <v>0</v>
      </c>
      <c r="O46" s="124"/>
      <c r="P46" s="125"/>
      <c r="Q46" s="126"/>
      <c r="R46" s="127"/>
      <c r="S46" s="127"/>
      <c r="T46" s="127"/>
      <c r="U46" s="128"/>
      <c r="V46" s="129"/>
      <c r="W46" s="130"/>
      <c r="X46" s="130"/>
      <c r="Y46" s="130"/>
      <c r="Z46" s="132"/>
      <c r="AA46" s="131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1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30"/>
      <c r="AY46" s="129"/>
      <c r="AZ46" s="130"/>
      <c r="BA46" s="129"/>
      <c r="BB46" s="130"/>
      <c r="BC46" s="130"/>
      <c r="BD46" s="130"/>
      <c r="BE46" s="132"/>
      <c r="BF46" s="131"/>
      <c r="BG46" s="130"/>
      <c r="BH46" s="130"/>
      <c r="BI46" s="130"/>
      <c r="BJ46" s="130"/>
      <c r="BK46" s="130"/>
      <c r="BL46" s="130"/>
      <c r="BM46" s="130"/>
      <c r="BN46" s="130"/>
      <c r="BO46" s="130"/>
      <c r="BP46" s="130"/>
      <c r="BQ46" s="131"/>
      <c r="BR46" s="130"/>
      <c r="BS46" s="130"/>
      <c r="BT46" s="130"/>
      <c r="BU46" s="130"/>
      <c r="BV46" s="130"/>
      <c r="BW46" s="130"/>
      <c r="BX46" s="130"/>
      <c r="BY46" s="130"/>
      <c r="BZ46" s="130"/>
      <c r="CA46" s="130"/>
      <c r="CB46" s="130"/>
      <c r="CC46" s="130"/>
      <c r="CD46" s="129"/>
      <c r="CE46" s="130"/>
      <c r="CF46" s="97"/>
      <c r="CG46" s="86"/>
      <c r="CH46" s="87"/>
      <c r="CI46" s="87"/>
    </row>
    <row r="47" spans="1:87" s="88" customFormat="1" ht="24.95" customHeight="1" thickTop="1" thickBot="1">
      <c r="A47" s="258">
        <v>140010117</v>
      </c>
      <c r="B47" s="89" t="s">
        <v>240</v>
      </c>
      <c r="C47" s="133" t="s">
        <v>0</v>
      </c>
      <c r="D47" s="85"/>
      <c r="E47" s="85"/>
      <c r="F47" s="93"/>
      <c r="G47" s="85"/>
      <c r="H47" s="85"/>
      <c r="I47" s="79">
        <v>3000</v>
      </c>
      <c r="J47" s="80">
        <v>3000</v>
      </c>
      <c r="K47" s="81">
        <v>3000</v>
      </c>
      <c r="L47" s="82">
        <v>0</v>
      </c>
      <c r="M47" s="83">
        <v>0</v>
      </c>
      <c r="N47" s="84">
        <v>0</v>
      </c>
      <c r="O47" s="124"/>
      <c r="P47" s="125"/>
      <c r="Q47" s="126"/>
      <c r="R47" s="127"/>
      <c r="S47" s="127"/>
      <c r="T47" s="127"/>
      <c r="U47" s="128"/>
      <c r="V47" s="129"/>
      <c r="W47" s="130"/>
      <c r="X47" s="130"/>
      <c r="Y47" s="130"/>
      <c r="Z47" s="132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29"/>
      <c r="AZ47" s="130"/>
      <c r="BA47" s="129"/>
      <c r="BB47" s="130"/>
      <c r="BC47" s="130"/>
      <c r="BD47" s="130"/>
      <c r="BE47" s="132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  <c r="BR47" s="130"/>
      <c r="BS47" s="130"/>
      <c r="BT47" s="130"/>
      <c r="BU47" s="130"/>
      <c r="BV47" s="130"/>
      <c r="BW47" s="130"/>
      <c r="BX47" s="130"/>
      <c r="BY47" s="130"/>
      <c r="BZ47" s="130"/>
      <c r="CA47" s="130"/>
      <c r="CB47" s="130"/>
      <c r="CC47" s="130"/>
      <c r="CD47" s="129"/>
      <c r="CE47" s="130"/>
      <c r="CF47" s="97"/>
      <c r="CG47" s="86"/>
      <c r="CH47" s="87"/>
      <c r="CI47" s="87"/>
    </row>
    <row r="48" spans="1:87" s="88" customFormat="1" ht="24.95" customHeight="1" thickTop="1" thickBot="1">
      <c r="A48" s="258">
        <v>140030039</v>
      </c>
      <c r="B48" s="89">
        <v>2</v>
      </c>
      <c r="C48" s="133" t="s">
        <v>1035</v>
      </c>
      <c r="D48" s="85"/>
      <c r="E48" s="85"/>
      <c r="F48" s="93"/>
      <c r="G48" s="85"/>
      <c r="H48" s="85"/>
      <c r="I48" s="79">
        <v>8000</v>
      </c>
      <c r="J48" s="80">
        <v>8000</v>
      </c>
      <c r="K48" s="81">
        <v>6800</v>
      </c>
      <c r="L48" s="82">
        <v>0</v>
      </c>
      <c r="M48" s="83">
        <v>-1200</v>
      </c>
      <c r="N48" s="84">
        <v>1200</v>
      </c>
      <c r="O48" s="124"/>
      <c r="P48" s="125"/>
      <c r="Q48" s="126"/>
      <c r="R48" s="127"/>
      <c r="S48" s="127"/>
      <c r="T48" s="127"/>
      <c r="U48" s="128"/>
      <c r="V48" s="129"/>
      <c r="W48" s="130"/>
      <c r="X48" s="130"/>
      <c r="Y48" s="130"/>
      <c r="Z48" s="188"/>
      <c r="AA48" s="130"/>
      <c r="AB48" s="130"/>
      <c r="AC48" s="130"/>
      <c r="AD48" s="130"/>
      <c r="AE48" s="130"/>
      <c r="AF48" s="130"/>
      <c r="AG48" s="131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29"/>
      <c r="AZ48" s="130"/>
      <c r="BA48" s="129"/>
      <c r="BB48" s="130"/>
      <c r="BC48" s="130"/>
      <c r="BD48" s="130"/>
      <c r="BE48" s="188"/>
      <c r="BF48" s="130"/>
      <c r="BG48" s="130"/>
      <c r="BH48" s="130"/>
      <c r="BI48" s="130"/>
      <c r="BJ48" s="130"/>
      <c r="BK48" s="130"/>
      <c r="BL48" s="131"/>
      <c r="BM48" s="130"/>
      <c r="BN48" s="130"/>
      <c r="BO48" s="130"/>
      <c r="BP48" s="130"/>
      <c r="BQ48" s="130"/>
      <c r="BR48" s="130"/>
      <c r="BS48" s="130"/>
      <c r="BT48" s="130"/>
      <c r="BU48" s="130"/>
      <c r="BV48" s="130"/>
      <c r="BW48" s="130"/>
      <c r="BX48" s="130"/>
      <c r="BY48" s="130"/>
      <c r="BZ48" s="130"/>
      <c r="CA48" s="130"/>
      <c r="CB48" s="130"/>
      <c r="CC48" s="130"/>
      <c r="CD48" s="129"/>
      <c r="CE48" s="130"/>
      <c r="CF48" s="97"/>
      <c r="CG48" s="86"/>
      <c r="CH48" s="87"/>
      <c r="CI48" s="87"/>
    </row>
    <row r="49" spans="1:87" s="88" customFormat="1" ht="24.95" customHeight="1" thickTop="1" thickBot="1">
      <c r="A49" s="258">
        <v>140030039</v>
      </c>
      <c r="B49" s="89" t="s">
        <v>240</v>
      </c>
      <c r="C49" s="133" t="s">
        <v>1035</v>
      </c>
      <c r="D49" s="85"/>
      <c r="E49" s="85"/>
      <c r="F49" s="93"/>
      <c r="G49" s="85"/>
      <c r="H49" s="85"/>
      <c r="I49" s="79">
        <v>3000</v>
      </c>
      <c r="J49" s="80">
        <v>3000</v>
      </c>
      <c r="K49" s="81">
        <v>3000</v>
      </c>
      <c r="L49" s="82">
        <v>0</v>
      </c>
      <c r="M49" s="83">
        <v>0</v>
      </c>
      <c r="N49" s="84">
        <v>0</v>
      </c>
      <c r="O49" s="124"/>
      <c r="P49" s="125"/>
      <c r="Q49" s="126"/>
      <c r="R49" s="127"/>
      <c r="S49" s="127"/>
      <c r="T49" s="127"/>
      <c r="U49" s="128"/>
      <c r="V49" s="129"/>
      <c r="W49" s="130"/>
      <c r="X49" s="130"/>
      <c r="Y49" s="130"/>
      <c r="Z49" s="188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29"/>
      <c r="AZ49" s="130"/>
      <c r="BA49" s="129"/>
      <c r="BB49" s="130"/>
      <c r="BC49" s="130"/>
      <c r="BD49" s="130"/>
      <c r="BE49" s="188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  <c r="BU49" s="130"/>
      <c r="BV49" s="130"/>
      <c r="BW49" s="130"/>
      <c r="BX49" s="130"/>
      <c r="BY49" s="130"/>
      <c r="BZ49" s="130"/>
      <c r="CA49" s="130"/>
      <c r="CB49" s="130"/>
      <c r="CC49" s="130"/>
      <c r="CD49" s="129"/>
      <c r="CE49" s="130"/>
      <c r="CF49" s="97"/>
      <c r="CG49" s="86"/>
      <c r="CH49" s="87"/>
      <c r="CI49" s="87"/>
    </row>
    <row r="50" spans="1:87" s="88" customFormat="1" ht="24.95" customHeight="1" thickTop="1" thickBot="1">
      <c r="A50" s="258">
        <v>140030039</v>
      </c>
      <c r="B50" s="89">
        <v>1</v>
      </c>
      <c r="C50" s="133" t="s">
        <v>1035</v>
      </c>
      <c r="D50" s="85"/>
      <c r="E50" s="85"/>
      <c r="F50" s="93"/>
      <c r="G50" s="85"/>
      <c r="H50" s="85"/>
      <c r="I50" s="79">
        <v>6600</v>
      </c>
      <c r="J50" s="80">
        <v>6600</v>
      </c>
      <c r="K50" s="81">
        <v>6600</v>
      </c>
      <c r="L50" s="82">
        <v>0</v>
      </c>
      <c r="M50" s="83">
        <v>0</v>
      </c>
      <c r="N50" s="84">
        <v>0</v>
      </c>
      <c r="O50" s="124"/>
      <c r="P50" s="125"/>
      <c r="Q50" s="126"/>
      <c r="R50" s="127"/>
      <c r="S50" s="127"/>
      <c r="T50" s="127"/>
      <c r="U50" s="128"/>
      <c r="V50" s="129"/>
      <c r="W50" s="130"/>
      <c r="X50" s="130"/>
      <c r="Y50" s="130"/>
      <c r="Z50" s="132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29"/>
      <c r="AZ50" s="130"/>
      <c r="BA50" s="129"/>
      <c r="BB50" s="130"/>
      <c r="BC50" s="130"/>
      <c r="BD50" s="130"/>
      <c r="BE50" s="132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29"/>
      <c r="CE50" s="130"/>
      <c r="CF50" s="97"/>
      <c r="CG50" s="86"/>
      <c r="CH50" s="87"/>
      <c r="CI50" s="87"/>
    </row>
    <row r="51" spans="1:87" s="88" customFormat="1" ht="24.95" customHeight="1" thickTop="1" thickBot="1">
      <c r="A51" s="258">
        <v>140030040</v>
      </c>
      <c r="B51" s="89">
        <v>2</v>
      </c>
      <c r="C51" s="133" t="s">
        <v>1036</v>
      </c>
      <c r="D51" s="85"/>
      <c r="E51" s="85"/>
      <c r="F51" s="93"/>
      <c r="G51" s="85"/>
      <c r="H51" s="85"/>
      <c r="I51" s="79">
        <v>8000</v>
      </c>
      <c r="J51" s="80">
        <v>8000</v>
      </c>
      <c r="K51" s="81">
        <v>8000</v>
      </c>
      <c r="L51" s="82">
        <v>0</v>
      </c>
      <c r="M51" s="83">
        <v>0</v>
      </c>
      <c r="N51" s="84">
        <v>0</v>
      </c>
      <c r="O51" s="124"/>
      <c r="P51" s="125"/>
      <c r="Q51" s="126"/>
      <c r="R51" s="127"/>
      <c r="S51" s="127"/>
      <c r="T51" s="127"/>
      <c r="U51" s="128"/>
      <c r="V51" s="129"/>
      <c r="W51" s="130"/>
      <c r="X51" s="130"/>
      <c r="Y51" s="130"/>
      <c r="Z51" s="188"/>
      <c r="AA51" s="130"/>
      <c r="AB51" s="130"/>
      <c r="AC51" s="130"/>
      <c r="AD51" s="130"/>
      <c r="AE51" s="130"/>
      <c r="AF51" s="130"/>
      <c r="AG51" s="131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29"/>
      <c r="AZ51" s="130"/>
      <c r="BA51" s="129"/>
      <c r="BB51" s="130"/>
      <c r="BC51" s="130"/>
      <c r="BD51" s="130"/>
      <c r="BE51" s="188"/>
      <c r="BF51" s="130"/>
      <c r="BG51" s="130"/>
      <c r="BH51" s="130"/>
      <c r="BI51" s="130"/>
      <c r="BJ51" s="130"/>
      <c r="BK51" s="130"/>
      <c r="BL51" s="131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29"/>
      <c r="CE51" s="130"/>
      <c r="CF51" s="138"/>
      <c r="CG51" s="114"/>
      <c r="CH51" s="87"/>
      <c r="CI51" s="87"/>
    </row>
    <row r="52" spans="1:87" s="98" customFormat="1" ht="24.95" customHeight="1" thickTop="1" thickBot="1">
      <c r="A52" s="258">
        <v>140030040</v>
      </c>
      <c r="B52" s="89" t="s">
        <v>240</v>
      </c>
      <c r="C52" s="133" t="s">
        <v>1036</v>
      </c>
      <c r="D52" s="85"/>
      <c r="E52" s="85"/>
      <c r="F52" s="93"/>
      <c r="G52" s="85"/>
      <c r="H52" s="85"/>
      <c r="I52" s="79">
        <v>3000</v>
      </c>
      <c r="J52" s="80">
        <v>3000</v>
      </c>
      <c r="K52" s="81">
        <v>3000</v>
      </c>
      <c r="L52" s="82">
        <v>0</v>
      </c>
      <c r="M52" s="83">
        <v>0</v>
      </c>
      <c r="N52" s="84">
        <v>0</v>
      </c>
      <c r="O52" s="124"/>
      <c r="P52" s="125"/>
      <c r="Q52" s="126"/>
      <c r="R52" s="127"/>
      <c r="S52" s="127"/>
      <c r="T52" s="127"/>
      <c r="U52" s="128"/>
      <c r="V52" s="129"/>
      <c r="W52" s="130"/>
      <c r="X52" s="130"/>
      <c r="Y52" s="130"/>
      <c r="Z52" s="188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29"/>
      <c r="AZ52" s="130"/>
      <c r="BA52" s="129"/>
      <c r="BB52" s="130"/>
      <c r="BC52" s="130"/>
      <c r="BD52" s="130"/>
      <c r="BE52" s="188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29"/>
      <c r="CE52" s="130"/>
      <c r="CF52" s="140"/>
      <c r="CG52" s="141"/>
    </row>
    <row r="53" spans="1:87" s="98" customFormat="1" ht="24.95" customHeight="1" thickTop="1" thickBot="1">
      <c r="A53" s="258">
        <v>140030040</v>
      </c>
      <c r="B53" s="89" t="s">
        <v>257</v>
      </c>
      <c r="C53" s="133" t="s">
        <v>1036</v>
      </c>
      <c r="D53" s="85"/>
      <c r="E53" s="85"/>
      <c r="F53" s="93"/>
      <c r="G53" s="85"/>
      <c r="H53" s="85"/>
      <c r="I53" s="79">
        <v>600</v>
      </c>
      <c r="J53" s="80">
        <v>600</v>
      </c>
      <c r="K53" s="81">
        <v>600</v>
      </c>
      <c r="L53" s="82">
        <v>0</v>
      </c>
      <c r="M53" s="83">
        <v>0</v>
      </c>
      <c r="N53" s="84">
        <v>0</v>
      </c>
      <c r="O53" s="124"/>
      <c r="P53" s="125"/>
      <c r="Q53" s="126"/>
      <c r="R53" s="127"/>
      <c r="S53" s="127"/>
      <c r="T53" s="127"/>
      <c r="U53" s="128"/>
      <c r="V53" s="129"/>
      <c r="W53" s="130"/>
      <c r="X53" s="130"/>
      <c r="Y53" s="130"/>
      <c r="Z53" s="132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29"/>
      <c r="AZ53" s="130"/>
      <c r="BA53" s="129"/>
      <c r="BB53" s="130"/>
      <c r="BC53" s="130"/>
      <c r="BD53" s="130"/>
      <c r="BE53" s="132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29"/>
      <c r="CE53" s="130"/>
      <c r="CF53" s="130"/>
      <c r="CG53" s="141"/>
    </row>
    <row r="54" spans="1:87" s="98" customFormat="1" ht="24.95" customHeight="1" thickTop="1" thickBot="1">
      <c r="A54" s="258">
        <v>140010298</v>
      </c>
      <c r="B54" s="89">
        <v>1</v>
      </c>
      <c r="C54" s="172" t="s">
        <v>1026</v>
      </c>
      <c r="D54" s="85"/>
      <c r="E54" s="85"/>
      <c r="F54" s="93"/>
      <c r="G54" s="85"/>
      <c r="H54" s="85"/>
      <c r="I54" s="79">
        <v>630</v>
      </c>
      <c r="J54" s="80">
        <v>632</v>
      </c>
      <c r="K54" s="81">
        <v>630</v>
      </c>
      <c r="L54" s="82">
        <v>2</v>
      </c>
      <c r="M54" s="83">
        <v>0</v>
      </c>
      <c r="N54" s="84">
        <v>2</v>
      </c>
      <c r="O54" s="124"/>
      <c r="P54" s="125"/>
      <c r="Q54" s="126"/>
      <c r="R54" s="127"/>
      <c r="S54" s="127"/>
      <c r="T54" s="127"/>
      <c r="U54" s="128"/>
      <c r="V54" s="129"/>
      <c r="W54" s="130"/>
      <c r="X54" s="130"/>
      <c r="Y54" s="130"/>
      <c r="Z54" s="132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29"/>
      <c r="AZ54" s="130"/>
      <c r="BA54" s="129"/>
      <c r="BB54" s="130"/>
      <c r="BC54" s="130"/>
      <c r="BD54" s="130"/>
      <c r="BE54" s="132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0"/>
      <c r="BV54" s="130"/>
      <c r="BW54" s="130"/>
      <c r="BX54" s="130"/>
      <c r="BY54" s="130"/>
      <c r="BZ54" s="130"/>
      <c r="CA54" s="130"/>
      <c r="CB54" s="130"/>
      <c r="CC54" s="130"/>
      <c r="CD54" s="129"/>
      <c r="CE54" s="130"/>
      <c r="CF54" s="130"/>
      <c r="CG54" s="141"/>
    </row>
    <row r="55" spans="1:87" s="36" customFormat="1" ht="24.95" customHeight="1" thickTop="1" thickBot="1">
      <c r="A55" s="258">
        <v>140010279</v>
      </c>
      <c r="B55" s="89">
        <v>1</v>
      </c>
      <c r="C55" s="172" t="s">
        <v>1026</v>
      </c>
      <c r="D55" s="85"/>
      <c r="E55" s="85"/>
      <c r="F55" s="93"/>
      <c r="G55" s="85"/>
      <c r="H55" s="85"/>
      <c r="I55" s="79">
        <v>10300</v>
      </c>
      <c r="J55" s="80">
        <v>10298</v>
      </c>
      <c r="K55" s="81">
        <v>10315</v>
      </c>
      <c r="L55" s="82">
        <v>15</v>
      </c>
      <c r="M55" s="83">
        <v>15</v>
      </c>
      <c r="N55" s="84">
        <v>-5</v>
      </c>
      <c r="O55" s="124"/>
      <c r="P55" s="125"/>
      <c r="Q55" s="126"/>
      <c r="R55" s="127"/>
      <c r="S55" s="127"/>
      <c r="T55" s="127"/>
      <c r="U55" s="128"/>
      <c r="V55" s="129"/>
      <c r="W55" s="130"/>
      <c r="X55" s="130"/>
      <c r="Y55" s="130"/>
      <c r="Z55" s="132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29"/>
      <c r="AZ55" s="130"/>
      <c r="BA55" s="129"/>
      <c r="BB55" s="130"/>
      <c r="BC55" s="130"/>
      <c r="BD55" s="130"/>
      <c r="BE55" s="132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  <c r="BU55" s="130"/>
      <c r="BV55" s="130"/>
      <c r="BW55" s="130"/>
      <c r="BX55" s="130"/>
      <c r="BY55" s="130"/>
      <c r="BZ55" s="130"/>
      <c r="CA55" s="130"/>
      <c r="CB55" s="130"/>
      <c r="CC55" s="130"/>
      <c r="CD55" s="129"/>
      <c r="CE55" s="130"/>
      <c r="CF55" s="136"/>
      <c r="CG55" s="141"/>
      <c r="CH55" s="137"/>
    </row>
    <row r="56" spans="1:87" s="88" customFormat="1" ht="24.95" customHeight="1" thickTop="1" thickBot="1">
      <c r="A56" s="258">
        <v>140010280</v>
      </c>
      <c r="B56" s="89">
        <v>1</v>
      </c>
      <c r="C56" s="172" t="s">
        <v>1026</v>
      </c>
      <c r="D56" s="85"/>
      <c r="E56" s="85"/>
      <c r="F56" s="93"/>
      <c r="G56" s="85"/>
      <c r="H56" s="85"/>
      <c r="I56" s="79">
        <v>8100</v>
      </c>
      <c r="J56" s="80">
        <v>8105</v>
      </c>
      <c r="K56" s="81">
        <v>8099</v>
      </c>
      <c r="L56" s="82">
        <v>5</v>
      </c>
      <c r="M56" s="83">
        <v>-1</v>
      </c>
      <c r="N56" s="84">
        <v>6</v>
      </c>
      <c r="O56" s="124"/>
      <c r="P56" s="125"/>
      <c r="Q56" s="126"/>
      <c r="R56" s="127"/>
      <c r="S56" s="127"/>
      <c r="T56" s="127"/>
      <c r="U56" s="128"/>
      <c r="V56" s="129"/>
      <c r="W56" s="130"/>
      <c r="X56" s="130"/>
      <c r="Y56" s="130"/>
      <c r="Z56" s="132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29"/>
      <c r="AZ56" s="130"/>
      <c r="BA56" s="129"/>
      <c r="BB56" s="130"/>
      <c r="BC56" s="130"/>
      <c r="BD56" s="130"/>
      <c r="BE56" s="132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29"/>
      <c r="CE56" s="130"/>
      <c r="CF56" s="130"/>
      <c r="CG56" s="142"/>
      <c r="CH56" s="87"/>
      <c r="CI56" s="87"/>
    </row>
    <row r="57" spans="1:87" s="88" customFormat="1" ht="24.95" customHeight="1" thickTop="1" thickBot="1">
      <c r="A57" s="258">
        <v>140010295</v>
      </c>
      <c r="B57" s="89">
        <v>1</v>
      </c>
      <c r="C57" s="172" t="s">
        <v>1026</v>
      </c>
      <c r="D57" s="85"/>
      <c r="E57" s="85"/>
      <c r="F57" s="93"/>
      <c r="G57" s="85"/>
      <c r="H57" s="85"/>
      <c r="I57" s="79">
        <v>4300</v>
      </c>
      <c r="J57" s="80">
        <v>4310</v>
      </c>
      <c r="K57" s="81">
        <v>4305</v>
      </c>
      <c r="L57" s="82">
        <v>10</v>
      </c>
      <c r="M57" s="83">
        <v>5</v>
      </c>
      <c r="N57" s="84">
        <v>5</v>
      </c>
      <c r="O57" s="124"/>
      <c r="P57" s="125"/>
      <c r="Q57" s="126"/>
      <c r="R57" s="127"/>
      <c r="S57" s="127"/>
      <c r="T57" s="127"/>
      <c r="U57" s="128"/>
      <c r="V57" s="129"/>
      <c r="W57" s="130"/>
      <c r="X57" s="130"/>
      <c r="Y57" s="130"/>
      <c r="Z57" s="132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29"/>
      <c r="AZ57" s="130"/>
      <c r="BA57" s="129"/>
      <c r="BB57" s="130"/>
      <c r="BC57" s="130"/>
      <c r="BD57" s="130"/>
      <c r="BE57" s="132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29"/>
      <c r="CE57" s="130"/>
      <c r="CF57" s="136"/>
      <c r="CG57" s="142"/>
      <c r="CH57" s="87"/>
      <c r="CI57" s="87"/>
    </row>
    <row r="58" spans="1:87" s="88" customFormat="1" ht="24.95" customHeight="1" thickTop="1" thickBot="1">
      <c r="A58" s="258">
        <v>140020181</v>
      </c>
      <c r="B58" s="89">
        <v>2</v>
      </c>
      <c r="C58" s="133" t="s">
        <v>19</v>
      </c>
      <c r="D58" s="85"/>
      <c r="E58" s="85"/>
      <c r="F58" s="93"/>
      <c r="G58" s="85"/>
      <c r="H58" s="85"/>
      <c r="I58" s="79">
        <v>8100</v>
      </c>
      <c r="J58" s="80">
        <v>8100</v>
      </c>
      <c r="K58" s="81">
        <v>8100</v>
      </c>
      <c r="L58" s="82">
        <v>0</v>
      </c>
      <c r="M58" s="83">
        <v>0</v>
      </c>
      <c r="N58" s="84">
        <v>0</v>
      </c>
      <c r="O58" s="187"/>
      <c r="P58" s="174"/>
      <c r="Q58" s="173"/>
      <c r="R58" s="175"/>
      <c r="S58" s="175"/>
      <c r="T58" s="175"/>
      <c r="U58" s="176"/>
      <c r="V58" s="129"/>
      <c r="W58" s="131"/>
      <c r="X58" s="130"/>
      <c r="Y58" s="130"/>
      <c r="Z58" s="132"/>
      <c r="AA58" s="130"/>
      <c r="AB58" s="130"/>
      <c r="AC58" s="130"/>
      <c r="AD58" s="131"/>
      <c r="AE58" s="130"/>
      <c r="AF58" s="130"/>
      <c r="AG58" s="130"/>
      <c r="AH58" s="130"/>
      <c r="AI58" s="130"/>
      <c r="AJ58" s="130"/>
      <c r="AK58" s="131"/>
      <c r="AL58" s="130"/>
      <c r="AM58" s="130"/>
      <c r="AN58" s="130"/>
      <c r="AO58" s="130"/>
      <c r="AP58" s="130"/>
      <c r="AQ58" s="131"/>
      <c r="AR58" s="130"/>
      <c r="AS58" s="130"/>
      <c r="AT58" s="130"/>
      <c r="AU58" s="130"/>
      <c r="AV58" s="130"/>
      <c r="AW58" s="130"/>
      <c r="AX58" s="130"/>
      <c r="AY58" s="129"/>
      <c r="AZ58" s="130"/>
      <c r="BA58" s="129"/>
      <c r="BB58" s="131"/>
      <c r="BC58" s="130"/>
      <c r="BD58" s="130"/>
      <c r="BE58" s="132"/>
      <c r="BF58" s="130"/>
      <c r="BG58" s="130"/>
      <c r="BH58" s="130"/>
      <c r="BI58" s="131"/>
      <c r="BJ58" s="130"/>
      <c r="BK58" s="130"/>
      <c r="BL58" s="130"/>
      <c r="BM58" s="130"/>
      <c r="BN58" s="130"/>
      <c r="BO58" s="130"/>
      <c r="BP58" s="131"/>
      <c r="BQ58" s="130"/>
      <c r="BR58" s="130"/>
      <c r="BS58" s="130"/>
      <c r="BT58" s="130"/>
      <c r="BU58" s="130"/>
      <c r="BV58" s="131"/>
      <c r="BW58" s="130"/>
      <c r="BX58" s="130"/>
      <c r="BY58" s="130"/>
      <c r="BZ58" s="130"/>
      <c r="CA58" s="130"/>
      <c r="CB58" s="130"/>
      <c r="CC58" s="130"/>
      <c r="CD58" s="129"/>
      <c r="CE58" s="130"/>
      <c r="CF58" s="130"/>
      <c r="CG58" s="139"/>
      <c r="CH58" s="87"/>
      <c r="CI58" s="87"/>
    </row>
    <row r="59" spans="1:87" s="88" customFormat="1" ht="24.95" customHeight="1" thickTop="1" thickBot="1">
      <c r="A59" s="258">
        <v>140010117</v>
      </c>
      <c r="B59" s="89">
        <v>1</v>
      </c>
      <c r="C59" s="133" t="s">
        <v>0</v>
      </c>
      <c r="D59" s="85"/>
      <c r="E59" s="85"/>
      <c r="F59" s="93"/>
      <c r="G59" s="85"/>
      <c r="H59" s="85"/>
      <c r="I59" s="79">
        <v>10000</v>
      </c>
      <c r="J59" s="80">
        <v>10000</v>
      </c>
      <c r="K59" s="81">
        <v>10000</v>
      </c>
      <c r="L59" s="82">
        <v>0</v>
      </c>
      <c r="M59" s="83">
        <v>0</v>
      </c>
      <c r="N59" s="84">
        <v>0</v>
      </c>
      <c r="P59" s="124"/>
      <c r="Q59" s="125"/>
      <c r="R59" s="126"/>
      <c r="S59" s="127"/>
      <c r="T59" s="127"/>
      <c r="U59" s="127"/>
      <c r="V59" s="130"/>
      <c r="W59" s="129"/>
      <c r="X59" s="130"/>
      <c r="Y59" s="130"/>
      <c r="Z59" s="130"/>
      <c r="AA59" s="132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29"/>
      <c r="BA59" s="130"/>
      <c r="BB59" s="129"/>
      <c r="BC59" s="130"/>
      <c r="BD59" s="130"/>
      <c r="BE59" s="130"/>
      <c r="BF59" s="132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29"/>
      <c r="CF59" s="130"/>
      <c r="CG59" s="86"/>
      <c r="CH59" s="87"/>
      <c r="CI59" s="87"/>
    </row>
    <row r="60" spans="1:87" s="88" customFormat="1" ht="24.95" customHeight="1" thickTop="1" thickBot="1">
      <c r="A60" s="258">
        <v>140010255</v>
      </c>
      <c r="B60" s="89">
        <v>1</v>
      </c>
      <c r="C60" s="133" t="s">
        <v>0</v>
      </c>
      <c r="D60" s="85"/>
      <c r="E60" s="85"/>
      <c r="F60" s="93"/>
      <c r="G60" s="85"/>
      <c r="H60" s="85"/>
      <c r="I60" s="79">
        <v>500</v>
      </c>
      <c r="J60" s="80">
        <v>500</v>
      </c>
      <c r="K60" s="81">
        <v>500</v>
      </c>
      <c r="L60" s="82">
        <v>0</v>
      </c>
      <c r="M60" s="83">
        <v>0</v>
      </c>
      <c r="N60" s="84">
        <v>0</v>
      </c>
      <c r="P60" s="124"/>
      <c r="Q60" s="125"/>
      <c r="R60" s="126"/>
      <c r="S60" s="127"/>
      <c r="T60" s="127"/>
      <c r="U60" s="127"/>
      <c r="V60" s="130"/>
      <c r="W60" s="129"/>
      <c r="X60" s="130"/>
      <c r="Y60" s="130"/>
      <c r="Z60" s="130"/>
      <c r="AA60" s="132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29"/>
      <c r="BA60" s="130"/>
      <c r="BB60" s="129"/>
      <c r="BC60" s="130"/>
      <c r="BD60" s="130"/>
      <c r="BE60" s="130"/>
      <c r="BF60" s="132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  <c r="BV60" s="130"/>
      <c r="BW60" s="130"/>
      <c r="BX60" s="130"/>
      <c r="BY60" s="130"/>
      <c r="BZ60" s="130"/>
      <c r="CA60" s="130"/>
      <c r="CB60" s="130"/>
      <c r="CC60" s="130"/>
      <c r="CD60" s="130"/>
      <c r="CE60" s="129"/>
      <c r="CF60" s="130"/>
      <c r="CG60" s="86"/>
      <c r="CH60" s="87"/>
      <c r="CI60" s="87"/>
    </row>
    <row r="61" spans="1:87" s="88" customFormat="1" ht="24.95" customHeight="1" thickTop="1" thickBot="1">
      <c r="A61" s="258">
        <v>140010230</v>
      </c>
      <c r="B61" s="89">
        <v>1</v>
      </c>
      <c r="C61" s="133" t="s">
        <v>0</v>
      </c>
      <c r="D61" s="85"/>
      <c r="E61" s="85"/>
      <c r="F61" s="93"/>
      <c r="G61" s="85"/>
      <c r="H61" s="85"/>
      <c r="I61" s="79">
        <v>5000</v>
      </c>
      <c r="J61" s="80">
        <v>5000</v>
      </c>
      <c r="K61" s="81">
        <v>5000</v>
      </c>
      <c r="L61" s="82">
        <v>0</v>
      </c>
      <c r="M61" s="83">
        <v>0</v>
      </c>
      <c r="N61" s="84">
        <v>0</v>
      </c>
      <c r="P61" s="124"/>
      <c r="Q61" s="125"/>
      <c r="R61" s="126"/>
      <c r="S61" s="127"/>
      <c r="T61" s="127"/>
      <c r="U61" s="127"/>
      <c r="V61" s="130"/>
      <c r="W61" s="129"/>
      <c r="X61" s="130"/>
      <c r="Y61" s="130"/>
      <c r="Z61" s="130"/>
      <c r="AA61" s="132"/>
      <c r="AB61" s="131"/>
      <c r="AC61" s="130"/>
      <c r="AD61" s="130"/>
      <c r="AE61" s="130"/>
      <c r="AF61" s="130"/>
      <c r="AG61" s="131"/>
      <c r="AH61" s="130"/>
      <c r="AI61" s="130"/>
      <c r="AJ61" s="130"/>
      <c r="AK61" s="130"/>
      <c r="AL61" s="130"/>
      <c r="AM61" s="131"/>
      <c r="AN61" s="130"/>
      <c r="AO61" s="130"/>
      <c r="AP61" s="130"/>
      <c r="AQ61" s="131"/>
      <c r="AR61" s="130"/>
      <c r="AS61" s="130"/>
      <c r="AT61" s="130"/>
      <c r="AU61" s="130"/>
      <c r="AV61" s="130"/>
      <c r="AW61" s="130"/>
      <c r="AX61" s="130"/>
      <c r="AY61" s="130"/>
      <c r="AZ61" s="129"/>
      <c r="BA61" s="130"/>
      <c r="BB61" s="129"/>
      <c r="BC61" s="130"/>
      <c r="BD61" s="130"/>
      <c r="BE61" s="130"/>
      <c r="BF61" s="132"/>
      <c r="BG61" s="131"/>
      <c r="BH61" s="130"/>
      <c r="BI61" s="130"/>
      <c r="BJ61" s="130"/>
      <c r="BK61" s="130"/>
      <c r="BL61" s="131"/>
      <c r="BM61" s="130"/>
      <c r="BN61" s="130"/>
      <c r="BO61" s="130"/>
      <c r="BP61" s="130"/>
      <c r="BQ61" s="130"/>
      <c r="BR61" s="131"/>
      <c r="BS61" s="130"/>
      <c r="BT61" s="130"/>
      <c r="BU61" s="130"/>
      <c r="BV61" s="131"/>
      <c r="BW61" s="130"/>
      <c r="BX61" s="130"/>
      <c r="BY61" s="130"/>
      <c r="BZ61" s="130"/>
      <c r="CA61" s="130"/>
      <c r="CB61" s="130"/>
      <c r="CC61" s="130"/>
      <c r="CD61" s="130"/>
      <c r="CE61" s="129"/>
      <c r="CF61" s="130"/>
      <c r="CG61" s="86"/>
      <c r="CH61" s="87"/>
      <c r="CI61" s="87"/>
    </row>
    <row r="62" spans="1:87" ht="24.95" customHeight="1" thickTop="1" thickBot="1">
      <c r="A62" s="256">
        <v>140030040</v>
      </c>
      <c r="B62" s="89">
        <v>1</v>
      </c>
      <c r="C62" s="133" t="s">
        <v>1037</v>
      </c>
      <c r="D62" s="85"/>
      <c r="E62" s="85"/>
      <c r="F62" s="93"/>
      <c r="G62" s="85"/>
      <c r="H62" s="85"/>
      <c r="I62" s="79">
        <v>4700</v>
      </c>
      <c r="J62" s="80">
        <v>4700</v>
      </c>
      <c r="K62" s="81">
        <v>4972</v>
      </c>
      <c r="L62" s="82">
        <v>272</v>
      </c>
      <c r="M62" s="83">
        <v>272</v>
      </c>
      <c r="N62" s="84">
        <v>-272</v>
      </c>
      <c r="O62" s="53"/>
      <c r="P62" s="91"/>
      <c r="Q62" s="53"/>
      <c r="R62" s="49"/>
      <c r="S62" s="37"/>
      <c r="T62" s="37"/>
      <c r="U62" s="37"/>
      <c r="V62" s="39"/>
      <c r="W62" s="38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8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</row>
    <row r="63" spans="1:87" ht="24.95" customHeight="1" thickTop="1" thickBot="1">
      <c r="A63" s="254"/>
      <c r="B63" s="253"/>
      <c r="C63" s="134"/>
      <c r="D63" s="99"/>
      <c r="E63" s="99"/>
      <c r="F63" s="92"/>
      <c r="G63" s="99"/>
      <c r="H63" s="99"/>
      <c r="I63" s="46"/>
      <c r="J63" s="36"/>
      <c r="K63" s="50"/>
      <c r="L63" s="47"/>
      <c r="M63" s="53"/>
      <c r="N63" s="53"/>
    </row>
    <row r="64" spans="1:87" ht="24.95" customHeight="1" thickTop="1">
      <c r="I64" s="78"/>
    </row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12</xdr:row>
                    <xdr:rowOff>38100</xdr:rowOff>
                  </from>
                  <to>
                    <xdr:col>9</xdr:col>
                    <xdr:colOff>38100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P59:P61 O39:O41 P40:P41 O43:O58 P11:P38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0" activePane="bottomLeft" state="frozen"/>
      <selection pane="bottomLeft" activeCell="L151" sqref="L151"/>
    </sheetView>
  </sheetViews>
  <sheetFormatPr defaultColWidth="6.7109375" defaultRowHeight="15" customHeight="1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5.7109375" style="4" customWidth="1"/>
    <col min="10" max="10" width="94" style="4" bestFit="1" customWidth="1"/>
    <col min="11" max="14" width="5.7109375" style="4" customWidth="1"/>
    <col min="15" max="16" width="3.7109375" style="4" customWidth="1"/>
    <col min="17" max="18" width="8.7109375" style="4" customWidth="1"/>
    <col min="19" max="19" width="6.7109375" style="2"/>
    <col min="20" max="20" width="9.85546875" style="2" bestFit="1" customWidth="1"/>
    <col min="21" max="21" width="9.85546875" style="121" customWidth="1"/>
    <col min="22" max="22" width="10.85546875" style="121" customWidth="1"/>
    <col min="23" max="23" width="6.7109375" style="121"/>
    <col min="24" max="16384" width="6.7109375" style="2"/>
  </cols>
  <sheetData>
    <row r="1" spans="1:26" s="5" customFormat="1" ht="50.1" customHeight="1">
      <c r="A1" s="6" t="s">
        <v>110</v>
      </c>
      <c r="B1" s="63" t="s">
        <v>177</v>
      </c>
      <c r="C1" s="64" t="s">
        <v>244</v>
      </c>
      <c r="D1" s="64" t="s">
        <v>1065</v>
      </c>
      <c r="E1" s="64" t="s">
        <v>245</v>
      </c>
      <c r="F1" s="64" t="s">
        <v>1070</v>
      </c>
      <c r="G1" s="76" t="s">
        <v>1069</v>
      </c>
      <c r="H1" s="152" t="s">
        <v>1047</v>
      </c>
      <c r="I1" s="153" t="s">
        <v>1044</v>
      </c>
      <c r="J1" s="65" t="s">
        <v>250</v>
      </c>
      <c r="K1" s="66" t="s">
        <v>1021</v>
      </c>
      <c r="L1" s="66" t="s">
        <v>1022</v>
      </c>
      <c r="M1" s="66" t="s">
        <v>1023</v>
      </c>
      <c r="N1" s="66" t="s">
        <v>1026</v>
      </c>
      <c r="O1" s="77" t="s">
        <v>1053</v>
      </c>
      <c r="P1" s="76" t="s">
        <v>1054</v>
      </c>
      <c r="Q1" s="228" t="s">
        <v>1072</v>
      </c>
      <c r="R1" s="228" t="s">
        <v>1183</v>
      </c>
      <c r="S1" s="54"/>
      <c r="T1" s="55"/>
      <c r="U1" s="118"/>
      <c r="V1" s="119"/>
      <c r="W1" s="120"/>
      <c r="Y1" s="75"/>
      <c r="Z1" s="74"/>
    </row>
    <row r="2" spans="1:26" ht="16.5">
      <c r="A2" s="7" t="s">
        <v>242</v>
      </c>
      <c r="B2" s="67" t="s">
        <v>121</v>
      </c>
      <c r="C2" s="68">
        <f>SUMIF(cutts[date],A2,cutts[num])</f>
        <v>0</v>
      </c>
      <c r="D2" s="68"/>
      <c r="E2" s="69">
        <f>SUMIF(packes[date],A2,packes[num])</f>
        <v>0</v>
      </c>
      <c r="F2" s="69">
        <f>SUMIF(packes[date],A2,packes[wPacked])</f>
        <v>0</v>
      </c>
      <c r="G2" s="69"/>
      <c r="H2" s="69">
        <f>reportTbl[[#This Row],[personels]]-reportTbl[[#This Row],[personels]]*2.5/22-0.5</f>
        <v>-0.5</v>
      </c>
      <c r="I2" s="70">
        <f>(reportTbl[[#This Row],[وزن تولید]]*unityCycleTime-reportTbl[[#This Row],[received TimeOut]])/(reportTbl[[#This Row],[available time]]*reportTbl[[#This Row],[تعداد نیرو]])</f>
        <v>0</v>
      </c>
      <c r="J2" s="71" t="s">
        <v>1028</v>
      </c>
      <c r="K2" s="73"/>
      <c r="L2" s="73"/>
      <c r="M2" s="73"/>
      <c r="N2" s="73"/>
      <c r="O2" s="73">
        <v>0</v>
      </c>
      <c r="P2" s="72" t="s">
        <v>1011</v>
      </c>
      <c r="Q2" s="68">
        <f>_xlfn.XLOOKUP(reportTbl[[#This Row],[date]],IIITbl[date],IIITbl[totalCT],0)</f>
        <v>0</v>
      </c>
      <c r="R2" s="68">
        <v>30000</v>
      </c>
      <c r="S2" s="13"/>
      <c r="W2" s="122"/>
    </row>
    <row r="3" spans="1:26" ht="16.5">
      <c r="A3" s="7" t="s">
        <v>672</v>
      </c>
      <c r="B3" s="67" t="s">
        <v>115</v>
      </c>
      <c r="C3" s="68">
        <f>SUMIF(cutts[date],A3,cutts[num])</f>
        <v>0</v>
      </c>
      <c r="D3" s="68"/>
      <c r="E3" s="69">
        <f>SUMIF(packes[date],A3,packes[num])</f>
        <v>0</v>
      </c>
      <c r="F3" s="69">
        <f>SUMIF(packes[date],A3,packes[wPacked])</f>
        <v>0</v>
      </c>
      <c r="G3" s="69"/>
      <c r="H3" s="69">
        <f>reportTbl[[#This Row],[personels]]-reportTbl[[#This Row],[personels]]*2.5/22-0.5</f>
        <v>-0.5</v>
      </c>
      <c r="I3" s="70">
        <f>(reportTbl[[#This Row],[وزن تولید]]*unityCycleTime-reportTbl[[#This Row],[received TimeOut]])/(reportTbl[[#This Row],[available time]]*reportTbl[[#This Row],[تعداد نیرو]])</f>
        <v>0</v>
      </c>
      <c r="J3" s="71" t="s">
        <v>1028</v>
      </c>
      <c r="K3" s="73"/>
      <c r="L3" s="73"/>
      <c r="M3" s="73"/>
      <c r="N3" s="73"/>
      <c r="O3" s="73">
        <v>0</v>
      </c>
      <c r="P3" s="72" t="s">
        <v>1011</v>
      </c>
      <c r="Q3" s="68">
        <f>_xlfn.XLOOKUP(reportTbl[[#This Row],[date]],IIITbl[date],IIITbl[totalCT],0)</f>
        <v>0</v>
      </c>
      <c r="R3" s="68">
        <v>30000</v>
      </c>
      <c r="S3" s="13"/>
      <c r="W3" s="122"/>
    </row>
    <row r="4" spans="1:26" ht="16.5">
      <c r="A4" s="7" t="s">
        <v>673</v>
      </c>
      <c r="B4" s="67" t="s">
        <v>116</v>
      </c>
      <c r="C4" s="68">
        <f>SUMIF(cutts[date],A4,cutts[num])</f>
        <v>0</v>
      </c>
      <c r="D4" s="68"/>
      <c r="E4" s="69">
        <f>SUMIF(packes[date],A4,packes[num])</f>
        <v>0</v>
      </c>
      <c r="F4" s="69">
        <f>SUMIF(packes[date],A4,packes[wPacked])</f>
        <v>0</v>
      </c>
      <c r="G4" s="69"/>
      <c r="H4" s="69">
        <f>reportTbl[[#This Row],[personels]]-reportTbl[[#This Row],[personels]]*2.5/22-0.5</f>
        <v>-0.5</v>
      </c>
      <c r="I4" s="70">
        <f>(reportTbl[[#This Row],[وزن تولید]]*unityCycleTime-reportTbl[[#This Row],[received TimeOut]])/(reportTbl[[#This Row],[available time]]*reportTbl[[#This Row],[تعداد نیرو]])</f>
        <v>0</v>
      </c>
      <c r="J4" s="71" t="s">
        <v>1028</v>
      </c>
      <c r="K4" s="73"/>
      <c r="L4" s="73"/>
      <c r="M4" s="73"/>
      <c r="N4" s="73"/>
      <c r="O4" s="73">
        <v>0</v>
      </c>
      <c r="P4" s="72" t="s">
        <v>1011</v>
      </c>
      <c r="Q4" s="68">
        <f>_xlfn.XLOOKUP(reportTbl[[#This Row],[date]],IIITbl[date],IIITbl[totalCT],0)</f>
        <v>0</v>
      </c>
      <c r="R4" s="68">
        <v>30000</v>
      </c>
      <c r="S4" s="13"/>
      <c r="W4" s="122"/>
    </row>
    <row r="5" spans="1:26" ht="16.5">
      <c r="A5" s="7" t="s">
        <v>674</v>
      </c>
      <c r="B5" s="67" t="s">
        <v>117</v>
      </c>
      <c r="C5" s="68">
        <f>SUMIF(cutts[date],A5,cutts[num])</f>
        <v>0</v>
      </c>
      <c r="D5" s="68"/>
      <c r="E5" s="69">
        <f>SUMIF(packes[date],A5,packes[num])</f>
        <v>0</v>
      </c>
      <c r="F5" s="69">
        <f>SUMIF(packes[date],A5,packes[wPacked])</f>
        <v>0</v>
      </c>
      <c r="G5" s="69"/>
      <c r="H5" s="69">
        <f>reportTbl[[#This Row],[personels]]-reportTbl[[#This Row],[personels]]*2.5/22-0.5</f>
        <v>-0.5</v>
      </c>
      <c r="I5" s="70">
        <f>(reportTbl[[#This Row],[وزن تولید]]*unityCycleTime-reportTbl[[#This Row],[received TimeOut]])/(reportTbl[[#This Row],[available time]]*reportTbl[[#This Row],[تعداد نیرو]])</f>
        <v>0</v>
      </c>
      <c r="J5" s="71" t="s">
        <v>1028</v>
      </c>
      <c r="K5" s="73"/>
      <c r="L5" s="73"/>
      <c r="M5" s="73"/>
      <c r="N5" s="73"/>
      <c r="O5" s="73">
        <v>0</v>
      </c>
      <c r="P5" s="72" t="s">
        <v>1011</v>
      </c>
      <c r="Q5" s="68">
        <f>_xlfn.XLOOKUP(reportTbl[[#This Row],[date]],IIITbl[date],IIITbl[totalCT],0)</f>
        <v>0</v>
      </c>
      <c r="R5" s="68">
        <v>30000</v>
      </c>
      <c r="S5" s="13"/>
      <c r="W5" s="122"/>
    </row>
    <row r="6" spans="1:26" ht="16.5">
      <c r="A6" s="7" t="s">
        <v>675</v>
      </c>
      <c r="B6" s="67" t="s">
        <v>118</v>
      </c>
      <c r="C6" s="68">
        <f>SUMIF(cutts[date],A6,cutts[num])</f>
        <v>0</v>
      </c>
      <c r="D6" s="68"/>
      <c r="E6" s="69">
        <f>SUMIF(packes[date],A6,packes[num])</f>
        <v>0</v>
      </c>
      <c r="F6" s="69">
        <f>SUMIF(packes[date],A6,packes[wPacked])</f>
        <v>0</v>
      </c>
      <c r="G6" s="69"/>
      <c r="H6" s="69">
        <f>reportTbl[[#This Row],[personels]]-reportTbl[[#This Row],[personels]]*2.5/22-0.5</f>
        <v>-0.5</v>
      </c>
      <c r="I6" s="70">
        <f>(reportTbl[[#This Row],[وزن تولید]]*unityCycleTime-reportTbl[[#This Row],[received TimeOut]])/(reportTbl[[#This Row],[available time]]*reportTbl[[#This Row],[تعداد نیرو]])</f>
        <v>0</v>
      </c>
      <c r="J6" s="71" t="s">
        <v>1028</v>
      </c>
      <c r="K6" s="73"/>
      <c r="L6" s="73"/>
      <c r="M6" s="73"/>
      <c r="N6" s="73"/>
      <c r="O6" s="73">
        <v>0</v>
      </c>
      <c r="P6" s="72" t="s">
        <v>1011</v>
      </c>
      <c r="Q6" s="68">
        <f>_xlfn.XLOOKUP(reportTbl[[#This Row],[date]],IIITbl[date],IIITbl[totalCT],0)</f>
        <v>0</v>
      </c>
      <c r="R6" s="68">
        <v>30000</v>
      </c>
      <c r="S6" s="13"/>
      <c r="W6" s="122"/>
    </row>
    <row r="7" spans="1:26" ht="16.5">
      <c r="A7" s="7" t="s">
        <v>676</v>
      </c>
      <c r="B7" s="67" t="s">
        <v>119</v>
      </c>
      <c r="C7" s="68">
        <f>SUMIF(cutts[date],A7,cutts[num])</f>
        <v>0</v>
      </c>
      <c r="D7" s="68"/>
      <c r="E7" s="69">
        <f>SUMIF(packes[date],A7,packes[num])</f>
        <v>0</v>
      </c>
      <c r="F7" s="69">
        <f>SUMIF(packes[date],A7,packes[wPacked])</f>
        <v>0</v>
      </c>
      <c r="G7" s="69"/>
      <c r="H7" s="69">
        <f>reportTbl[[#This Row],[personels]]-reportTbl[[#This Row],[personels]]*2.5/22-0.5</f>
        <v>-0.5</v>
      </c>
      <c r="I7" s="70">
        <f>(reportTbl[[#This Row],[وزن تولید]]*unityCycleTime-reportTbl[[#This Row],[received TimeOut]])/(reportTbl[[#This Row],[available time]]*reportTbl[[#This Row],[تعداد نیرو]])</f>
        <v>0</v>
      </c>
      <c r="J7" s="71" t="s">
        <v>1028</v>
      </c>
      <c r="K7" s="73"/>
      <c r="L7" s="73"/>
      <c r="M7" s="73"/>
      <c r="N7" s="73"/>
      <c r="O7" s="73">
        <v>0</v>
      </c>
      <c r="P7" s="72" t="s">
        <v>1011</v>
      </c>
      <c r="Q7" s="68">
        <f>_xlfn.XLOOKUP(reportTbl[[#This Row],[date]],IIITbl[date],IIITbl[totalCT],0)</f>
        <v>0</v>
      </c>
      <c r="R7" s="68">
        <v>30000</v>
      </c>
      <c r="S7" s="13"/>
      <c r="W7" s="122"/>
    </row>
    <row r="8" spans="1:26" ht="16.5">
      <c r="A8" s="7" t="s">
        <v>677</v>
      </c>
      <c r="B8" s="67" t="s">
        <v>120</v>
      </c>
      <c r="C8" s="68">
        <f>SUMIF(cutts[date],A8,cutts[num])</f>
        <v>0</v>
      </c>
      <c r="D8" s="68"/>
      <c r="E8" s="69">
        <f>SUMIF(packes[date],A8,packes[num])</f>
        <v>0</v>
      </c>
      <c r="F8" s="69">
        <f>SUMIF(packes[date],A8,packes[wPacked])</f>
        <v>0</v>
      </c>
      <c r="G8" s="69"/>
      <c r="H8" s="69">
        <f>reportTbl[[#This Row],[personels]]-reportTbl[[#This Row],[personels]]*2.5/22-0.5</f>
        <v>-0.5</v>
      </c>
      <c r="I8" s="70">
        <f>(reportTbl[[#This Row],[وزن تولید]]*unityCycleTime-reportTbl[[#This Row],[received TimeOut]])/(reportTbl[[#This Row],[available time]]*reportTbl[[#This Row],[تعداد نیرو]])</f>
        <v>0</v>
      </c>
      <c r="J8" s="71"/>
      <c r="K8" s="73"/>
      <c r="L8" s="73"/>
      <c r="M8" s="73"/>
      <c r="N8" s="73"/>
      <c r="O8" s="73">
        <v>0</v>
      </c>
      <c r="P8" s="72" t="s">
        <v>1011</v>
      </c>
      <c r="Q8" s="68">
        <f>_xlfn.XLOOKUP(reportTbl[[#This Row],[date]],IIITbl[date],IIITbl[totalCT],0)</f>
        <v>0</v>
      </c>
      <c r="R8" s="68">
        <v>30000</v>
      </c>
      <c r="S8" s="13"/>
      <c r="W8" s="122"/>
    </row>
    <row r="9" spans="1:26" ht="16.5">
      <c r="A9" s="7" t="s">
        <v>678</v>
      </c>
      <c r="B9" s="67" t="s">
        <v>121</v>
      </c>
      <c r="C9" s="68">
        <f>SUMIF(cutts[date],A9,cutts[num])</f>
        <v>0</v>
      </c>
      <c r="D9" s="68"/>
      <c r="E9" s="69">
        <f>SUMIF(packes[date],A9,packes[num])</f>
        <v>0</v>
      </c>
      <c r="F9" s="69">
        <f>SUMIF(packes[date],A9,packes[wPacked])</f>
        <v>0</v>
      </c>
      <c r="G9" s="69"/>
      <c r="H9" s="69">
        <f>reportTbl[[#This Row],[personels]]-reportTbl[[#This Row],[personels]]*2.5/22-0.5</f>
        <v>-0.5</v>
      </c>
      <c r="I9" s="70">
        <f>(reportTbl[[#This Row],[وزن تولید]]*unityCycleTime-reportTbl[[#This Row],[received TimeOut]])/(reportTbl[[#This Row],[available time]]*reportTbl[[#This Row],[تعداد نیرو]])</f>
        <v>0</v>
      </c>
      <c r="J9" s="71"/>
      <c r="K9" s="73"/>
      <c r="L9" s="73"/>
      <c r="M9" s="73"/>
      <c r="N9" s="73"/>
      <c r="O9" s="73">
        <v>0</v>
      </c>
      <c r="P9" s="72" t="s">
        <v>1011</v>
      </c>
      <c r="Q9" s="68">
        <f>_xlfn.XLOOKUP(reportTbl[[#This Row],[date]],IIITbl[date],IIITbl[totalCT],0)</f>
        <v>0</v>
      </c>
      <c r="R9" s="68">
        <v>30000</v>
      </c>
      <c r="S9" s="13"/>
      <c r="W9" s="122"/>
    </row>
    <row r="10" spans="1:26" ht="16.5">
      <c r="A10" s="7" t="s">
        <v>679</v>
      </c>
      <c r="B10" s="67" t="s">
        <v>115</v>
      </c>
      <c r="C10" s="68">
        <f>SUMIF(cutts[date],A10,cutts[num])</f>
        <v>0</v>
      </c>
      <c r="D10" s="68"/>
      <c r="E10" s="69">
        <f>SUMIF(packes[date],A10,packes[num])</f>
        <v>0</v>
      </c>
      <c r="F10" s="69">
        <f>SUMIF(packes[date],A10,packes[wPacked])</f>
        <v>0</v>
      </c>
      <c r="G10" s="69"/>
      <c r="H10" s="69">
        <f>reportTbl[[#This Row],[personels]]-reportTbl[[#This Row],[personels]]*2.5/22-0.5</f>
        <v>-0.5</v>
      </c>
      <c r="I10" s="70">
        <f>(reportTbl[[#This Row],[وزن تولید]]*unityCycleTime-reportTbl[[#This Row],[received TimeOut]])/(reportTbl[[#This Row],[available time]]*reportTbl[[#This Row],[تعداد نیرو]])</f>
        <v>0</v>
      </c>
      <c r="J10" s="71" t="s">
        <v>1028</v>
      </c>
      <c r="K10" s="73"/>
      <c r="L10" s="73"/>
      <c r="M10" s="73"/>
      <c r="N10" s="73"/>
      <c r="O10" s="73">
        <v>0</v>
      </c>
      <c r="P10" s="72" t="s">
        <v>1011</v>
      </c>
      <c r="Q10" s="68">
        <f>_xlfn.XLOOKUP(reportTbl[[#This Row],[date]],IIITbl[date],IIITbl[totalCT],0)</f>
        <v>0</v>
      </c>
      <c r="R10" s="68">
        <v>30000</v>
      </c>
      <c r="S10" s="13"/>
      <c r="W10" s="122"/>
    </row>
    <row r="11" spans="1:26" ht="16.5">
      <c r="A11" s="7" t="s">
        <v>680</v>
      </c>
      <c r="B11" s="67" t="s">
        <v>116</v>
      </c>
      <c r="C11" s="68">
        <f>SUMIF(cutts[date],A11,cutts[num])</f>
        <v>0</v>
      </c>
      <c r="D11" s="68"/>
      <c r="E11" s="69">
        <f>SUMIF(packes[date],A11,packes[num])</f>
        <v>0</v>
      </c>
      <c r="F11" s="69">
        <f>SUMIF(packes[date],A11,packes[wPacked])</f>
        <v>0</v>
      </c>
      <c r="G11" s="69"/>
      <c r="H11" s="69">
        <f>reportTbl[[#This Row],[personels]]-reportTbl[[#This Row],[personels]]*2.5/22-0.5</f>
        <v>-0.5</v>
      </c>
      <c r="I11" s="70">
        <f>(reportTbl[[#This Row],[وزن تولید]]*unityCycleTime-reportTbl[[#This Row],[received TimeOut]])/(reportTbl[[#This Row],[available time]]*reportTbl[[#This Row],[تعداد نیرو]])</f>
        <v>0</v>
      </c>
      <c r="J11" s="71" t="s">
        <v>1028</v>
      </c>
      <c r="K11" s="73"/>
      <c r="L11" s="73"/>
      <c r="M11" s="73"/>
      <c r="N11" s="73"/>
      <c r="O11" s="73">
        <v>0</v>
      </c>
      <c r="P11" s="72" t="s">
        <v>1011</v>
      </c>
      <c r="Q11" s="68">
        <f>_xlfn.XLOOKUP(reportTbl[[#This Row],[date]],IIITbl[date],IIITbl[totalCT],0)</f>
        <v>0</v>
      </c>
      <c r="R11" s="68">
        <v>30000</v>
      </c>
      <c r="S11" s="13"/>
      <c r="W11" s="122"/>
    </row>
    <row r="12" spans="1:26" ht="16.5">
      <c r="A12" s="7" t="s">
        <v>681</v>
      </c>
      <c r="B12" s="67" t="s">
        <v>117</v>
      </c>
      <c r="C12" s="68">
        <f>SUMIF(cutts[date],A12,cutts[num])</f>
        <v>0</v>
      </c>
      <c r="D12" s="68"/>
      <c r="E12" s="69">
        <f>SUMIF(packes[date],A12,packes[num])</f>
        <v>0</v>
      </c>
      <c r="F12" s="69">
        <f>SUMIF(packes[date],A12,packes[wPacked])</f>
        <v>0</v>
      </c>
      <c r="G12" s="69"/>
      <c r="H12" s="69">
        <f>reportTbl[[#This Row],[personels]]-reportTbl[[#This Row],[personels]]*2.5/22-0.5</f>
        <v>-0.5</v>
      </c>
      <c r="I12" s="70">
        <f>(reportTbl[[#This Row],[وزن تولید]]*unityCycleTime-reportTbl[[#This Row],[received TimeOut]])/(reportTbl[[#This Row],[available time]]*reportTbl[[#This Row],[تعداد نیرو]])</f>
        <v>0</v>
      </c>
      <c r="J12" s="71" t="s">
        <v>1028</v>
      </c>
      <c r="K12" s="73"/>
      <c r="L12" s="73"/>
      <c r="M12" s="73"/>
      <c r="N12" s="73"/>
      <c r="O12" s="73">
        <v>0</v>
      </c>
      <c r="P12" s="72" t="s">
        <v>1011</v>
      </c>
      <c r="Q12" s="68">
        <f>_xlfn.XLOOKUP(reportTbl[[#This Row],[date]],IIITbl[date],IIITbl[totalCT],0)</f>
        <v>0</v>
      </c>
      <c r="R12" s="68">
        <v>30000</v>
      </c>
      <c r="S12" s="13"/>
      <c r="W12" s="122"/>
    </row>
    <row r="13" spans="1:26" ht="16.5">
      <c r="A13" s="7" t="s">
        <v>682</v>
      </c>
      <c r="B13" s="67" t="s">
        <v>118</v>
      </c>
      <c r="C13" s="68">
        <f>SUMIF(cutts[date],A13,cutts[num])</f>
        <v>0</v>
      </c>
      <c r="D13" s="68"/>
      <c r="E13" s="69">
        <f>SUMIF(packes[date],A13,packes[num])</f>
        <v>0</v>
      </c>
      <c r="F13" s="69">
        <f>SUMIF(packes[date],A13,packes[wPacked])</f>
        <v>0</v>
      </c>
      <c r="G13" s="69"/>
      <c r="H13" s="69">
        <f>reportTbl[[#This Row],[personels]]-reportTbl[[#This Row],[personels]]*2.5/22-0.5</f>
        <v>-0.5</v>
      </c>
      <c r="I13" s="70">
        <f>(reportTbl[[#This Row],[وزن تولید]]*unityCycleTime-reportTbl[[#This Row],[received TimeOut]])/(reportTbl[[#This Row],[available time]]*reportTbl[[#This Row],[تعداد نیرو]])</f>
        <v>0</v>
      </c>
      <c r="J13" s="71" t="s">
        <v>1028</v>
      </c>
      <c r="K13" s="73"/>
      <c r="L13" s="73"/>
      <c r="M13" s="73"/>
      <c r="N13" s="73"/>
      <c r="O13" s="73">
        <v>0</v>
      </c>
      <c r="P13" s="72" t="s">
        <v>1011</v>
      </c>
      <c r="Q13" s="68">
        <f>_xlfn.XLOOKUP(reportTbl[[#This Row],[date]],IIITbl[date],IIITbl[totalCT],0)</f>
        <v>0</v>
      </c>
      <c r="R13" s="68">
        <v>30000</v>
      </c>
      <c r="S13" s="13"/>
      <c r="W13" s="122"/>
    </row>
    <row r="14" spans="1:26" ht="16.5">
      <c r="A14" s="7" t="s">
        <v>683</v>
      </c>
      <c r="B14" s="67" t="s">
        <v>119</v>
      </c>
      <c r="C14" s="68">
        <f>SUMIF(cutts[date],A14,cutts[num])</f>
        <v>0</v>
      </c>
      <c r="D14" s="68"/>
      <c r="E14" s="69">
        <f>SUMIF(packes[date],A14,packes[num])</f>
        <v>0</v>
      </c>
      <c r="F14" s="69">
        <f>SUMIF(packes[date],A14,packes[wPacked])</f>
        <v>0</v>
      </c>
      <c r="G14" s="69"/>
      <c r="H14" s="69">
        <f>reportTbl[[#This Row],[personels]]-reportTbl[[#This Row],[personels]]*2.5/22-0.5</f>
        <v>-0.5</v>
      </c>
      <c r="I14" s="70">
        <f>(reportTbl[[#This Row],[وزن تولید]]*unityCycleTime-reportTbl[[#This Row],[received TimeOut]])/(reportTbl[[#This Row],[available time]]*reportTbl[[#This Row],[تعداد نیرو]])</f>
        <v>0</v>
      </c>
      <c r="J14" s="71" t="s">
        <v>1028</v>
      </c>
      <c r="K14" s="73"/>
      <c r="L14" s="73"/>
      <c r="M14" s="73"/>
      <c r="N14" s="73"/>
      <c r="O14" s="73">
        <v>0</v>
      </c>
      <c r="P14" s="72" t="s">
        <v>1011</v>
      </c>
      <c r="Q14" s="68">
        <f>_xlfn.XLOOKUP(reportTbl[[#This Row],[date]],IIITbl[date],IIITbl[totalCT],0)</f>
        <v>0</v>
      </c>
      <c r="R14" s="68">
        <v>30000</v>
      </c>
      <c r="S14" s="13"/>
      <c r="W14" s="122"/>
    </row>
    <row r="15" spans="1:26" ht="16.5">
      <c r="A15" s="7" t="s">
        <v>684</v>
      </c>
      <c r="B15" s="67" t="s">
        <v>120</v>
      </c>
      <c r="C15" s="68">
        <f>SUMIF(cutts[date],A15,cutts[num])</f>
        <v>0</v>
      </c>
      <c r="D15" s="68"/>
      <c r="E15" s="69">
        <f>SUMIF(packes[date],A15,packes[num])</f>
        <v>0</v>
      </c>
      <c r="F15" s="69">
        <f>SUMIF(packes[date],A15,packes[wPacked])</f>
        <v>0</v>
      </c>
      <c r="G15" s="69"/>
      <c r="H15" s="69">
        <f>reportTbl[[#This Row],[personels]]-reportTbl[[#This Row],[personels]]*2.5/22-0.5</f>
        <v>-0.5</v>
      </c>
      <c r="I15" s="70">
        <f>(reportTbl[[#This Row],[وزن تولید]]*unityCycleTime-reportTbl[[#This Row],[received TimeOut]])/(reportTbl[[#This Row],[available time]]*reportTbl[[#This Row],[تعداد نیرو]])</f>
        <v>0</v>
      </c>
      <c r="J15" s="71"/>
      <c r="K15" s="73"/>
      <c r="L15" s="73"/>
      <c r="M15" s="73"/>
      <c r="N15" s="73"/>
      <c r="O15" s="73">
        <v>0</v>
      </c>
      <c r="P15" s="72" t="s">
        <v>1011</v>
      </c>
      <c r="Q15" s="68">
        <f>_xlfn.XLOOKUP(reportTbl[[#This Row],[date]],IIITbl[date],IIITbl[totalCT],0)</f>
        <v>0</v>
      </c>
      <c r="R15" s="68">
        <v>30000</v>
      </c>
      <c r="S15" s="13"/>
      <c r="W15" s="122"/>
    </row>
    <row r="16" spans="1:26" ht="16.5">
      <c r="A16" s="7" t="s">
        <v>685</v>
      </c>
      <c r="B16" s="67" t="s">
        <v>121</v>
      </c>
      <c r="C16" s="68">
        <f>SUMIF(cutts[date],A16,cutts[num])</f>
        <v>0</v>
      </c>
      <c r="D16" s="68"/>
      <c r="E16" s="69">
        <f>SUMIF(packes[date],A16,packes[num])</f>
        <v>0</v>
      </c>
      <c r="F16" s="69">
        <f>SUMIF(packes[date],A16,packes[wPacked])</f>
        <v>0</v>
      </c>
      <c r="G16" s="69"/>
      <c r="H16" s="69">
        <f>reportTbl[[#This Row],[personels]]-reportTbl[[#This Row],[personels]]*2.5/22-0.5</f>
        <v>-0.5</v>
      </c>
      <c r="I16" s="70">
        <f>(reportTbl[[#This Row],[وزن تولید]]*unityCycleTime-reportTbl[[#This Row],[received TimeOut]])/(reportTbl[[#This Row],[available time]]*reportTbl[[#This Row],[تعداد نیرو]])</f>
        <v>0</v>
      </c>
      <c r="J16" s="71"/>
      <c r="K16" s="73"/>
      <c r="L16" s="73"/>
      <c r="M16" s="73"/>
      <c r="N16" s="73"/>
      <c r="O16" s="73">
        <v>0</v>
      </c>
      <c r="P16" s="72" t="s">
        <v>1011</v>
      </c>
      <c r="Q16" s="68">
        <f>_xlfn.XLOOKUP(reportTbl[[#This Row],[date]],IIITbl[date],IIITbl[totalCT],0)</f>
        <v>0</v>
      </c>
      <c r="R16" s="68">
        <v>30000</v>
      </c>
      <c r="S16" s="13"/>
      <c r="W16" s="122"/>
    </row>
    <row r="17" spans="1:23" ht="16.5">
      <c r="A17" s="7" t="s">
        <v>230</v>
      </c>
      <c r="B17" s="67" t="s">
        <v>115</v>
      </c>
      <c r="C17" s="68">
        <f>SUMIF(cutts[date],A17,cutts[num])</f>
        <v>4700</v>
      </c>
      <c r="D17" s="68"/>
      <c r="E17" s="69">
        <f>SUMIF(packes[date],A17,packes[num])</f>
        <v>0</v>
      </c>
      <c r="F17" s="69">
        <f>SUMIF(packes[date],A17,packes[wPacked])</f>
        <v>0</v>
      </c>
      <c r="G17" s="69">
        <v>50</v>
      </c>
      <c r="H17" s="69">
        <f>reportTbl[[#This Row],[personels]]-reportTbl[[#This Row],[personels]]*2.5/22-0.5</f>
        <v>43.81818181818182</v>
      </c>
      <c r="I17" s="70">
        <f>(reportTbl[[#This Row],[وزن تولید]]*unityCycleTime-reportTbl[[#This Row],[received TimeOut]])/(reportTbl[[#This Row],[available time]]*reportTbl[[#This Row],[تعداد نیرو]])</f>
        <v>0</v>
      </c>
      <c r="J17" s="71" t="s">
        <v>243</v>
      </c>
      <c r="K17" s="73">
        <v>900</v>
      </c>
      <c r="L17" s="73">
        <v>0</v>
      </c>
      <c r="M17" s="73">
        <v>0</v>
      </c>
      <c r="N17" s="73">
        <v>0</v>
      </c>
      <c r="O17" s="73">
        <v>1</v>
      </c>
      <c r="P17" s="72" t="s">
        <v>1011</v>
      </c>
      <c r="Q17" s="68">
        <f>_xlfn.XLOOKUP(reportTbl[[#This Row],[date]],IIITbl[date],IIITbl[totalCT],0)</f>
        <v>0</v>
      </c>
      <c r="R17" s="68">
        <v>30000</v>
      </c>
      <c r="S17" s="229"/>
      <c r="W17" s="122"/>
    </row>
    <row r="18" spans="1:23" ht="16.5">
      <c r="A18" s="7" t="s">
        <v>238</v>
      </c>
      <c r="B18" s="67" t="s">
        <v>116</v>
      </c>
      <c r="C18" s="68">
        <f>SUMIF(cutts[date],A18,cutts[num])</f>
        <v>6000</v>
      </c>
      <c r="D18" s="68"/>
      <c r="E18" s="69">
        <f>SUMIF(packes[date],A18,packes[num])</f>
        <v>7275</v>
      </c>
      <c r="F18" s="69">
        <f>SUMIF(packes[date],A18,packes[wPacked])</f>
        <v>20725.379128005588</v>
      </c>
      <c r="G18" s="69">
        <v>50</v>
      </c>
      <c r="H18" s="69">
        <f>reportTbl[[#This Row],[personels]]-reportTbl[[#This Row],[personels]]*2.5/22-0.5</f>
        <v>43.81818181818182</v>
      </c>
      <c r="I18" s="70">
        <f>(reportTbl[[#This Row],[وزن تولید]]*unityCycleTime-reportTbl[[#This Row],[received TimeOut]])/(reportTbl[[#This Row],[available time]]*reportTbl[[#This Row],[تعداد نیرو]])</f>
        <v>1.5159195874643923</v>
      </c>
      <c r="J18" s="71" t="s">
        <v>246</v>
      </c>
      <c r="K18" s="73">
        <v>1500</v>
      </c>
      <c r="L18" s="73">
        <v>1800</v>
      </c>
      <c r="M18" s="73">
        <v>900</v>
      </c>
      <c r="N18" s="73">
        <v>0</v>
      </c>
      <c r="O18" s="73">
        <v>1</v>
      </c>
      <c r="P18" s="72" t="s">
        <v>1011</v>
      </c>
      <c r="Q18" s="68">
        <f>_xlfn.XLOOKUP(reportTbl[[#This Row],[date]],IIITbl[date],IIITbl[totalCT],0)</f>
        <v>0</v>
      </c>
      <c r="R18" s="68">
        <v>30000</v>
      </c>
      <c r="S18" s="229"/>
      <c r="W18" s="122"/>
    </row>
    <row r="19" spans="1:23" ht="16.5">
      <c r="A19" s="7" t="s">
        <v>239</v>
      </c>
      <c r="B19" s="67" t="s">
        <v>117</v>
      </c>
      <c r="C19" s="68">
        <f>SUMIF(cutts[date],A19,cutts[num])</f>
        <v>5500</v>
      </c>
      <c r="D19" s="68">
        <v>300</v>
      </c>
      <c r="E19" s="69">
        <f>SUMIF(packes[date],A19,packes[num])</f>
        <v>5556</v>
      </c>
      <c r="F19" s="69">
        <f>SUMIF(packes[date],A19,packes[wPacked])</f>
        <v>13075.469420333235</v>
      </c>
      <c r="G19" s="69">
        <v>50</v>
      </c>
      <c r="H19" s="69">
        <f>reportTbl[[#This Row],[personels]]-reportTbl[[#This Row],[personels]]*2.5/22-0.5</f>
        <v>43.81818181818182</v>
      </c>
      <c r="I19" s="70">
        <f>(reportTbl[[#This Row],[وزن تولید]]*unityCycleTime-reportTbl[[#This Row],[received TimeOut]])/(reportTbl[[#This Row],[available time]]*reportTbl[[#This Row],[تعداد نیرو]])</f>
        <v>0.94996135770507928</v>
      </c>
      <c r="J19" s="71" t="s">
        <v>248</v>
      </c>
      <c r="K19" s="73">
        <v>2400</v>
      </c>
      <c r="L19" s="73">
        <v>2400</v>
      </c>
      <c r="M19" s="73">
        <v>2400</v>
      </c>
      <c r="N19" s="73">
        <v>0</v>
      </c>
      <c r="O19" s="73">
        <v>1</v>
      </c>
      <c r="P19" s="72" t="s">
        <v>1011</v>
      </c>
      <c r="Q19" s="68">
        <f>_xlfn.XLOOKUP(reportTbl[[#This Row],[date]],IIITbl[date],IIITbl[totalCT],0)</f>
        <v>8439</v>
      </c>
      <c r="R19" s="68">
        <v>30000</v>
      </c>
      <c r="S19" s="229"/>
      <c r="W19" s="122"/>
    </row>
    <row r="20" spans="1:23" ht="16.5">
      <c r="A20" s="7" t="s">
        <v>234</v>
      </c>
      <c r="B20" s="67" t="s">
        <v>118</v>
      </c>
      <c r="C20" s="68">
        <v>9000</v>
      </c>
      <c r="D20" s="68"/>
      <c r="E20" s="69">
        <f>SUMIF(packes[date],A20,packes[num])</f>
        <v>4775</v>
      </c>
      <c r="F20" s="69">
        <f>SUMIF(packes[date],A20,packes[wPacked])</f>
        <v>8279.639329542053</v>
      </c>
      <c r="G20" s="69">
        <v>50</v>
      </c>
      <c r="H20" s="69">
        <f>reportTbl[[#This Row],[personels]]-reportTbl[[#This Row],[personels]]*2.5/22-0.5</f>
        <v>43.81818181818182</v>
      </c>
      <c r="I20" s="70">
        <f>(reportTbl[[#This Row],[وزن تولید]]*unityCycleTime-reportTbl[[#This Row],[received TimeOut]])/(reportTbl[[#This Row],[available time]]*reportTbl[[#This Row],[تعداد نیرو]])</f>
        <v>0.60559893062864123</v>
      </c>
      <c r="J20" s="71" t="s">
        <v>249</v>
      </c>
      <c r="K20" s="73">
        <v>2400</v>
      </c>
      <c r="L20" s="73">
        <v>3300</v>
      </c>
      <c r="M20" s="73">
        <v>0</v>
      </c>
      <c r="N20" s="73">
        <v>0</v>
      </c>
      <c r="O20" s="73">
        <v>1</v>
      </c>
      <c r="P20" s="72" t="s">
        <v>1011</v>
      </c>
      <c r="Q20" s="68">
        <f>_xlfn.XLOOKUP(reportTbl[[#This Row],[date]],IIITbl[date],IIITbl[totalCT],0)</f>
        <v>0</v>
      </c>
      <c r="R20" s="68">
        <v>30000</v>
      </c>
      <c r="S20" s="229"/>
      <c r="W20" s="122"/>
    </row>
    <row r="21" spans="1:23" ht="16.5">
      <c r="A21" s="7" t="s">
        <v>258</v>
      </c>
      <c r="B21" s="67" t="s">
        <v>119</v>
      </c>
      <c r="C21" s="68">
        <v>7930</v>
      </c>
      <c r="D21" s="68"/>
      <c r="E21" s="69">
        <f>SUMIF(packes[date],A21,packes[num])</f>
        <v>4850</v>
      </c>
      <c r="F21" s="69">
        <f>SUMIF(packes[date],A21,packes[wPacked])</f>
        <v>6305.227975655991</v>
      </c>
      <c r="G21" s="69">
        <v>50</v>
      </c>
      <c r="H21" s="69">
        <f>reportTbl[[#This Row],[personels]]-reportTbl[[#This Row],[personels]]*2.5/22-0.5</f>
        <v>43.81818181818182</v>
      </c>
      <c r="I21" s="70">
        <f>(reportTbl[[#This Row],[وزن تولید]]*unityCycleTime-reportTbl[[#This Row],[received TimeOut]])/(reportTbl[[#This Row],[available time]]*reportTbl[[#This Row],[تعداد نیرو]])</f>
        <v>0.4611842578459584</v>
      </c>
      <c r="J21" s="71" t="s">
        <v>259</v>
      </c>
      <c r="K21" s="73">
        <v>0</v>
      </c>
      <c r="L21" s="73">
        <v>2100</v>
      </c>
      <c r="M21" s="73">
        <v>0</v>
      </c>
      <c r="N21" s="73">
        <v>0</v>
      </c>
      <c r="O21" s="73">
        <v>1</v>
      </c>
      <c r="P21" s="72" t="s">
        <v>1011</v>
      </c>
      <c r="Q21" s="68">
        <f>_xlfn.XLOOKUP(reportTbl[[#This Row],[date]],IIITbl[date],IIITbl[totalCT],0)</f>
        <v>0</v>
      </c>
      <c r="R21" s="68">
        <v>30000</v>
      </c>
      <c r="S21" s="229"/>
      <c r="W21" s="122"/>
    </row>
    <row r="22" spans="1:23" ht="16.5">
      <c r="A22" s="7" t="s">
        <v>686</v>
      </c>
      <c r="B22" s="67" t="s">
        <v>120</v>
      </c>
      <c r="C22" s="68">
        <f>SUMIF(cutts[date],A22,cutts[num])</f>
        <v>0</v>
      </c>
      <c r="D22" s="68"/>
      <c r="E22" s="69">
        <f>SUMIF(packes[date],A22,packes[num])</f>
        <v>0</v>
      </c>
      <c r="F22" s="69">
        <f>SUMIF(packes[date],A22,packes[wPacked])</f>
        <v>0</v>
      </c>
      <c r="G22" s="69"/>
      <c r="H22" s="69">
        <f>reportTbl[[#This Row],[personels]]-reportTbl[[#This Row],[personels]]*2.5/22-0.5</f>
        <v>-0.5</v>
      </c>
      <c r="I22" s="70">
        <f>(reportTbl[[#This Row],[وزن تولید]]*unityCycleTime-reportTbl[[#This Row],[received TimeOut]])/(reportTbl[[#This Row],[available time]]*reportTbl[[#This Row],[تعداد نیرو]])</f>
        <v>0</v>
      </c>
      <c r="J22" s="71"/>
      <c r="K22" s="73"/>
      <c r="L22" s="73"/>
      <c r="M22" s="73"/>
      <c r="N22" s="73"/>
      <c r="O22" s="73">
        <v>0</v>
      </c>
      <c r="P22" s="72" t="s">
        <v>1011</v>
      </c>
      <c r="Q22" s="68">
        <f>_xlfn.XLOOKUP(reportTbl[[#This Row],[date]],IIITbl[date],IIITbl[totalCT],0)</f>
        <v>0</v>
      </c>
      <c r="R22" s="68">
        <v>30000</v>
      </c>
      <c r="S22" s="229"/>
      <c r="W22" s="122"/>
    </row>
    <row r="23" spans="1:23" ht="16.5">
      <c r="A23" s="7" t="s">
        <v>687</v>
      </c>
      <c r="B23" s="67" t="s">
        <v>121</v>
      </c>
      <c r="C23" s="68">
        <f>SUMIF(cutts[date],A23,cutts[num])</f>
        <v>0</v>
      </c>
      <c r="D23" s="68"/>
      <c r="E23" s="69">
        <f>SUMIF(packes[date],A23,packes[num])</f>
        <v>0</v>
      </c>
      <c r="F23" s="69">
        <f>SUMIF(packes[date],A23,packes[wPacked])</f>
        <v>0</v>
      </c>
      <c r="G23" s="69"/>
      <c r="H23" s="69">
        <f>reportTbl[[#This Row],[personels]]-reportTbl[[#This Row],[personels]]*2.5/22-0.5</f>
        <v>-0.5</v>
      </c>
      <c r="I23" s="70">
        <f>(reportTbl[[#This Row],[وزن تولید]]*unityCycleTime-reportTbl[[#This Row],[received TimeOut]])/(reportTbl[[#This Row],[available time]]*reportTbl[[#This Row],[تعداد نیرو]])</f>
        <v>0</v>
      </c>
      <c r="J23" s="71"/>
      <c r="K23" s="73"/>
      <c r="L23" s="73"/>
      <c r="M23" s="73"/>
      <c r="N23" s="73"/>
      <c r="O23" s="73">
        <v>0</v>
      </c>
      <c r="P23" s="72" t="s">
        <v>1011</v>
      </c>
      <c r="Q23" s="68">
        <f>_xlfn.XLOOKUP(reportTbl[[#This Row],[date]],IIITbl[date],IIITbl[totalCT],0)</f>
        <v>0</v>
      </c>
      <c r="R23" s="68">
        <v>30000</v>
      </c>
      <c r="S23" s="229"/>
      <c r="W23" s="122"/>
    </row>
    <row r="24" spans="1:23" ht="16.5">
      <c r="A24" s="7" t="s">
        <v>229</v>
      </c>
      <c r="B24" s="67" t="s">
        <v>115</v>
      </c>
      <c r="C24" s="68">
        <f>SUMIF(cutts[date],A24,cutts[num])</f>
        <v>0</v>
      </c>
      <c r="D24" s="68">
        <v>3600</v>
      </c>
      <c r="E24" s="69">
        <f>SUMIF(packes[date],A24,packes[num])</f>
        <v>4825</v>
      </c>
      <c r="F24" s="69">
        <f>SUMIF(packes[date],A24,packes[wPacked])</f>
        <v>6676.990422029332</v>
      </c>
      <c r="G24" s="69">
        <v>50</v>
      </c>
      <c r="H24" s="69">
        <f>reportTbl[[#This Row],[personels]]-reportTbl[[#This Row],[personels]]*2.5/22-0.5</f>
        <v>43.81818181818182</v>
      </c>
      <c r="I24" s="70">
        <f>(reportTbl[[#This Row],[وزن تولید]]*unityCycleTime-reportTbl[[#This Row],[received TimeOut]])/(reportTbl[[#This Row],[available time]]*reportTbl[[#This Row],[تعداد نیرو]])</f>
        <v>0.42417904010092139</v>
      </c>
      <c r="J24" s="71" t="s">
        <v>261</v>
      </c>
      <c r="K24" s="73">
        <v>2100</v>
      </c>
      <c r="L24" s="73">
        <v>3000</v>
      </c>
      <c r="M24" s="73">
        <v>0</v>
      </c>
      <c r="N24" s="73">
        <v>500</v>
      </c>
      <c r="O24" s="73">
        <v>1</v>
      </c>
      <c r="P24" s="72" t="s">
        <v>1011</v>
      </c>
      <c r="Q24" s="68">
        <f>_xlfn.XLOOKUP(reportTbl[[#This Row],[date]],IIITbl[date],IIITbl[totalCT],0)</f>
        <v>84390.000000000015</v>
      </c>
      <c r="R24" s="68">
        <v>30000</v>
      </c>
      <c r="S24" s="229"/>
      <c r="W24" s="122"/>
    </row>
    <row r="25" spans="1:23" ht="16.5">
      <c r="A25" s="7" t="s">
        <v>232</v>
      </c>
      <c r="B25" s="67" t="s">
        <v>116</v>
      </c>
      <c r="C25" s="68">
        <f>SUMIF(cutts[date],A25,cutts[num])</f>
        <v>14695</v>
      </c>
      <c r="D25" s="68"/>
      <c r="E25" s="69">
        <f>SUMIF(packes[date],A25,packes[num])</f>
        <v>6768</v>
      </c>
      <c r="F25" s="69">
        <f>SUMIF(packes[date],A25,packes[wPacked])</f>
        <v>8083.9189863314368</v>
      </c>
      <c r="G25" s="69">
        <v>50</v>
      </c>
      <c r="H25" s="69">
        <f>reportTbl[[#This Row],[personels]]-reportTbl[[#This Row],[personels]]*2.5/22-0.5</f>
        <v>43.81818181818182</v>
      </c>
      <c r="I25" s="70">
        <f>(reportTbl[[#This Row],[وزن تولید]]*unityCycleTime-reportTbl[[#This Row],[received TimeOut]])/(reportTbl[[#This Row],[available time]]*reportTbl[[#This Row],[تعداد نیرو]])</f>
        <v>0.59128332751683577</v>
      </c>
      <c r="J25" s="71" t="s">
        <v>264</v>
      </c>
      <c r="K25" s="73">
        <v>3000</v>
      </c>
      <c r="L25" s="73">
        <v>2500</v>
      </c>
      <c r="M25" s="73">
        <v>0</v>
      </c>
      <c r="N25" s="73">
        <v>2500</v>
      </c>
      <c r="O25" s="73">
        <v>1</v>
      </c>
      <c r="P25" s="72" t="s">
        <v>1011</v>
      </c>
      <c r="Q25" s="68">
        <f>_xlfn.XLOOKUP(reportTbl[[#This Row],[date]],IIITbl[date],IIITbl[totalCT],0)</f>
        <v>0</v>
      </c>
      <c r="R25" s="68">
        <v>30000</v>
      </c>
      <c r="S25" s="229"/>
    </row>
    <row r="26" spans="1:23" ht="16.5">
      <c r="A26" s="7" t="s">
        <v>231</v>
      </c>
      <c r="B26" s="67" t="s">
        <v>117</v>
      </c>
      <c r="C26" s="68">
        <f>SUMIF(cutts[date],A26,cutts[num])</f>
        <v>6000</v>
      </c>
      <c r="D26" s="68"/>
      <c r="E26" s="69">
        <f>SUMIF(packes[date],A26,packes[num])</f>
        <v>7400</v>
      </c>
      <c r="F26" s="69">
        <f>SUMIF(packes[date],A26,packes[wPacked])</f>
        <v>8086.8502444377937</v>
      </c>
      <c r="G26" s="69">
        <v>50</v>
      </c>
      <c r="H26" s="69">
        <f>reportTbl[[#This Row],[personels]]-reportTbl[[#This Row],[personels]]*2.5/22-0.5</f>
        <v>43.81818181818182</v>
      </c>
      <c r="I26" s="70">
        <f>(reportTbl[[#This Row],[وزن تولید]]*unityCycleTime-reportTbl[[#This Row],[received TimeOut]])/(reportTbl[[#This Row],[available time]]*reportTbl[[#This Row],[تعداد نیرو]])</f>
        <v>0.59149772897853614</v>
      </c>
      <c r="J26" s="71" t="s">
        <v>263</v>
      </c>
      <c r="K26" s="73">
        <v>0</v>
      </c>
      <c r="L26" s="73">
        <v>2700</v>
      </c>
      <c r="M26" s="73">
        <v>0</v>
      </c>
      <c r="N26" s="73">
        <v>2500</v>
      </c>
      <c r="O26" s="73">
        <v>1</v>
      </c>
      <c r="P26" s="72" t="s">
        <v>1011</v>
      </c>
      <c r="Q26" s="68">
        <f>_xlfn.XLOOKUP(reportTbl[[#This Row],[date]],IIITbl[date],IIITbl[totalCT],0)</f>
        <v>0</v>
      </c>
      <c r="R26" s="68">
        <v>30000</v>
      </c>
      <c r="S26" s="229"/>
    </row>
    <row r="27" spans="1:23" ht="16.5">
      <c r="A27" s="7" t="s">
        <v>236</v>
      </c>
      <c r="B27" s="67" t="s">
        <v>118</v>
      </c>
      <c r="C27" s="68">
        <f>SUMIF(cutts[date],A27,cutts[num])</f>
        <v>9610</v>
      </c>
      <c r="D27" s="68">
        <v>4400</v>
      </c>
      <c r="E27" s="69">
        <f>SUMIF(packes[date],A27,packes[num])</f>
        <v>5725</v>
      </c>
      <c r="F27" s="69">
        <f>SUMIF(packes[date],A27,packes[wPacked])</f>
        <v>6406.1558415644013</v>
      </c>
      <c r="G27" s="69">
        <v>50</v>
      </c>
      <c r="H27" s="69">
        <v>42</v>
      </c>
      <c r="I27" s="70">
        <f>(reportTbl[[#This Row],[وزن تولید]]*unityCycleTime-reportTbl[[#This Row],[received TimeOut]])/(reportTbl[[#This Row],[available time]]*reportTbl[[#This Row],[تعداد نیرو]])</f>
        <v>0.39061895568763266</v>
      </c>
      <c r="J27" s="71" t="s">
        <v>262</v>
      </c>
      <c r="K27" s="73">
        <v>2500</v>
      </c>
      <c r="L27" s="73">
        <v>2500</v>
      </c>
      <c r="M27" s="73">
        <v>0</v>
      </c>
      <c r="N27" s="73">
        <v>2500</v>
      </c>
      <c r="O27" s="73">
        <v>1</v>
      </c>
      <c r="P27" s="72" t="s">
        <v>1011</v>
      </c>
      <c r="Q27" s="68">
        <f>_xlfn.XLOOKUP(reportTbl[[#This Row],[date]],IIITbl[date],IIITbl[totalCT],0)</f>
        <v>123772.00000000001</v>
      </c>
      <c r="R27" s="68">
        <v>30000</v>
      </c>
      <c r="S27" s="229"/>
    </row>
    <row r="28" spans="1:23" ht="16.5">
      <c r="A28" s="7" t="s">
        <v>268</v>
      </c>
      <c r="B28" s="67" t="s">
        <v>119</v>
      </c>
      <c r="C28" s="68">
        <f>SUMIF(cutts[date],A28,cutts[num])</f>
        <v>9200</v>
      </c>
      <c r="D28" s="68"/>
      <c r="E28" s="69">
        <f>SUMIF(packes[date],A28,packes[num])</f>
        <v>8450</v>
      </c>
      <c r="F28" s="69">
        <f>SUMIF(packes[date],A28,packes[wPacked])</f>
        <v>9978.4395889454245</v>
      </c>
      <c r="G28" s="69">
        <v>50</v>
      </c>
      <c r="H28" s="69">
        <f>reportTbl[[#This Row],[personels]]-reportTbl[[#This Row],[personels]]*2.5/22-0.5</f>
        <v>43.81818181818182</v>
      </c>
      <c r="I28" s="70">
        <f>(reportTbl[[#This Row],[وزن تولید]]*unityCycleTime-reportTbl[[#This Row],[received TimeOut]])/(reportTbl[[#This Row],[available time]]*reportTbl[[#This Row],[تعداد نیرو]])</f>
        <v>0.7298545388138401</v>
      </c>
      <c r="J28" s="71" t="s">
        <v>269</v>
      </c>
      <c r="K28" s="73">
        <v>3000</v>
      </c>
      <c r="L28" s="73">
        <v>3300</v>
      </c>
      <c r="M28" s="73">
        <v>0</v>
      </c>
      <c r="N28" s="73">
        <v>2500</v>
      </c>
      <c r="O28" s="73">
        <v>1</v>
      </c>
      <c r="P28" s="72" t="s">
        <v>1011</v>
      </c>
      <c r="Q28" s="68">
        <f>_xlfn.XLOOKUP(reportTbl[[#This Row],[date]],IIITbl[date],IIITbl[totalCT],0)</f>
        <v>0</v>
      </c>
      <c r="R28" s="68">
        <v>30000</v>
      </c>
      <c r="S28" s="229"/>
      <c r="W28" s="122"/>
    </row>
    <row r="29" spans="1:23" ht="16.5">
      <c r="A29" s="7" t="s">
        <v>233</v>
      </c>
      <c r="B29" s="67" t="s">
        <v>120</v>
      </c>
      <c r="C29" s="68">
        <f>SUMIF(cutts[date],A29,cutts[num])</f>
        <v>0</v>
      </c>
      <c r="D29" s="68"/>
      <c r="E29" s="69">
        <f>SUMIF(packes[date],A29,packes[num])</f>
        <v>0</v>
      </c>
      <c r="F29" s="69">
        <f>SUMIF(packes[date],A29,packes[wPacked])</f>
        <v>0</v>
      </c>
      <c r="G29" s="69"/>
      <c r="H29" s="69">
        <f>reportTbl[[#This Row],[personels]]-reportTbl[[#This Row],[personels]]*2.5/22-0.5</f>
        <v>-0.5</v>
      </c>
      <c r="I29" s="70">
        <f>(reportTbl[[#This Row],[وزن تولید]]*unityCycleTime-reportTbl[[#This Row],[received TimeOut]])/(reportTbl[[#This Row],[available time]]*reportTbl[[#This Row],[تعداد نیرو]])</f>
        <v>0</v>
      </c>
      <c r="J29" s="71"/>
      <c r="K29" s="73"/>
      <c r="L29" s="73"/>
      <c r="M29" s="73"/>
      <c r="N29" s="73"/>
      <c r="O29" s="73">
        <v>0</v>
      </c>
      <c r="P29" s="72" t="s">
        <v>1011</v>
      </c>
      <c r="Q29" s="68">
        <f>_xlfn.XLOOKUP(reportTbl[[#This Row],[date]],IIITbl[date],IIITbl[totalCT],0)</f>
        <v>0</v>
      </c>
      <c r="R29" s="68">
        <v>30000</v>
      </c>
      <c r="S29" s="229"/>
      <c r="W29" s="122"/>
    </row>
    <row r="30" spans="1:23" ht="16.5">
      <c r="A30" s="7" t="s">
        <v>688</v>
      </c>
      <c r="B30" s="67" t="s">
        <v>121</v>
      </c>
      <c r="C30" s="68">
        <f>SUMIF(cutts[date],A30,cutts[num])</f>
        <v>0</v>
      </c>
      <c r="D30" s="68"/>
      <c r="E30" s="69">
        <f>SUMIF(packes[date],A30,packes[num])</f>
        <v>0</v>
      </c>
      <c r="F30" s="69">
        <f>SUMIF(packes[date],A30,packes[wPacked])</f>
        <v>0</v>
      </c>
      <c r="G30" s="69"/>
      <c r="H30" s="69">
        <f>reportTbl[[#This Row],[personels]]-reportTbl[[#This Row],[personels]]*2.5/22-0.5</f>
        <v>-0.5</v>
      </c>
      <c r="I30" s="70">
        <f>(reportTbl[[#This Row],[وزن تولید]]*unityCycleTime-reportTbl[[#This Row],[received TimeOut]])/(reportTbl[[#This Row],[available time]]*reportTbl[[#This Row],[تعداد نیرو]])</f>
        <v>0</v>
      </c>
      <c r="J30" s="71"/>
      <c r="K30" s="73"/>
      <c r="L30" s="73"/>
      <c r="M30" s="73"/>
      <c r="N30" s="73"/>
      <c r="O30" s="73">
        <v>0</v>
      </c>
      <c r="P30" s="72" t="s">
        <v>1011</v>
      </c>
      <c r="Q30" s="68">
        <f>_xlfn.XLOOKUP(reportTbl[[#This Row],[date]],IIITbl[date],IIITbl[totalCT],0)</f>
        <v>0</v>
      </c>
      <c r="R30" s="68">
        <v>30000</v>
      </c>
      <c r="S30" s="229"/>
    </row>
    <row r="31" spans="1:23" ht="16.5">
      <c r="A31" s="7" t="s">
        <v>273</v>
      </c>
      <c r="B31" s="67" t="s">
        <v>115</v>
      </c>
      <c r="C31" s="68">
        <f>SUMIF(cutts[date],A31,cutts[num])</f>
        <v>10</v>
      </c>
      <c r="D31" s="68">
        <v>2400</v>
      </c>
      <c r="E31" s="69">
        <f>SUMIF(packes[date],A31,packes[num])</f>
        <v>8630</v>
      </c>
      <c r="F31" s="69">
        <f>SUMIF(packes[date],A31,packes[wPacked])</f>
        <v>10037.214406864214</v>
      </c>
      <c r="G31" s="69">
        <v>48</v>
      </c>
      <c r="H31" s="69">
        <f>reportTbl[[#This Row],[personels]]-reportTbl[[#This Row],[personels]]*2.5/22-0.5</f>
        <v>42.045454545454547</v>
      </c>
      <c r="I31" s="70">
        <f>(reportTbl[[#This Row],[وزن تولید]]*unityCycleTime-reportTbl[[#This Row],[received TimeOut]])/(reportTbl[[#This Row],[available time]]*reportTbl[[#This Row],[تعداد نیرو]])</f>
        <v>0.71158398684107649</v>
      </c>
      <c r="J31" s="71" t="s">
        <v>1027</v>
      </c>
      <c r="K31" s="73">
        <v>3000</v>
      </c>
      <c r="L31" s="73">
        <v>3300</v>
      </c>
      <c r="M31" s="73">
        <v>0</v>
      </c>
      <c r="N31" s="73">
        <v>2700</v>
      </c>
      <c r="O31" s="73">
        <v>1</v>
      </c>
      <c r="P31" s="72" t="s">
        <v>1011</v>
      </c>
      <c r="Q31" s="68">
        <f>_xlfn.XLOOKUP(reportTbl[[#This Row],[date]],IIITbl[date],IIITbl[totalCT],0)</f>
        <v>67512</v>
      </c>
      <c r="R31" s="68">
        <v>30000</v>
      </c>
      <c r="S31" s="229"/>
    </row>
    <row r="32" spans="1:23" ht="16.5">
      <c r="A32" s="7" t="s">
        <v>251</v>
      </c>
      <c r="B32" s="67" t="s">
        <v>116</v>
      </c>
      <c r="C32" s="68">
        <f>SUMIF(cutts[date],A32,cutts[num])</f>
        <v>13000</v>
      </c>
      <c r="D32" s="68"/>
      <c r="E32" s="69">
        <f>SUMIF(packes[date],A32,packes[num])</f>
        <v>7500</v>
      </c>
      <c r="F32" s="69">
        <f>SUMIF(packes[date],A32,packes[wPacked])</f>
        <v>8307.3929961089489</v>
      </c>
      <c r="G32" s="69">
        <v>48</v>
      </c>
      <c r="H32" s="69">
        <f>reportTbl[[#This Row],[personels]]-reportTbl[[#This Row],[personels]]*2.5/22-0.5</f>
        <v>42.045454545454547</v>
      </c>
      <c r="I32" s="70">
        <f>(reportTbl[[#This Row],[وزن تولید]]*unityCycleTime-reportTbl[[#This Row],[received TimeOut]])/(reportTbl[[#This Row],[available time]]*reportTbl[[#This Row],[تعداد نیرو]])</f>
        <v>0.63324787043853192</v>
      </c>
      <c r="J32" s="71" t="s">
        <v>1024</v>
      </c>
      <c r="K32" s="73">
        <v>2800</v>
      </c>
      <c r="L32" s="73">
        <v>3000</v>
      </c>
      <c r="M32" s="73">
        <v>0</v>
      </c>
      <c r="N32" s="73">
        <v>3100</v>
      </c>
      <c r="O32" s="73">
        <v>1</v>
      </c>
      <c r="P32" s="72" t="s">
        <v>1011</v>
      </c>
      <c r="Q32" s="68">
        <f>_xlfn.XLOOKUP(reportTbl[[#This Row],[date]],IIITbl[date],IIITbl[totalCT],0)</f>
        <v>0</v>
      </c>
      <c r="R32" s="68">
        <v>30000</v>
      </c>
      <c r="S32" s="229"/>
    </row>
    <row r="33" spans="1:19" ht="16.5">
      <c r="A33" s="7" t="s">
        <v>662</v>
      </c>
      <c r="B33" s="67" t="s">
        <v>117</v>
      </c>
      <c r="C33" s="68">
        <f>SUMIF(cutts[date],A33,cutts[num])</f>
        <v>3000</v>
      </c>
      <c r="D33" s="68"/>
      <c r="E33" s="69">
        <f>SUMIF(packes[date],A33,packes[num])</f>
        <v>7100</v>
      </c>
      <c r="F33" s="69">
        <f>SUMIF(packes[date],A33,packes[wPacked])</f>
        <v>7803.2126109947121</v>
      </c>
      <c r="G33" s="69">
        <v>48</v>
      </c>
      <c r="H33" s="69">
        <f>reportTbl[[#This Row],[personels]]-reportTbl[[#This Row],[personels]]*2.5/22-0.5</f>
        <v>42.045454545454547</v>
      </c>
      <c r="I33" s="70">
        <f>(reportTbl[[#This Row],[وزن تولید]]*unityCycleTime-reportTbl[[#This Row],[received TimeOut]])/(reportTbl[[#This Row],[available time]]*reportTbl[[#This Row],[تعداد نیرو]])</f>
        <v>0.59481569859593209</v>
      </c>
      <c r="J33" s="71" t="s">
        <v>1025</v>
      </c>
      <c r="K33" s="73">
        <v>1500</v>
      </c>
      <c r="L33" s="73">
        <v>2700</v>
      </c>
      <c r="M33" s="73">
        <v>600</v>
      </c>
      <c r="N33" s="73">
        <v>2500</v>
      </c>
      <c r="O33" s="73">
        <v>1</v>
      </c>
      <c r="P33" s="72" t="s">
        <v>1012</v>
      </c>
      <c r="Q33" s="68">
        <f>_xlfn.XLOOKUP(reportTbl[[#This Row],[date]],IIITbl[date],IIITbl[totalCT],0)</f>
        <v>0</v>
      </c>
      <c r="R33" s="68">
        <v>30000</v>
      </c>
      <c r="S33" s="230"/>
    </row>
    <row r="34" spans="1:19" ht="16.5">
      <c r="A34" s="7" t="s">
        <v>253</v>
      </c>
      <c r="B34" s="67" t="s">
        <v>118</v>
      </c>
      <c r="C34" s="68">
        <f>SUMIF(cutts[date],A34,cutts[num])</f>
        <v>13000</v>
      </c>
      <c r="D34" s="68"/>
      <c r="E34" s="69">
        <f>SUMIF(packes[date],A34,packes[num])</f>
        <v>5325</v>
      </c>
      <c r="F34" s="69">
        <f>SUMIF(packes[date],A34,packes[wPacked])</f>
        <v>6097.2333632644913</v>
      </c>
      <c r="G34" s="69">
        <v>48</v>
      </c>
      <c r="H34" s="69">
        <f>reportTbl[[#This Row],[personels]]-reportTbl[[#This Row],[personels]]*2.5/22-0.5</f>
        <v>42.045454545454547</v>
      </c>
      <c r="I34" s="70">
        <f>(reportTbl[[#This Row],[وزن تولید]]*unityCycleTime-reportTbl[[#This Row],[received TimeOut]])/(reportTbl[[#This Row],[available time]]*reportTbl[[#This Row],[تعداد نیرو]])</f>
        <v>0.4647739723716533</v>
      </c>
      <c r="J34" s="71" t="s">
        <v>1024</v>
      </c>
      <c r="K34" s="73">
        <v>0</v>
      </c>
      <c r="L34" s="73">
        <v>3000</v>
      </c>
      <c r="M34" s="73">
        <v>2400</v>
      </c>
      <c r="N34" s="73">
        <v>3000</v>
      </c>
      <c r="O34" s="73">
        <v>1</v>
      </c>
      <c r="P34" s="72" t="s">
        <v>1012</v>
      </c>
      <c r="Q34" s="68">
        <f>_xlfn.XLOOKUP(reportTbl[[#This Row],[date]],IIITbl[date],IIITbl[totalCT],0)</f>
        <v>0</v>
      </c>
      <c r="R34" s="68">
        <v>30000</v>
      </c>
      <c r="S34" s="230"/>
    </row>
    <row r="35" spans="1:19" ht="16.5">
      <c r="A35" s="7" t="s">
        <v>668</v>
      </c>
      <c r="B35" s="67" t="s">
        <v>119</v>
      </c>
      <c r="C35" s="68">
        <f>SUMIF(cutts[date],A35,cutts[num])</f>
        <v>7413</v>
      </c>
      <c r="D35" s="68"/>
      <c r="E35" s="69">
        <f>SUMIF(packes[date],A35,packes[num])</f>
        <v>8055</v>
      </c>
      <c r="F35" s="69">
        <f>SUMIF(packes[date],A35,packes[wPacked])</f>
        <v>8838.201137384016</v>
      </c>
      <c r="G35" s="69">
        <v>48</v>
      </c>
      <c r="H35" s="69">
        <f>reportTbl[[#This Row],[personels]]-reportTbl[[#This Row],[personels]]*2.5/22-0.5</f>
        <v>42.045454545454547</v>
      </c>
      <c r="I35" s="70">
        <f>(reportTbl[[#This Row],[وزن تولید]]*unityCycleTime-reportTbl[[#This Row],[received TimeOut]])/(reportTbl[[#This Row],[available time]]*reportTbl[[#This Row],[تعداد نیرو]])</f>
        <v>0.67370979696967237</v>
      </c>
      <c r="J35" s="71"/>
      <c r="K35" s="73">
        <v>2700</v>
      </c>
      <c r="L35" s="73">
        <v>3000</v>
      </c>
      <c r="M35" s="73">
        <v>600</v>
      </c>
      <c r="N35" s="73">
        <v>2400</v>
      </c>
      <c r="O35" s="73">
        <v>1</v>
      </c>
      <c r="P35" s="72" t="s">
        <v>1012</v>
      </c>
      <c r="Q35" s="68">
        <f>_xlfn.XLOOKUP(reportTbl[[#This Row],[date]],IIITbl[date],IIITbl[totalCT],0)</f>
        <v>0</v>
      </c>
      <c r="R35" s="68">
        <v>30000</v>
      </c>
      <c r="S35" s="230"/>
    </row>
    <row r="36" spans="1:19" ht="16.5">
      <c r="A36" s="7" t="s">
        <v>689</v>
      </c>
      <c r="B36" s="67" t="s">
        <v>120</v>
      </c>
      <c r="C36" s="68">
        <f>SUMIF(cutts[date],A36,cutts[num])</f>
        <v>0</v>
      </c>
      <c r="D36" s="68"/>
      <c r="E36" s="69">
        <f>SUMIF(packes[date],A36,packes[num])</f>
        <v>1300</v>
      </c>
      <c r="F36" s="69">
        <f>SUMIF(packes[date],A36,packes[wPacked])</f>
        <v>1750.9727626459141</v>
      </c>
      <c r="G36" s="69">
        <v>5</v>
      </c>
      <c r="H36" s="69">
        <f>reportTbl[[#This Row],[personels]]-reportTbl[[#This Row],[personels]]*2.5/22-0.5</f>
        <v>3.9318181818181817</v>
      </c>
      <c r="I36" s="70">
        <f>(reportTbl[[#This Row],[وزن تولید]]*unityCycleTime-reportTbl[[#This Row],[received TimeOut]])/(reportTbl[[#This Row],[available time]]*reportTbl[[#This Row],[تعداد نیرو]])</f>
        <v>1.4272958323024671</v>
      </c>
      <c r="J36" s="71" t="s">
        <v>1045</v>
      </c>
      <c r="K36" s="73"/>
      <c r="L36" s="73"/>
      <c r="M36" s="73"/>
      <c r="N36" s="73"/>
      <c r="O36" s="73">
        <v>0</v>
      </c>
      <c r="P36" s="72" t="s">
        <v>1012</v>
      </c>
      <c r="Q36" s="68">
        <f>_xlfn.XLOOKUP(reportTbl[[#This Row],[date]],IIITbl[date],IIITbl[totalCT],0)</f>
        <v>0</v>
      </c>
      <c r="R36" s="68">
        <v>30000</v>
      </c>
    </row>
    <row r="37" spans="1:19" ht="16.5">
      <c r="A37" s="7" t="s">
        <v>241</v>
      </c>
      <c r="B37" s="67" t="s">
        <v>121</v>
      </c>
      <c r="C37" s="68">
        <f>SUMIF(cutts[date],A37,cutts[num])</f>
        <v>0</v>
      </c>
      <c r="D37" s="68"/>
      <c r="E37" s="69">
        <f>SUMIF(packes[date],A37,packes[num])</f>
        <v>0</v>
      </c>
      <c r="F37" s="69">
        <f>SUMIF(packes[date],A37,packes[wPacked])</f>
        <v>0</v>
      </c>
      <c r="G37" s="69"/>
      <c r="H37" s="69">
        <f>reportTbl[[#This Row],[personels]]-reportTbl[[#This Row],[personels]]*2.5/22-0.5</f>
        <v>-0.5</v>
      </c>
      <c r="I37" s="70">
        <f>(reportTbl[[#This Row],[وزن تولید]]*unityCycleTime-reportTbl[[#This Row],[received TimeOut]])/(reportTbl[[#This Row],[available time]]*reportTbl[[#This Row],[تعداد نیرو]])</f>
        <v>0</v>
      </c>
      <c r="J37" s="71"/>
      <c r="K37" s="73"/>
      <c r="L37" s="73"/>
      <c r="M37" s="73"/>
      <c r="N37" s="73"/>
      <c r="O37" s="73">
        <v>0</v>
      </c>
      <c r="P37" s="72" t="s">
        <v>1012</v>
      </c>
      <c r="Q37" s="68">
        <f>_xlfn.XLOOKUP(reportTbl[[#This Row],[date]],IIITbl[date],IIITbl[totalCT],0)</f>
        <v>0</v>
      </c>
      <c r="R37" s="68">
        <v>30000</v>
      </c>
    </row>
    <row r="38" spans="1:19" ht="31.5">
      <c r="A38" s="7" t="s">
        <v>278</v>
      </c>
      <c r="B38" s="67" t="s">
        <v>115</v>
      </c>
      <c r="C38" s="68">
        <f>SUMIF(cutts[date],A38,cutts[num])</f>
        <v>3000</v>
      </c>
      <c r="D38" s="68">
        <v>2900</v>
      </c>
      <c r="E38" s="69">
        <f>SUMIF(packes[date],A38,packes[num])</f>
        <v>7850</v>
      </c>
      <c r="F38" s="69">
        <f>SUMIF(packes[date],A38,packes[wPacked])</f>
        <v>9536.7754165419519</v>
      </c>
      <c r="G38" s="69">
        <v>48</v>
      </c>
      <c r="H38" s="69">
        <f>reportTbl[[#This Row],[personels]]-reportTbl[[#This Row],[personels]]*2.5/22-0.5</f>
        <v>42.045454545454547</v>
      </c>
      <c r="I38" s="70">
        <f>(reportTbl[[#This Row],[وزن تولید]]*unityCycleTime-reportTbl[[#This Row],[received TimeOut]])/(reportTbl[[#This Row],[available time]]*reportTbl[[#This Row],[تعداد نیرو]])</f>
        <v>0.66228637976977256</v>
      </c>
      <c r="J38" s="71" t="s">
        <v>1060</v>
      </c>
      <c r="K38" s="73">
        <v>3000</v>
      </c>
      <c r="L38" s="73">
        <v>3000</v>
      </c>
      <c r="M38" s="73">
        <v>0</v>
      </c>
      <c r="N38" s="73">
        <v>0</v>
      </c>
      <c r="O38" s="73">
        <v>1</v>
      </c>
      <c r="P38" s="72" t="s">
        <v>1012</v>
      </c>
      <c r="Q38" s="68">
        <f>_xlfn.XLOOKUP(reportTbl[[#This Row],[date]],IIITbl[date],IIITbl[totalCT],0)</f>
        <v>81577.000000000015</v>
      </c>
      <c r="R38" s="68">
        <v>30000</v>
      </c>
    </row>
    <row r="39" spans="1:19" ht="16.5">
      <c r="A39" s="7" t="s">
        <v>690</v>
      </c>
      <c r="B39" s="67" t="s">
        <v>116</v>
      </c>
      <c r="C39" s="68">
        <f>SUMIF(cutts[date],A39,cutts[num])</f>
        <v>9347</v>
      </c>
      <c r="D39" s="68"/>
      <c r="E39" s="69">
        <f>SUMIF(packes[date],A39,packes[num])</f>
        <v>5753</v>
      </c>
      <c r="F39" s="69">
        <f>SUMIF(packes[date],A39,packes[wPacked])</f>
        <v>6897.4897735209015</v>
      </c>
      <c r="G39" s="69">
        <v>48</v>
      </c>
      <c r="H39" s="69">
        <f>reportTbl[[#This Row],[personels]]-reportTbl[[#This Row],[personels]]*2.5/22-0.5</f>
        <v>42.045454545454547</v>
      </c>
      <c r="I39" s="70">
        <f>(reportTbl[[#This Row],[وزن تولید]]*unityCycleTime-reportTbl[[#This Row],[received TimeOut]])/(reportTbl[[#This Row],[available time]]*reportTbl[[#This Row],[تعداد نیرو]])</f>
        <v>0.52577513938482023</v>
      </c>
      <c r="J39" s="71" t="s">
        <v>1061</v>
      </c>
      <c r="K39" s="73">
        <v>3000</v>
      </c>
      <c r="L39" s="73">
        <v>3600</v>
      </c>
      <c r="M39" s="73">
        <v>0</v>
      </c>
      <c r="N39" s="73">
        <v>0</v>
      </c>
      <c r="O39" s="73">
        <v>1</v>
      </c>
      <c r="P39" s="72" t="s">
        <v>1012</v>
      </c>
      <c r="Q39" s="68">
        <f>_xlfn.XLOOKUP(reportTbl[[#This Row],[date]],IIITbl[date],IIITbl[totalCT],0)</f>
        <v>0</v>
      </c>
      <c r="R39" s="68">
        <v>30000</v>
      </c>
    </row>
    <row r="40" spans="1:19" ht="16.5">
      <c r="A40" s="7" t="s">
        <v>691</v>
      </c>
      <c r="B40" s="67" t="s">
        <v>117</v>
      </c>
      <c r="C40" s="68">
        <f>SUMIF(cutts[date],A40,cutts[num])</f>
        <v>3000</v>
      </c>
      <c r="D40" s="68"/>
      <c r="E40" s="69">
        <f>SUMIF(packes[date],A40,packes[num])</f>
        <v>5875</v>
      </c>
      <c r="F40" s="69">
        <f>SUMIF(packes[date],A40,packes[wPacked])</f>
        <v>7637.9751571385805</v>
      </c>
      <c r="G40" s="69">
        <v>48</v>
      </c>
      <c r="H40" s="69">
        <f>reportTbl[[#This Row],[personels]]-reportTbl[[#This Row],[personels]]*2.5/22-0.5</f>
        <v>42.045454545454547</v>
      </c>
      <c r="I40" s="70">
        <f>(reportTbl[[#This Row],[وزن تولید]]*unityCycleTime-reportTbl[[#This Row],[received TimeOut]])/(reportTbl[[#This Row],[available time]]*reportTbl[[#This Row],[تعداد نیرو]])</f>
        <v>0.58222013873496359</v>
      </c>
      <c r="J40" s="71" t="s">
        <v>1062</v>
      </c>
      <c r="K40" s="73">
        <v>3000</v>
      </c>
      <c r="L40" s="73">
        <v>3300</v>
      </c>
      <c r="M40" s="73">
        <v>0</v>
      </c>
      <c r="N40" s="73">
        <v>2500</v>
      </c>
      <c r="O40" s="73">
        <v>1</v>
      </c>
      <c r="P40" s="72" t="s">
        <v>1012</v>
      </c>
      <c r="Q40" s="68">
        <f>_xlfn.XLOOKUP(reportTbl[[#This Row],[date]],IIITbl[date],IIITbl[totalCT],0)</f>
        <v>0</v>
      </c>
      <c r="R40" s="68">
        <v>30000</v>
      </c>
    </row>
    <row r="41" spans="1:19" ht="16.5">
      <c r="A41" s="7" t="s">
        <v>256</v>
      </c>
      <c r="B41" s="67" t="s">
        <v>118</v>
      </c>
      <c r="C41" s="68">
        <f>SUMIF(cutts[date],A41,cutts[num])</f>
        <v>3000</v>
      </c>
      <c r="D41" s="68"/>
      <c r="E41" s="69">
        <f>SUMIF(packes[date],A41,packes[num])</f>
        <v>6199</v>
      </c>
      <c r="F41" s="69">
        <f>SUMIF(packes[date],A41,packes[wPacked])</f>
        <v>7597.5356679636825</v>
      </c>
      <c r="G41" s="69">
        <v>48</v>
      </c>
      <c r="H41" s="69">
        <f>reportTbl[[#This Row],[personels]]-reportTbl[[#This Row],[personels]]*2.5/22-0.5</f>
        <v>42.045454545454547</v>
      </c>
      <c r="I41" s="70">
        <f>(reportTbl[[#This Row],[وزن تولید]]*unityCycleTime-reportTbl[[#This Row],[received TimeOut]])/(reportTbl[[#This Row],[available time]]*reportTbl[[#This Row],[تعداد نیرو]])</f>
        <v>0.57913755670066946</v>
      </c>
      <c r="J41" s="71"/>
      <c r="K41" s="73">
        <v>3000</v>
      </c>
      <c r="L41" s="73">
        <v>600</v>
      </c>
      <c r="M41" s="73">
        <v>0</v>
      </c>
      <c r="N41" s="73">
        <v>2650</v>
      </c>
      <c r="O41" s="73">
        <v>1</v>
      </c>
      <c r="P41" s="72" t="s">
        <v>1012</v>
      </c>
      <c r="Q41" s="68">
        <f>_xlfn.XLOOKUP(reportTbl[[#This Row],[date]],IIITbl[date],IIITbl[totalCT],0)</f>
        <v>0</v>
      </c>
      <c r="R41" s="68">
        <v>30000</v>
      </c>
    </row>
    <row r="42" spans="1:19" ht="16.5">
      <c r="A42" s="7" t="s">
        <v>692</v>
      </c>
      <c r="B42" s="67" t="s">
        <v>119</v>
      </c>
      <c r="C42" s="68">
        <f>SUMIF(cutts[date],A42,cutts[num])</f>
        <v>0</v>
      </c>
      <c r="D42" s="68">
        <v>3000</v>
      </c>
      <c r="E42" s="69">
        <f>SUMIF(packes[date],A42,packes[num])</f>
        <v>5372</v>
      </c>
      <c r="F42" s="69">
        <f>SUMIF(packes[date],A42,packes[wPacked])</f>
        <v>6776.7534670258401</v>
      </c>
      <c r="G42" s="69">
        <v>48</v>
      </c>
      <c r="H42" s="69">
        <f>reportTbl[[#This Row],[personels]]-reportTbl[[#This Row],[personels]]*2.5/22-0.5</f>
        <v>42.045454545454547</v>
      </c>
      <c r="I42" s="70">
        <f>(reportTbl[[#This Row],[وزن تولید]]*unityCycleTime-reportTbl[[#This Row],[received TimeOut]])/(reportTbl[[#This Row],[available time]]*reportTbl[[#This Row],[تعداد نیرو]])</f>
        <v>0.39800960752431563</v>
      </c>
      <c r="J42" s="71" t="s">
        <v>1064</v>
      </c>
      <c r="K42" s="73">
        <v>2700</v>
      </c>
      <c r="L42" s="73">
        <v>3200</v>
      </c>
      <c r="M42" s="73">
        <v>0</v>
      </c>
      <c r="N42" s="73">
        <v>1150</v>
      </c>
      <c r="O42" s="73">
        <v>1</v>
      </c>
      <c r="P42" s="72" t="s">
        <v>1012</v>
      </c>
      <c r="Q42" s="68">
        <f>_xlfn.XLOOKUP(reportTbl[[#This Row],[date]],IIITbl[date],IIITbl[totalCT],0)</f>
        <v>149550</v>
      </c>
      <c r="R42" s="68">
        <v>30000</v>
      </c>
    </row>
    <row r="43" spans="1:19" ht="16.5">
      <c r="A43" s="7" t="s">
        <v>279</v>
      </c>
      <c r="B43" s="67" t="s">
        <v>120</v>
      </c>
      <c r="C43" s="68">
        <f>SUMIF(cutts[date],A43,cutts[num])</f>
        <v>0</v>
      </c>
      <c r="D43" s="68"/>
      <c r="E43" s="69">
        <f>SUMIF(packes[date],A43,packes[num])</f>
        <v>0</v>
      </c>
      <c r="F43" s="69">
        <f>SUMIF(packes[date],A43,packes[wPacked])</f>
        <v>0</v>
      </c>
      <c r="G43" s="69"/>
      <c r="H43" s="69">
        <f>reportTbl[[#This Row],[personels]]-reportTbl[[#This Row],[personels]]*2.5/22-0.5</f>
        <v>-0.5</v>
      </c>
      <c r="I43" s="70">
        <f>(reportTbl[[#This Row],[وزن تولید]]*unityCycleTime-reportTbl[[#This Row],[received TimeOut]])/(reportTbl[[#This Row],[available time]]*reportTbl[[#This Row],[تعداد نیرو]])</f>
        <v>0</v>
      </c>
      <c r="J43" s="71"/>
      <c r="K43" s="73"/>
      <c r="L43" s="73"/>
      <c r="M43" s="73"/>
      <c r="N43" s="73"/>
      <c r="O43" s="73">
        <v>0</v>
      </c>
      <c r="P43" s="72" t="s">
        <v>1012</v>
      </c>
      <c r="Q43" s="68">
        <f>_xlfn.XLOOKUP(reportTbl[[#This Row],[date]],IIITbl[date],IIITbl[totalCT],0)</f>
        <v>0</v>
      </c>
      <c r="R43" s="68">
        <v>30000</v>
      </c>
    </row>
    <row r="44" spans="1:19" ht="16.5">
      <c r="A44" s="7" t="s">
        <v>252</v>
      </c>
      <c r="B44" s="67" t="s">
        <v>121</v>
      </c>
      <c r="C44" s="68">
        <f>SUMIF(cutts[date],A44,cutts[num])</f>
        <v>0</v>
      </c>
      <c r="D44" s="68"/>
      <c r="E44" s="69">
        <f>SUMIF(packes[date],A44,packes[num])</f>
        <v>0</v>
      </c>
      <c r="F44" s="69">
        <f>SUMIF(packes[date],A44,packes[wPacked])</f>
        <v>0</v>
      </c>
      <c r="G44" s="69"/>
      <c r="H44" s="69">
        <f>reportTbl[[#This Row],[personels]]-reportTbl[[#This Row],[personels]]*2.5/22-0.5</f>
        <v>-0.5</v>
      </c>
      <c r="I44" s="70">
        <f>(reportTbl[[#This Row],[وزن تولید]]*unityCycleTime-reportTbl[[#This Row],[received TimeOut]])/(reportTbl[[#This Row],[available time]]*reportTbl[[#This Row],[تعداد نیرو]])</f>
        <v>0</v>
      </c>
      <c r="J44" s="71"/>
      <c r="K44" s="73"/>
      <c r="L44" s="73"/>
      <c r="M44" s="73"/>
      <c r="N44" s="73"/>
      <c r="O44" s="73">
        <v>0</v>
      </c>
      <c r="P44" s="72" t="s">
        <v>1012</v>
      </c>
      <c r="Q44" s="68">
        <f>_xlfn.XLOOKUP(reportTbl[[#This Row],[date]],IIITbl[date],IIITbl[totalCT],0)</f>
        <v>0</v>
      </c>
      <c r="R44" s="68">
        <v>30000</v>
      </c>
    </row>
    <row r="45" spans="1:19" ht="16.5">
      <c r="A45" s="7" t="s">
        <v>693</v>
      </c>
      <c r="B45" s="67" t="s">
        <v>115</v>
      </c>
      <c r="C45" s="68">
        <f>SUMIF(cutts[date],A45,cutts[num])</f>
        <v>0</v>
      </c>
      <c r="D45" s="68"/>
      <c r="E45" s="69">
        <f>SUMIF(packes[date],A45,packes[num])</f>
        <v>3850</v>
      </c>
      <c r="F45" s="69">
        <f>SUMIF(packes[date],A45,packes[wPacked])</f>
        <v>5089.7934750074819</v>
      </c>
      <c r="G45" s="69" t="s">
        <v>134</v>
      </c>
      <c r="H45" s="69">
        <v>20</v>
      </c>
      <c r="I45" s="70">
        <f>(reportTbl[[#This Row],[وزن تولید]]*unityCycleTime-reportTbl[[#This Row],[received TimeOut]])/(reportTbl[[#This Row],[available time]]*reportTbl[[#This Row],[تعداد نیرو]])</f>
        <v>0.81563940436994897</v>
      </c>
      <c r="J45" s="71" t="s">
        <v>1066</v>
      </c>
      <c r="K45" s="73">
        <v>3000</v>
      </c>
      <c r="L45" s="73">
        <v>0</v>
      </c>
      <c r="M45" s="73">
        <v>0</v>
      </c>
      <c r="N45" s="73">
        <v>0</v>
      </c>
      <c r="O45" s="73">
        <v>1</v>
      </c>
      <c r="P45" s="72" t="s">
        <v>1012</v>
      </c>
      <c r="Q45" s="68">
        <f>_xlfn.XLOOKUP(reportTbl[[#This Row],[date]],IIITbl[date],IIITbl[totalCT],0)</f>
        <v>0</v>
      </c>
      <c r="R45" s="68">
        <v>30000</v>
      </c>
    </row>
    <row r="46" spans="1:19" ht="16.5">
      <c r="A46" s="7" t="s">
        <v>694</v>
      </c>
      <c r="B46" s="67" t="s">
        <v>116</v>
      </c>
      <c r="C46" s="68">
        <f>SUMIF(cutts[date],A46,cutts[num])</f>
        <v>0</v>
      </c>
      <c r="D46" s="68"/>
      <c r="E46" s="69">
        <f>SUMIF(packes[date],A46,packes[num])</f>
        <v>3750</v>
      </c>
      <c r="F46" s="69">
        <f>SUMIF(packes[date],A46,packes[wPacked])</f>
        <v>4957.3181682131089</v>
      </c>
      <c r="G46" s="69" t="s">
        <v>134</v>
      </c>
      <c r="H46" s="69">
        <v>18</v>
      </c>
      <c r="I46" s="70">
        <f>(reportTbl[[#This Row],[وزن تولید]]*unityCycleTime-reportTbl[[#This Row],[received TimeOut]])/(reportTbl[[#This Row],[available time]]*reportTbl[[#This Row],[تعداد نیرو]])</f>
        <v>0.88267804050683418</v>
      </c>
      <c r="J46" s="71"/>
      <c r="K46" s="73">
        <v>1200</v>
      </c>
      <c r="L46" s="73">
        <v>900</v>
      </c>
      <c r="M46" s="73">
        <v>0</v>
      </c>
      <c r="N46" s="73">
        <v>0</v>
      </c>
      <c r="O46" s="73">
        <v>1</v>
      </c>
      <c r="P46" s="72" t="s">
        <v>1012</v>
      </c>
      <c r="Q46" s="68">
        <f>_xlfn.XLOOKUP(reportTbl[[#This Row],[date]],IIITbl[date],IIITbl[totalCT],0)</f>
        <v>0</v>
      </c>
      <c r="R46" s="68">
        <v>30000</v>
      </c>
    </row>
    <row r="47" spans="1:19" ht="16.5">
      <c r="A47" s="7" t="s">
        <v>695</v>
      </c>
      <c r="B47" s="67" t="s">
        <v>117</v>
      </c>
      <c r="C47" s="68">
        <f>SUMIF(cutts[date],A47,cutts[num])</f>
        <v>6000</v>
      </c>
      <c r="D47" s="68"/>
      <c r="E47" s="69">
        <f>SUMIF(packes[date],A47,packes[num])</f>
        <v>3450</v>
      </c>
      <c r="F47" s="69">
        <f>SUMIF(packes[date],A47,packes[wPacked])</f>
        <v>4997.9048189164914</v>
      </c>
      <c r="G47" s="69"/>
      <c r="H47" s="69">
        <v>17</v>
      </c>
      <c r="I47" s="70">
        <f>(reportTbl[[#This Row],[وزن تولید]]*unityCycleTime-reportTbl[[#This Row],[received TimeOut]])/(reportTbl[[#This Row],[available time]]*reportTbl[[#This Row],[تعداد نیرو]])</f>
        <v>0.94225205556631508</v>
      </c>
      <c r="J47" s="71"/>
      <c r="K47" s="73">
        <v>300</v>
      </c>
      <c r="L47" s="73">
        <v>0</v>
      </c>
      <c r="M47" s="73">
        <v>0</v>
      </c>
      <c r="N47" s="73">
        <v>0</v>
      </c>
      <c r="O47" s="73">
        <v>1</v>
      </c>
      <c r="P47" s="72" t="s">
        <v>1012</v>
      </c>
      <c r="Q47" s="68">
        <f>_xlfn.XLOOKUP(reportTbl[[#This Row],[date]],IIITbl[date],IIITbl[totalCT],0)</f>
        <v>0</v>
      </c>
      <c r="R47" s="68">
        <v>30000</v>
      </c>
    </row>
    <row r="48" spans="1:19" ht="16.5">
      <c r="A48" s="7" t="s">
        <v>254</v>
      </c>
      <c r="B48" s="67" t="s">
        <v>118</v>
      </c>
      <c r="C48" s="68">
        <f>SUMIF(cutts[date],A48,cutts[num])</f>
        <v>3000</v>
      </c>
      <c r="D48" s="68"/>
      <c r="E48" s="69">
        <f>SUMIF(packes[date],A48,packes[num])</f>
        <v>4100</v>
      </c>
      <c r="F48" s="69">
        <f>SUMIF(packes[date],A48,packes[wPacked])</f>
        <v>4975.0773221590343</v>
      </c>
      <c r="G48" s="69"/>
      <c r="H48" s="69">
        <v>17</v>
      </c>
      <c r="I48" s="70">
        <f>(reportTbl[[#This Row],[وزن تولید]]*unityCycleTime-reportTbl[[#This Row],[received TimeOut]])/(reportTbl[[#This Row],[available time]]*reportTbl[[#This Row],[تعداد نیرو]])</f>
        <v>0.93794840103057098</v>
      </c>
      <c r="J48" s="71"/>
      <c r="K48" s="73">
        <v>2400</v>
      </c>
      <c r="L48" s="73">
        <v>0</v>
      </c>
      <c r="M48" s="73">
        <v>0</v>
      </c>
      <c r="N48" s="73">
        <v>0</v>
      </c>
      <c r="O48" s="73">
        <v>1</v>
      </c>
      <c r="P48" s="72" t="s">
        <v>1012</v>
      </c>
      <c r="Q48" s="68">
        <f>_xlfn.XLOOKUP(reportTbl[[#This Row],[date]],IIITbl[date],IIITbl[totalCT],0)</f>
        <v>0</v>
      </c>
      <c r="R48" s="68">
        <v>30000</v>
      </c>
    </row>
    <row r="49" spans="1:18" ht="16.5">
      <c r="A49" s="7" t="s">
        <v>280</v>
      </c>
      <c r="B49" s="67" t="s">
        <v>119</v>
      </c>
      <c r="C49" s="68">
        <f>SUMIF(cutts[date],A49,cutts[num])</f>
        <v>1000</v>
      </c>
      <c r="D49" s="68"/>
      <c r="E49" s="69">
        <f>SUMIF(packes[date],A49,packes[num])</f>
        <v>2025</v>
      </c>
      <c r="F49" s="69">
        <f>SUMIF(packes[date],A49,packes[wPacked])</f>
        <v>2307.0263394193353</v>
      </c>
      <c r="G49" s="69"/>
      <c r="H49" s="69">
        <v>17</v>
      </c>
      <c r="I49" s="70">
        <f>(reportTbl[[#This Row],[وزن تولید]]*unityCycleTime-reportTbl[[#This Row],[received TimeOut]])/(reportTbl[[#This Row],[available time]]*reportTbl[[#This Row],[تعداد نیرو]])</f>
        <v>0.43494231869640998</v>
      </c>
      <c r="J49" s="71"/>
      <c r="K49" s="73">
        <v>0</v>
      </c>
      <c r="L49" s="73">
        <v>2400</v>
      </c>
      <c r="M49" s="73">
        <v>0</v>
      </c>
      <c r="N49" s="73">
        <v>0</v>
      </c>
      <c r="O49" s="73">
        <v>1</v>
      </c>
      <c r="P49" s="72" t="s">
        <v>1012</v>
      </c>
      <c r="Q49" s="68">
        <f>_xlfn.XLOOKUP(reportTbl[[#This Row],[date]],IIITbl[date],IIITbl[totalCT],0)</f>
        <v>0</v>
      </c>
      <c r="R49" s="68">
        <v>30000</v>
      </c>
    </row>
    <row r="50" spans="1:18" ht="16.5">
      <c r="A50" s="7" t="s">
        <v>696</v>
      </c>
      <c r="B50" s="67" t="s">
        <v>120</v>
      </c>
      <c r="C50" s="68">
        <f>SUMIF(cutts[date],A50,cutts[num])</f>
        <v>0</v>
      </c>
      <c r="D50" s="68"/>
      <c r="E50" s="69">
        <f>SUMIF(packes[date],A50,packes[num])</f>
        <v>0</v>
      </c>
      <c r="F50" s="69">
        <f>SUMIF(packes[date],A50,packes[wPacked])</f>
        <v>0</v>
      </c>
      <c r="G50" s="69"/>
      <c r="H50" s="69">
        <f>reportTbl[[#This Row],[personels]]-reportTbl[[#This Row],[personels]]*2.5/22-0.5</f>
        <v>-0.5</v>
      </c>
      <c r="I50" s="70">
        <f>(reportTbl[[#This Row],[وزن تولید]]*unityCycleTime-reportTbl[[#This Row],[received TimeOut]])/(reportTbl[[#This Row],[available time]]*reportTbl[[#This Row],[تعداد نیرو]])</f>
        <v>0</v>
      </c>
      <c r="J50" s="71"/>
      <c r="K50" s="73"/>
      <c r="L50" s="73"/>
      <c r="M50" s="73"/>
      <c r="N50" s="73"/>
      <c r="O50" s="73">
        <v>0</v>
      </c>
      <c r="P50" s="72" t="s">
        <v>1012</v>
      </c>
      <c r="Q50" s="68">
        <f>_xlfn.XLOOKUP(reportTbl[[#This Row],[date]],IIITbl[date],IIITbl[totalCT],0)</f>
        <v>0</v>
      </c>
      <c r="R50" s="68">
        <v>30000</v>
      </c>
    </row>
    <row r="51" spans="1:18" ht="16.5">
      <c r="A51" s="7" t="s">
        <v>697</v>
      </c>
      <c r="B51" s="67" t="s">
        <v>121</v>
      </c>
      <c r="C51" s="68">
        <f>SUMIF(cutts[date],A51,cutts[num])</f>
        <v>0</v>
      </c>
      <c r="D51" s="68"/>
      <c r="E51" s="69">
        <f>SUMIF(packes[date],A51,packes[num])</f>
        <v>0</v>
      </c>
      <c r="F51" s="69">
        <f>SUMIF(packes[date],A51,packes[wPacked])</f>
        <v>0</v>
      </c>
      <c r="G51" s="69"/>
      <c r="H51" s="69">
        <f>reportTbl[[#This Row],[personels]]-reportTbl[[#This Row],[personels]]*2.5/22-0.5</f>
        <v>-0.5</v>
      </c>
      <c r="I51" s="70">
        <f>(reportTbl[[#This Row],[وزن تولید]]*unityCycleTime-reportTbl[[#This Row],[received TimeOut]])/(reportTbl[[#This Row],[available time]]*reportTbl[[#This Row],[تعداد نیرو]])</f>
        <v>0</v>
      </c>
      <c r="J51" s="71"/>
      <c r="K51" s="73"/>
      <c r="L51" s="73"/>
      <c r="M51" s="73"/>
      <c r="N51" s="73"/>
      <c r="O51" s="73">
        <v>0</v>
      </c>
      <c r="P51" s="72" t="s">
        <v>1012</v>
      </c>
      <c r="Q51" s="68">
        <f>_xlfn.XLOOKUP(reportTbl[[#This Row],[date]],IIITbl[date],IIITbl[totalCT],0)</f>
        <v>0</v>
      </c>
      <c r="R51" s="68">
        <v>30000</v>
      </c>
    </row>
    <row r="52" spans="1:18" ht="16.5">
      <c r="A52" s="7" t="s">
        <v>698</v>
      </c>
      <c r="B52" s="67" t="s">
        <v>115</v>
      </c>
      <c r="C52" s="68">
        <f>SUMIF(cutts[date],A52,cutts[num])</f>
        <v>3000</v>
      </c>
      <c r="D52" s="68"/>
      <c r="E52" s="69">
        <f>SUMIF(packes[date],A52,packes[num])</f>
        <v>2175</v>
      </c>
      <c r="F52" s="69">
        <f>SUMIF(packes[date],A52,packes[wPacked])</f>
        <v>2535.5656988925471</v>
      </c>
      <c r="G52" s="69"/>
      <c r="H52" s="69">
        <v>24</v>
      </c>
      <c r="I52" s="70">
        <f>(reportTbl[[#This Row],[وزن تولید]]*unityCycleTime-reportTbl[[#This Row],[received TimeOut]])/(reportTbl[[#This Row],[available time]]*reportTbl[[#This Row],[تعداد نیرو]])</f>
        <v>0.24569653048405332</v>
      </c>
      <c r="J52" s="71" t="s">
        <v>1092</v>
      </c>
      <c r="K52" s="73">
        <v>2700</v>
      </c>
      <c r="L52" s="73">
        <v>0</v>
      </c>
      <c r="M52" s="73">
        <v>0</v>
      </c>
      <c r="N52" s="73">
        <v>0</v>
      </c>
      <c r="O52" s="73">
        <v>1</v>
      </c>
      <c r="P52" s="72" t="s">
        <v>1012</v>
      </c>
      <c r="Q52" s="68">
        <f>_xlfn.XLOOKUP(reportTbl[[#This Row],[date]],IIITbl[date],IIITbl[totalCT],0)</f>
        <v>66893.14</v>
      </c>
      <c r="R52" s="68">
        <v>30000</v>
      </c>
    </row>
    <row r="53" spans="1:18" ht="16.5">
      <c r="A53" s="7" t="s">
        <v>281</v>
      </c>
      <c r="B53" s="67" t="s">
        <v>116</v>
      </c>
      <c r="C53" s="68">
        <f>SUMIF(cutts[date],A53,cutts[num])</f>
        <v>8400</v>
      </c>
      <c r="D53" s="68"/>
      <c r="E53" s="69">
        <f>SUMIF(packes[date],A53,packes[num])</f>
        <v>4250</v>
      </c>
      <c r="F53" s="69">
        <f>SUMIF(packes[date],A53,packes[wPacked])</f>
        <v>5400.4788985333726</v>
      </c>
      <c r="G53" s="69"/>
      <c r="H53" s="69">
        <v>24</v>
      </c>
      <c r="I53" s="70">
        <f>(reportTbl[[#This Row],[وزن تولید]]*unityCycleTime-reportTbl[[#This Row],[received TimeOut]])/(reportTbl[[#This Row],[available time]]*reportTbl[[#This Row],[تعداد نیرو]])</f>
        <v>0.72118895290831087</v>
      </c>
      <c r="J53" s="71" t="s">
        <v>1096</v>
      </c>
      <c r="K53" s="73">
        <v>3000</v>
      </c>
      <c r="L53" s="73">
        <v>900</v>
      </c>
      <c r="M53" s="73">
        <v>0</v>
      </c>
      <c r="N53" s="73">
        <v>2000</v>
      </c>
      <c r="O53" s="73">
        <v>1</v>
      </c>
      <c r="P53" s="72" t="s">
        <v>1012</v>
      </c>
      <c r="Q53" s="68">
        <f>_xlfn.XLOOKUP(reportTbl[[#This Row],[date]],IIITbl[date],IIITbl[totalCT],0)</f>
        <v>0</v>
      </c>
      <c r="R53" s="68">
        <v>30000</v>
      </c>
    </row>
    <row r="54" spans="1:18" ht="16.5">
      <c r="A54" s="7" t="s">
        <v>255</v>
      </c>
      <c r="B54" s="67" t="s">
        <v>117</v>
      </c>
      <c r="C54" s="68">
        <f>SUMIF(cutts[date],A54,cutts[num])</f>
        <v>11000</v>
      </c>
      <c r="D54" s="68"/>
      <c r="E54" s="69">
        <f>SUMIF(packes[date],A54,packes[num])</f>
        <v>3975</v>
      </c>
      <c r="F54" s="69">
        <f>SUMIF(packes[date],A54,packes[wPacked])</f>
        <v>5243.3902025341704</v>
      </c>
      <c r="G54" s="69"/>
      <c r="H54" s="69">
        <v>24</v>
      </c>
      <c r="I54" s="70">
        <f>(reportTbl[[#This Row],[وزن تولید]]*unityCycleTime-reportTbl[[#This Row],[received TimeOut]])/(reportTbl[[#This Row],[available time]]*reportTbl[[#This Row],[تعداد نیرو]])</f>
        <v>0.70021106663008403</v>
      </c>
      <c r="J54" s="71" t="s">
        <v>1093</v>
      </c>
      <c r="K54" s="73">
        <v>3000</v>
      </c>
      <c r="L54" s="73">
        <v>0</v>
      </c>
      <c r="M54" s="73">
        <v>0</v>
      </c>
      <c r="N54" s="73">
        <v>1300</v>
      </c>
      <c r="O54" s="73">
        <v>1</v>
      </c>
      <c r="P54" s="72" t="s">
        <v>1012</v>
      </c>
      <c r="Q54" s="68">
        <f>_xlfn.XLOOKUP(reportTbl[[#This Row],[date]],IIITbl[date],IIITbl[totalCT],0)</f>
        <v>0</v>
      </c>
      <c r="R54" s="68">
        <v>30000</v>
      </c>
    </row>
    <row r="55" spans="1:18" ht="16.5">
      <c r="A55" s="7" t="s">
        <v>699</v>
      </c>
      <c r="B55" s="67" t="s">
        <v>118</v>
      </c>
      <c r="C55" s="68">
        <f>SUMIF(cutts[date],A55,cutts[num])</f>
        <v>13400</v>
      </c>
      <c r="D55" s="68"/>
      <c r="E55" s="69">
        <f>SUMIF(packes[date],A55,packes[num])</f>
        <v>4173</v>
      </c>
      <c r="F55" s="69">
        <f>SUMIF(packes[date],A55,packes[wPacked])</f>
        <v>5135.7402973161725</v>
      </c>
      <c r="G55" s="69"/>
      <c r="H55" s="69">
        <v>24</v>
      </c>
      <c r="I55" s="70">
        <f>(reportTbl[[#This Row],[وزن تولید]]*unityCycleTime-reportTbl[[#This Row],[received TimeOut]])/(reportTbl[[#This Row],[available time]]*reportTbl[[#This Row],[تعداد نیرو]])</f>
        <v>0.68583531887076388</v>
      </c>
      <c r="J55" s="71" t="s">
        <v>1094</v>
      </c>
      <c r="K55" s="73">
        <v>2700</v>
      </c>
      <c r="L55" s="73">
        <v>1500</v>
      </c>
      <c r="M55" s="73">
        <v>0</v>
      </c>
      <c r="N55" s="73">
        <v>2600</v>
      </c>
      <c r="O55" s="73">
        <v>1</v>
      </c>
      <c r="P55" s="72" t="s">
        <v>1012</v>
      </c>
      <c r="Q55" s="68">
        <f>_xlfn.XLOOKUP(reportTbl[[#This Row],[date]],IIITbl[date],IIITbl[totalCT],0)</f>
        <v>0</v>
      </c>
      <c r="R55" s="68">
        <v>30000</v>
      </c>
    </row>
    <row r="56" spans="1:18" ht="16.5">
      <c r="A56" s="7" t="s">
        <v>700</v>
      </c>
      <c r="B56" s="67" t="s">
        <v>119</v>
      </c>
      <c r="C56" s="68">
        <f>SUMIF(cutts[date],A56,cutts[num])</f>
        <v>3200</v>
      </c>
      <c r="D56" s="68"/>
      <c r="E56" s="69">
        <f>SUMIF(packes[date],A56,packes[num])</f>
        <v>3825</v>
      </c>
      <c r="F56" s="69">
        <f>SUMIF(packes[date],A56,packes[wPacked])</f>
        <v>4553.2774618377734</v>
      </c>
      <c r="G56" s="69"/>
      <c r="H56" s="69">
        <v>24</v>
      </c>
      <c r="I56" s="70">
        <f>(reportTbl[[#This Row],[وزن تولید]]*unityCycleTime-reportTbl[[#This Row],[received TimeOut]])/(reportTbl[[#This Row],[available time]]*reportTbl[[#This Row],[تعداد نیرو]])</f>
        <v>0.6080522610495861</v>
      </c>
      <c r="J56" s="71" t="s">
        <v>1095</v>
      </c>
      <c r="K56" s="73">
        <v>2900</v>
      </c>
      <c r="L56" s="73">
        <v>300</v>
      </c>
      <c r="M56" s="73">
        <v>0</v>
      </c>
      <c r="N56" s="73">
        <v>2800</v>
      </c>
      <c r="O56" s="73">
        <v>1</v>
      </c>
      <c r="P56" s="72" t="s">
        <v>1012</v>
      </c>
      <c r="Q56" s="68">
        <f>_xlfn.XLOOKUP(reportTbl[[#This Row],[date]],IIITbl[date],IIITbl[totalCT],0)</f>
        <v>0</v>
      </c>
      <c r="R56" s="68">
        <v>30000</v>
      </c>
    </row>
    <row r="57" spans="1:18" ht="16.5">
      <c r="A57" s="7" t="s">
        <v>701</v>
      </c>
      <c r="B57" s="67" t="s">
        <v>120</v>
      </c>
      <c r="C57" s="68">
        <f>SUMIF(cutts[date],A57,cutts[num])</f>
        <v>14100</v>
      </c>
      <c r="D57" s="68"/>
      <c r="E57" s="69">
        <f>SUMIF(packes[date],A57,packes[num])</f>
        <v>2875</v>
      </c>
      <c r="F57" s="69">
        <f>SUMIF(packes[date],A57,packes[wPacked])</f>
        <v>3461.2890352189961</v>
      </c>
      <c r="G57" s="69"/>
      <c r="H57" s="69">
        <v>29</v>
      </c>
      <c r="I57" s="70">
        <f>(reportTbl[[#This Row],[وزن تولید]]*unityCycleTime-reportTbl[[#This Row],[received TimeOut]])/(reportTbl[[#This Row],[available time]]*reportTbl[[#This Row],[تعداد نیرو]])</f>
        <v>0.38253211578885804</v>
      </c>
      <c r="J57" s="71"/>
      <c r="K57" s="73"/>
      <c r="L57" s="73"/>
      <c r="M57" s="73"/>
      <c r="N57" s="73"/>
      <c r="O57" s="73">
        <v>0</v>
      </c>
      <c r="P57" s="72" t="s">
        <v>1012</v>
      </c>
      <c r="Q57" s="68">
        <f>_xlfn.XLOOKUP(reportTbl[[#This Row],[date]],IIITbl[date],IIITbl[totalCT],0)</f>
        <v>0</v>
      </c>
      <c r="R57" s="68">
        <v>30000</v>
      </c>
    </row>
    <row r="58" spans="1:18" ht="16.5">
      <c r="A58" s="7" t="s">
        <v>702</v>
      </c>
      <c r="B58" s="67" t="s">
        <v>121</v>
      </c>
      <c r="C58" s="68">
        <f>SUMIF(cutts[date],A58,cutts[num])</f>
        <v>0</v>
      </c>
      <c r="D58" s="68"/>
      <c r="E58" s="69">
        <f>SUMIF(packes[date],A58,packes[num])</f>
        <v>0</v>
      </c>
      <c r="F58" s="69">
        <f>SUMIF(packes[date],A58,packes[wPacked])</f>
        <v>0</v>
      </c>
      <c r="G58" s="69"/>
      <c r="H58" s="69">
        <f>reportTbl[[#This Row],[personels]]-reportTbl[[#This Row],[personels]]*2.5/22-0.5</f>
        <v>-0.5</v>
      </c>
      <c r="I58" s="70">
        <f>(reportTbl[[#This Row],[وزن تولید]]*unityCycleTime-reportTbl[[#This Row],[received TimeOut]])/(reportTbl[[#This Row],[available time]]*reportTbl[[#This Row],[تعداد نیرو]])</f>
        <v>0</v>
      </c>
      <c r="J58" s="71"/>
      <c r="K58" s="73"/>
      <c r="L58" s="73"/>
      <c r="M58" s="73"/>
      <c r="N58" s="73"/>
      <c r="O58" s="73">
        <v>0</v>
      </c>
      <c r="P58" s="72" t="s">
        <v>1012</v>
      </c>
      <c r="Q58" s="68">
        <f>_xlfn.XLOOKUP(reportTbl[[#This Row],[date]],IIITbl[date],IIITbl[totalCT],0)</f>
        <v>0</v>
      </c>
      <c r="R58" s="68">
        <v>30000</v>
      </c>
    </row>
    <row r="59" spans="1:18" ht="16.5">
      <c r="A59" s="7" t="s">
        <v>703</v>
      </c>
      <c r="B59" s="67" t="s">
        <v>115</v>
      </c>
      <c r="C59" s="68">
        <f>SUMIF(cutts[date],A59,cutts[num])</f>
        <v>7910</v>
      </c>
      <c r="D59" s="68"/>
      <c r="E59" s="69">
        <f>SUMIF(packes[date],A59,packes[num])</f>
        <v>3800</v>
      </c>
      <c r="F59" s="69">
        <f>SUMIF(packes[date],A59,packes[wPacked])</f>
        <v>4572.6788386710559</v>
      </c>
      <c r="G59" s="69"/>
      <c r="H59" s="69">
        <v>27</v>
      </c>
      <c r="I59" s="70">
        <f>(reportTbl[[#This Row],[وزن تولید]]*unityCycleTime-reportTbl[[#This Row],[received TimeOut]])/(reportTbl[[#This Row],[available time]]*reportTbl[[#This Row],[تعداد نیرو]])</f>
        <v>0.54279391399780508</v>
      </c>
      <c r="J59" s="71"/>
      <c r="K59" s="73">
        <v>3000</v>
      </c>
      <c r="L59" s="73">
        <v>2650</v>
      </c>
      <c r="M59" s="73">
        <v>0</v>
      </c>
      <c r="N59" s="73">
        <v>2400</v>
      </c>
      <c r="O59" s="73">
        <v>1</v>
      </c>
      <c r="P59" s="72" t="s">
        <v>1012</v>
      </c>
      <c r="Q59" s="68">
        <f>_xlfn.XLOOKUP(reportTbl[[#This Row],[date]],IIITbl[date],IIITbl[totalCT],0)</f>
        <v>0</v>
      </c>
      <c r="R59" s="68">
        <v>30000</v>
      </c>
    </row>
    <row r="60" spans="1:18" ht="16.5">
      <c r="A60" s="7" t="s">
        <v>704</v>
      </c>
      <c r="B60" s="67" t="s">
        <v>116</v>
      </c>
      <c r="C60" s="68">
        <f>SUMIF(cutts[date],A60,cutts[num])</f>
        <v>9700</v>
      </c>
      <c r="D60" s="68"/>
      <c r="E60" s="69">
        <f>SUMIF(packes[date],A60,packes[num])</f>
        <v>4550</v>
      </c>
      <c r="F60" s="69">
        <f>SUMIF(packes[date],A60,packes[wPacked])</f>
        <v>5532.7152549136981</v>
      </c>
      <c r="G60" s="69"/>
      <c r="H60" s="69">
        <v>26</v>
      </c>
      <c r="I60" s="70">
        <f>(reportTbl[[#This Row],[وزن تولید]]*unityCycleTime-reportTbl[[#This Row],[received TimeOut]])/(reportTbl[[#This Row],[available time]]*reportTbl[[#This Row],[تعداد نیرو]])</f>
        <v>0.6820135535384001</v>
      </c>
      <c r="J60" s="71"/>
      <c r="K60" s="73">
        <v>2600</v>
      </c>
      <c r="L60" s="73">
        <v>2100</v>
      </c>
      <c r="M60" s="73">
        <v>0</v>
      </c>
      <c r="N60" s="73">
        <v>2400</v>
      </c>
      <c r="O60" s="73">
        <v>1</v>
      </c>
      <c r="P60" s="72" t="s">
        <v>1012</v>
      </c>
      <c r="Q60" s="68">
        <f>_xlfn.XLOOKUP(reportTbl[[#This Row],[date]],IIITbl[date],IIITbl[totalCT],0)</f>
        <v>0</v>
      </c>
      <c r="R60" s="68">
        <v>30000</v>
      </c>
    </row>
    <row r="61" spans="1:18" ht="16.5">
      <c r="A61" s="7" t="s">
        <v>705</v>
      </c>
      <c r="B61" s="67" t="s">
        <v>117</v>
      </c>
      <c r="C61" s="68">
        <f>SUMIF(cutts[date],A61,cutts[num])</f>
        <v>0</v>
      </c>
      <c r="D61" s="68"/>
      <c r="E61" s="69">
        <f>SUMIF(packes[date],A61,packes[num])</f>
        <v>5300</v>
      </c>
      <c r="F61" s="69">
        <f>SUMIF(packes[date],A61,packes[wPacked])</f>
        <v>6172.9921181283044</v>
      </c>
      <c r="G61" s="69"/>
      <c r="H61" s="69">
        <v>27</v>
      </c>
      <c r="I61" s="70">
        <f>(reportTbl[[#This Row],[وزن تولید]]*unityCycleTime-reportTbl[[#This Row],[received TimeOut]])/(reportTbl[[#This Row],[available time]]*reportTbl[[#This Row],[تعداد نیرو]])</f>
        <v>0.73275702735560067</v>
      </c>
      <c r="J61" s="71"/>
      <c r="K61" s="73">
        <v>1200</v>
      </c>
      <c r="L61" s="73">
        <v>1800</v>
      </c>
      <c r="M61" s="73">
        <v>0</v>
      </c>
      <c r="N61" s="73">
        <v>2200</v>
      </c>
      <c r="O61" s="73">
        <v>1</v>
      </c>
      <c r="P61" s="72" t="s">
        <v>1012</v>
      </c>
      <c r="Q61" s="68">
        <f>_xlfn.XLOOKUP(reportTbl[[#This Row],[date]],IIITbl[date],IIITbl[totalCT],0)</f>
        <v>0</v>
      </c>
      <c r="R61" s="68">
        <v>30000</v>
      </c>
    </row>
    <row r="62" spans="1:18" ht="16.5">
      <c r="A62" s="7" t="s">
        <v>706</v>
      </c>
      <c r="B62" s="67" t="s">
        <v>118</v>
      </c>
      <c r="C62" s="68">
        <f>SUMIF(cutts[date],A62,cutts[num])</f>
        <v>6000</v>
      </c>
      <c r="D62" s="68"/>
      <c r="E62" s="69">
        <f>SUMIF(packes[date],A62,packes[num])</f>
        <v>4350</v>
      </c>
      <c r="F62" s="69">
        <f>SUMIF(packes[date],A62,packes[wPacked])</f>
        <v>5427.0472912301702</v>
      </c>
      <c r="G62" s="69"/>
      <c r="H62" s="69">
        <v>28</v>
      </c>
      <c r="I62" s="70">
        <f>(reportTbl[[#This Row],[وزن تولید]]*unityCycleTime-reportTbl[[#This Row],[received TimeOut]])/(reportTbl[[#This Row],[available time]]*reportTbl[[#This Row],[تعداد نیرو]])</f>
        <v>0.62120309172831056</v>
      </c>
      <c r="J62" s="71"/>
      <c r="K62" s="73">
        <v>3000</v>
      </c>
      <c r="L62" s="73">
        <v>2900</v>
      </c>
      <c r="M62" s="73">
        <v>0</v>
      </c>
      <c r="N62" s="73">
        <v>2200</v>
      </c>
      <c r="O62" s="73">
        <v>1</v>
      </c>
      <c r="P62" s="72" t="s">
        <v>1012</v>
      </c>
      <c r="Q62" s="68">
        <f>_xlfn.XLOOKUP(reportTbl[[#This Row],[date]],IIITbl[date],IIITbl[totalCT],0)</f>
        <v>0</v>
      </c>
      <c r="R62" s="68">
        <v>30000</v>
      </c>
    </row>
    <row r="63" spans="1:18" ht="16.5">
      <c r="A63" s="7" t="s">
        <v>707</v>
      </c>
      <c r="B63" s="67" t="s">
        <v>119</v>
      </c>
      <c r="C63" s="68">
        <f>SUMIF(cutts[date],A63,cutts[num])</f>
        <v>6300</v>
      </c>
      <c r="D63" s="68"/>
      <c r="E63" s="69">
        <f>SUMIF(packes[date],A63,packes[num])</f>
        <v>7275</v>
      </c>
      <c r="F63" s="69">
        <f>SUMIF(packes[date],A63,packes[wPacked])</f>
        <v>8550.8724932654877</v>
      </c>
      <c r="G63" s="69"/>
      <c r="H63" s="69">
        <v>28</v>
      </c>
      <c r="I63" s="70">
        <f>(reportTbl[[#This Row],[وزن تولید]]*unityCycleTime-reportTbl[[#This Row],[received TimeOut]])/(reportTbl[[#This Row],[available time]]*reportTbl[[#This Row],[تعداد نیرو]])</f>
        <v>0.92787665503271033</v>
      </c>
      <c r="J63" s="71"/>
      <c r="K63" s="73">
        <v>2400</v>
      </c>
      <c r="L63" s="73">
        <v>2400</v>
      </c>
      <c r="M63" s="73">
        <v>0</v>
      </c>
      <c r="N63" s="73">
        <v>3200</v>
      </c>
      <c r="O63" s="73">
        <v>0</v>
      </c>
      <c r="P63" s="72" t="s">
        <v>1012</v>
      </c>
      <c r="Q63" s="68">
        <f>_xlfn.XLOOKUP(reportTbl[[#This Row],[date]],IIITbl[date],IIITbl[totalCT],0)</f>
        <v>42750</v>
      </c>
      <c r="R63" s="68">
        <v>30000</v>
      </c>
    </row>
    <row r="64" spans="1:18" ht="16.5">
      <c r="A64" s="7" t="s">
        <v>708</v>
      </c>
      <c r="B64" s="67" t="s">
        <v>120</v>
      </c>
      <c r="C64" s="68">
        <f>SUMIF(cutts[date],A64,cutts[num])</f>
        <v>4218</v>
      </c>
      <c r="D64" s="68"/>
      <c r="E64" s="69">
        <f>SUMIF(packes[date],A64,packes[num])</f>
        <v>3825</v>
      </c>
      <c r="F64" s="69">
        <f>SUMIF(packes[date],A64,packes[wPacked])</f>
        <v>4578.6062057268282</v>
      </c>
      <c r="G64" s="69"/>
      <c r="H64" s="69">
        <f>reportTbl[[#This Row],[personels]]-reportTbl[[#This Row],[personels]]*2.5/22-0.5</f>
        <v>-0.5</v>
      </c>
      <c r="I64" s="70">
        <f>(reportTbl[[#This Row],[وزن تولید]]*unityCycleTime-reportTbl[[#This Row],[received TimeOut]])/(reportTbl[[#This Row],[available time]]*reportTbl[[#This Row],[تعداد نیرو]])</f>
        <v>-29.348865778708969</v>
      </c>
      <c r="J64" s="71"/>
      <c r="K64" s="73"/>
      <c r="L64" s="73"/>
      <c r="M64" s="73"/>
      <c r="N64" s="73"/>
      <c r="O64" s="73">
        <v>0</v>
      </c>
      <c r="P64" s="72" t="s">
        <v>1013</v>
      </c>
      <c r="Q64" s="68">
        <f>_xlfn.XLOOKUP(reportTbl[[#This Row],[date]],IIITbl[date],IIITbl[totalCT],0)</f>
        <v>0</v>
      </c>
      <c r="R64" s="68">
        <v>30000</v>
      </c>
    </row>
    <row r="65" spans="1:18" ht="16.5">
      <c r="A65" s="7" t="s">
        <v>709</v>
      </c>
      <c r="B65" s="67" t="s">
        <v>121</v>
      </c>
      <c r="C65" s="68">
        <f>SUMIF(cutts[date],A65,cutts[num])</f>
        <v>13000</v>
      </c>
      <c r="D65" s="68"/>
      <c r="E65" s="69">
        <f>SUMIF(packes[date],A65,packes[num])</f>
        <v>0</v>
      </c>
      <c r="F65" s="69">
        <f>SUMIF(packes[date],A65,packes[wPacked])</f>
        <v>0</v>
      </c>
      <c r="G65" s="69"/>
      <c r="H65" s="69">
        <f>reportTbl[[#This Row],[personels]]-reportTbl[[#This Row],[personels]]*2.5/22-0.5</f>
        <v>-0.5</v>
      </c>
      <c r="I65" s="70">
        <f>(reportTbl[[#This Row],[وزن تولید]]*unityCycleTime-reportTbl[[#This Row],[received TimeOut]])/(reportTbl[[#This Row],[available time]]*reportTbl[[#This Row],[تعداد نیرو]])</f>
        <v>0</v>
      </c>
      <c r="J65" s="71"/>
      <c r="K65" s="73"/>
      <c r="L65" s="73"/>
      <c r="M65" s="73"/>
      <c r="N65" s="73"/>
      <c r="O65" s="73">
        <v>0</v>
      </c>
      <c r="P65" s="72" t="s">
        <v>1013</v>
      </c>
      <c r="Q65" s="68">
        <f>_xlfn.XLOOKUP(reportTbl[[#This Row],[date]],IIITbl[date],IIITbl[totalCT],0)</f>
        <v>0</v>
      </c>
      <c r="R65" s="68">
        <v>30000</v>
      </c>
    </row>
    <row r="66" spans="1:18" ht="16.5">
      <c r="A66" s="7" t="s">
        <v>710</v>
      </c>
      <c r="B66" s="67" t="s">
        <v>115</v>
      </c>
      <c r="C66" s="68">
        <f>SUMIF(cutts[date],A66,cutts[num])</f>
        <v>9500</v>
      </c>
      <c r="D66" s="68"/>
      <c r="E66" s="69">
        <f>SUMIF(packes[date],A66,packes[num])</f>
        <v>9025</v>
      </c>
      <c r="F66" s="69">
        <f>SUMIF(packes[date],A66,packes[wPacked])</f>
        <v>10727.410455951311</v>
      </c>
      <c r="G66" s="69">
        <v>44</v>
      </c>
      <c r="H66" s="69">
        <f>reportTbl[[#This Row],[personels]]-reportTbl[[#This Row],[personels]]*2.5/22-0.5</f>
        <v>38.5</v>
      </c>
      <c r="I66" s="70">
        <f>(reportTbl[[#This Row],[وزن تولید]]*unityCycleTime-reportTbl[[#This Row],[received TimeOut]])/(reportTbl[[#This Row],[available time]]*reportTbl[[#This Row],[تعداد نیرو]])</f>
        <v>0.83133377951490783</v>
      </c>
      <c r="J66" s="71" t="s">
        <v>1152</v>
      </c>
      <c r="K66" s="73">
        <v>2700</v>
      </c>
      <c r="L66" s="73">
        <v>300</v>
      </c>
      <c r="M66" s="73">
        <v>0</v>
      </c>
      <c r="N66" s="73">
        <v>2200</v>
      </c>
      <c r="O66" s="73">
        <v>1</v>
      </c>
      <c r="P66" s="72" t="s">
        <v>1013</v>
      </c>
      <c r="Q66" s="68">
        <f>_xlfn.XLOOKUP(reportTbl[[#This Row],[date]],IIITbl[date],IIITbl[totalCT],0)</f>
        <v>71250</v>
      </c>
      <c r="R66" s="68">
        <v>30000</v>
      </c>
    </row>
    <row r="67" spans="1:18" ht="16.5">
      <c r="A67" s="7" t="s">
        <v>711</v>
      </c>
      <c r="B67" s="67" t="s">
        <v>116</v>
      </c>
      <c r="C67" s="68">
        <f>SUMIF(cutts[date],A67,cutts[num])</f>
        <v>14163</v>
      </c>
      <c r="D67" s="68"/>
      <c r="E67" s="69">
        <f>SUMIF(packes[date],A67,packes[num])</f>
        <v>7515</v>
      </c>
      <c r="F67" s="69">
        <f>SUMIF(packes[date],A67,packes[wPacked])</f>
        <v>9103.88057467824</v>
      </c>
      <c r="G67" s="69">
        <v>44</v>
      </c>
      <c r="H67" s="69">
        <f>reportTbl[[#This Row],[personels]]-reportTbl[[#This Row],[personels]]*2.5/22-0.5</f>
        <v>38.5</v>
      </c>
      <c r="I67" s="70">
        <f>(reportTbl[[#This Row],[وزن تولید]]*unityCycleTime-reportTbl[[#This Row],[received TimeOut]])/(reportTbl[[#This Row],[available time]]*reportTbl[[#This Row],[تعداد نیرو]])</f>
        <v>0.75786849978814963</v>
      </c>
      <c r="J67" s="71"/>
      <c r="K67" s="73">
        <v>3500</v>
      </c>
      <c r="L67" s="73">
        <v>2700</v>
      </c>
      <c r="M67" s="73">
        <v>0</v>
      </c>
      <c r="N67" s="73">
        <v>2200</v>
      </c>
      <c r="O67" s="73">
        <v>1</v>
      </c>
      <c r="P67" s="72" t="s">
        <v>1013</v>
      </c>
      <c r="Q67" s="68">
        <f>_xlfn.XLOOKUP(reportTbl[[#This Row],[date]],IIITbl[date],IIITbl[totalCT],0)</f>
        <v>0</v>
      </c>
      <c r="R67" s="68">
        <v>30000</v>
      </c>
    </row>
    <row r="68" spans="1:18" ht="16.5">
      <c r="A68" s="7" t="s">
        <v>712</v>
      </c>
      <c r="B68" s="67" t="s">
        <v>117</v>
      </c>
      <c r="C68" s="68">
        <f>SUMIF(cutts[date],A68,cutts[num])</f>
        <v>6000</v>
      </c>
      <c r="D68" s="68"/>
      <c r="E68" s="69">
        <f>SUMIF(packes[date],A68,packes[num])</f>
        <v>7610</v>
      </c>
      <c r="F68" s="69">
        <f>SUMIF(packes[date],A68,packes[wPacked])</f>
        <v>9320.3686521001691</v>
      </c>
      <c r="G68" s="69">
        <v>44</v>
      </c>
      <c r="H68" s="69">
        <f>reportTbl[[#This Row],[personels]]-reportTbl[[#This Row],[personels]]*2.5/22-0.5</f>
        <v>38.5</v>
      </c>
      <c r="I68" s="70">
        <f>(reportTbl[[#This Row],[وزن تولید]]*unityCycleTime-reportTbl[[#This Row],[received TimeOut]])/(reportTbl[[#This Row],[available time]]*reportTbl[[#This Row],[تعداد نیرو]])</f>
        <v>0.75121510467483232</v>
      </c>
      <c r="J68" s="71"/>
      <c r="K68" s="73">
        <v>3600</v>
      </c>
      <c r="L68" s="73">
        <v>3400</v>
      </c>
      <c r="M68" s="73">
        <v>1900</v>
      </c>
      <c r="N68" s="73">
        <v>2300</v>
      </c>
      <c r="O68" s="73">
        <v>1</v>
      </c>
      <c r="P68" s="72" t="s">
        <v>1013</v>
      </c>
      <c r="Q68" s="68">
        <f>_xlfn.XLOOKUP(reportTbl[[#This Row],[date]],IIITbl[date],IIITbl[totalCT],0)</f>
        <v>28500</v>
      </c>
      <c r="R68" s="68">
        <v>30000</v>
      </c>
    </row>
    <row r="69" spans="1:18" ht="16.5">
      <c r="A69" s="7" t="s">
        <v>713</v>
      </c>
      <c r="B69" s="67" t="s">
        <v>118</v>
      </c>
      <c r="C69" s="68">
        <f>SUMIF(cutts[date],A69,cutts[num])</f>
        <v>5700</v>
      </c>
      <c r="D69" s="68"/>
      <c r="E69" s="69">
        <f>SUMIF(packes[date],A69,packes[num])</f>
        <v>9435</v>
      </c>
      <c r="F69" s="69">
        <f>SUMIF(packes[date],A69,packes[wPacked])</f>
        <v>11903.973860121721</v>
      </c>
      <c r="G69" s="69">
        <v>44</v>
      </c>
      <c r="H69" s="69">
        <f>reportTbl[[#This Row],[personels]]-reportTbl[[#This Row],[personels]]*2.5/22-0.5</f>
        <v>38.5</v>
      </c>
      <c r="I69" s="70">
        <f>(reportTbl[[#This Row],[وزن تولید]]*unityCycleTime-reportTbl[[#This Row],[received TimeOut]])/(reportTbl[[#This Row],[available time]]*reportTbl[[#This Row],[تعداد نیرو]])</f>
        <v>0.99096717458935368</v>
      </c>
      <c r="J69" s="71" t="s">
        <v>1148</v>
      </c>
      <c r="K69" s="73">
        <v>2700</v>
      </c>
      <c r="L69" s="73">
        <v>3000</v>
      </c>
      <c r="M69" s="73">
        <v>2400</v>
      </c>
      <c r="N69" s="73">
        <v>500</v>
      </c>
      <c r="O69" s="73">
        <v>1</v>
      </c>
      <c r="P69" s="72" t="s">
        <v>1013</v>
      </c>
      <c r="Q69" s="68">
        <f>_xlfn.XLOOKUP(reportTbl[[#This Row],[date]],IIITbl[date],IIITbl[totalCT],0)</f>
        <v>0</v>
      </c>
      <c r="R69" s="68">
        <v>30000</v>
      </c>
    </row>
    <row r="70" spans="1:18" ht="16.5">
      <c r="A70" s="7" t="s">
        <v>714</v>
      </c>
      <c r="B70" s="67" t="s">
        <v>119</v>
      </c>
      <c r="C70" s="68">
        <f>SUMIF(cutts[date],A70,cutts[num])</f>
        <v>9500</v>
      </c>
      <c r="D70" s="68"/>
      <c r="E70" s="69">
        <f>SUMIF(packes[date],A70,packes[num])</f>
        <v>10525</v>
      </c>
      <c r="F70" s="69">
        <f>SUMIF(packes[date],A70,packes[wPacked])</f>
        <v>12724.697695300809</v>
      </c>
      <c r="G70" s="69">
        <v>44</v>
      </c>
      <c r="H70" s="69">
        <f>reportTbl[[#This Row],[personels]]-reportTbl[[#This Row],[personels]]*2.5/22-0.5</f>
        <v>38.5</v>
      </c>
      <c r="I70" s="70">
        <f>(reportTbl[[#This Row],[وزن تولید]]*unityCycleTime-reportTbl[[#This Row],[received TimeOut]])/(reportTbl[[#This Row],[available time]]*reportTbl[[#This Row],[تعداد نیرو]])</f>
        <v>1.0034508081412752</v>
      </c>
      <c r="J70" s="71"/>
      <c r="K70" s="73">
        <v>2700</v>
      </c>
      <c r="L70" s="73">
        <v>2400</v>
      </c>
      <c r="M70" s="73">
        <v>0</v>
      </c>
      <c r="N70" s="73">
        <v>2500</v>
      </c>
      <c r="O70" s="73">
        <v>1</v>
      </c>
      <c r="P70" s="72" t="s">
        <v>1013</v>
      </c>
      <c r="Q70" s="68">
        <f>_xlfn.XLOOKUP(reportTbl[[#This Row],[date]],IIITbl[date],IIITbl[totalCT],0)</f>
        <v>64494</v>
      </c>
      <c r="R70" s="68">
        <v>30000</v>
      </c>
    </row>
    <row r="71" spans="1:18" ht="16.5">
      <c r="A71" s="7" t="s">
        <v>715</v>
      </c>
      <c r="B71" s="67" t="s">
        <v>120</v>
      </c>
      <c r="C71" s="68">
        <f>SUMIF(cutts[date],A71,cutts[num])</f>
        <v>0</v>
      </c>
      <c r="D71" s="68"/>
      <c r="E71" s="69">
        <f>SUMIF(packes[date],A71,packes[num])</f>
        <v>0</v>
      </c>
      <c r="F71" s="69">
        <f>SUMIF(packes[date],A71,packes[wPacked])</f>
        <v>0</v>
      </c>
      <c r="G71" s="69"/>
      <c r="H71" s="69">
        <f>reportTbl[[#This Row],[personels]]-reportTbl[[#This Row],[personels]]*2.5/22-0.5</f>
        <v>-0.5</v>
      </c>
      <c r="I71" s="70">
        <f>(reportTbl[[#This Row],[وزن تولید]]*unityCycleTime-reportTbl[[#This Row],[received TimeOut]])/(reportTbl[[#This Row],[available time]]*reportTbl[[#This Row],[تعداد نیرو]])</f>
        <v>0</v>
      </c>
      <c r="J71" s="71"/>
      <c r="K71" s="73"/>
      <c r="L71" s="73"/>
      <c r="M71" s="73"/>
      <c r="N71" s="73"/>
      <c r="O71" s="73">
        <v>0</v>
      </c>
      <c r="P71" s="72" t="s">
        <v>1013</v>
      </c>
      <c r="Q71" s="68">
        <f>_xlfn.XLOOKUP(reportTbl[[#This Row],[date]],IIITbl[date],IIITbl[totalCT],0)</f>
        <v>0</v>
      </c>
      <c r="R71" s="68">
        <v>30000</v>
      </c>
    </row>
    <row r="72" spans="1:18" ht="16.5">
      <c r="A72" s="7" t="s">
        <v>716</v>
      </c>
      <c r="B72" s="67" t="s">
        <v>121</v>
      </c>
      <c r="C72" s="68">
        <f>SUMIF(cutts[date],A72,cutts[num])</f>
        <v>0</v>
      </c>
      <c r="D72" s="68"/>
      <c r="E72" s="69">
        <f>SUMIF(packes[date],A72,packes[num])</f>
        <v>0</v>
      </c>
      <c r="F72" s="69">
        <f>SUMIF(packes[date],A72,packes[wPacked])</f>
        <v>0</v>
      </c>
      <c r="G72" s="69"/>
      <c r="H72" s="69">
        <f>reportTbl[[#This Row],[personels]]-reportTbl[[#This Row],[personels]]*2.5/22-0.5</f>
        <v>-0.5</v>
      </c>
      <c r="I72" s="70">
        <f>(reportTbl[[#This Row],[وزن تولید]]*unityCycleTime-reportTbl[[#This Row],[received TimeOut]])/(reportTbl[[#This Row],[available time]]*reportTbl[[#This Row],[تعداد نیرو]])</f>
        <v>0</v>
      </c>
      <c r="J72" s="71"/>
      <c r="K72" s="73"/>
      <c r="L72" s="73"/>
      <c r="M72" s="73"/>
      <c r="N72" s="73"/>
      <c r="O72" s="73">
        <v>0</v>
      </c>
      <c r="P72" s="72" t="s">
        <v>1013</v>
      </c>
      <c r="Q72" s="68">
        <f>_xlfn.XLOOKUP(reportTbl[[#This Row],[date]],IIITbl[date],IIITbl[totalCT],0)</f>
        <v>0</v>
      </c>
      <c r="R72" s="68">
        <v>30000</v>
      </c>
    </row>
    <row r="73" spans="1:18" ht="16.5">
      <c r="A73" s="7" t="s">
        <v>717</v>
      </c>
      <c r="B73" s="67" t="s">
        <v>115</v>
      </c>
      <c r="C73" s="68">
        <f>SUMIF(cutts[date],A73,cutts[num])</f>
        <v>7500</v>
      </c>
      <c r="D73" s="68"/>
      <c r="E73" s="69">
        <f>SUMIF(packes[date],A73,packes[num])</f>
        <v>9300</v>
      </c>
      <c r="F73" s="69">
        <f>SUMIF(packes[date],A73,packes[wPacked])</f>
        <v>11581.39329542053</v>
      </c>
      <c r="G73" s="69">
        <v>44</v>
      </c>
      <c r="H73" s="69">
        <f>reportTbl[[#This Row],[personels]]-reportTbl[[#This Row],[personels]]*2.5/22-0.5</f>
        <v>38.5</v>
      </c>
      <c r="I73" s="70">
        <f>(reportTbl[[#This Row],[وزن تولید]]*unityCycleTime-reportTbl[[#This Row],[received TimeOut]])/(reportTbl[[#This Row],[available time]]*reportTbl[[#This Row],[تعداد نیرو]])</f>
        <v>0.90827442887851428</v>
      </c>
      <c r="J73" s="71"/>
      <c r="K73" s="73">
        <v>2650</v>
      </c>
      <c r="L73" s="73">
        <v>0</v>
      </c>
      <c r="M73" s="73">
        <v>3600</v>
      </c>
      <c r="N73" s="73">
        <v>2400</v>
      </c>
      <c r="O73" s="73">
        <v>1</v>
      </c>
      <c r="P73" s="72" t="s">
        <v>1013</v>
      </c>
      <c r="Q73" s="68">
        <f>_xlfn.XLOOKUP(reportTbl[[#This Row],[date]],IIITbl[date],IIITbl[totalCT],0)</f>
        <v>64494</v>
      </c>
      <c r="R73" s="68">
        <v>30000</v>
      </c>
    </row>
    <row r="74" spans="1:18" ht="16.5">
      <c r="A74" s="7" t="s">
        <v>718</v>
      </c>
      <c r="B74" s="67" t="s">
        <v>116</v>
      </c>
      <c r="C74" s="68">
        <f>SUMIF(cutts[date],A74,cutts[num])</f>
        <v>3000</v>
      </c>
      <c r="D74" s="68"/>
      <c r="E74" s="69">
        <f>SUMIF(packes[date],A74,packes[num])</f>
        <v>9250</v>
      </c>
      <c r="F74" s="69">
        <f>SUMIF(packes[date],A74,packes[wPacked])</f>
        <v>11212.044298114337</v>
      </c>
      <c r="G74" s="69">
        <v>44</v>
      </c>
      <c r="H74" s="69">
        <f>reportTbl[[#This Row],[personels]]-reportTbl[[#This Row],[personels]]*2.5/22-0.5</f>
        <v>38.5</v>
      </c>
      <c r="I74" s="70">
        <f>(reportTbl[[#This Row],[وزن تولید]]*unityCycleTime-reportTbl[[#This Row],[received TimeOut]])/(reportTbl[[#This Row],[available time]]*reportTbl[[#This Row],[تعداد نیرو]])</f>
        <v>0.93336628507679098</v>
      </c>
      <c r="J74" s="71"/>
      <c r="K74" s="73">
        <v>2400</v>
      </c>
      <c r="L74" s="73">
        <v>0</v>
      </c>
      <c r="M74" s="73">
        <v>3600</v>
      </c>
      <c r="N74" s="73">
        <v>2200</v>
      </c>
      <c r="O74" s="73">
        <v>1</v>
      </c>
      <c r="P74" s="72" t="s">
        <v>1013</v>
      </c>
      <c r="Q74" s="68">
        <f>_xlfn.XLOOKUP(reportTbl[[#This Row],[date]],IIITbl[date],IIITbl[totalCT],0)</f>
        <v>0</v>
      </c>
      <c r="R74" s="68">
        <v>30000</v>
      </c>
    </row>
    <row r="75" spans="1:18" ht="16.5">
      <c r="A75" s="7" t="s">
        <v>719</v>
      </c>
      <c r="B75" s="67" t="s">
        <v>117</v>
      </c>
      <c r="C75" s="68">
        <f>SUMIF(cutts[date],A75,cutts[num])</f>
        <v>3000</v>
      </c>
      <c r="D75" s="68"/>
      <c r="E75" s="69">
        <f>SUMIF(packes[date],A75,packes[num])</f>
        <v>9663</v>
      </c>
      <c r="F75" s="69">
        <f>SUMIF(packes[date],A75,packes[wPacked])</f>
        <v>11552.593534869797</v>
      </c>
      <c r="G75" s="69">
        <v>44</v>
      </c>
      <c r="H75" s="69">
        <f>reportTbl[[#This Row],[personels]]-reportTbl[[#This Row],[personels]]*2.5/22-0.5</f>
        <v>38.5</v>
      </c>
      <c r="I75" s="70">
        <f>(reportTbl[[#This Row],[وزن تولید]]*unityCycleTime-reportTbl[[#This Row],[received TimeOut]])/(reportTbl[[#This Row],[available time]]*reportTbl[[#This Row],[تعداد نیرو]])</f>
        <v>0.96171590335734281</v>
      </c>
      <c r="J75" s="71"/>
      <c r="K75" s="73">
        <v>2100</v>
      </c>
      <c r="L75" s="73">
        <v>0</v>
      </c>
      <c r="M75" s="73">
        <v>2700</v>
      </c>
      <c r="N75" s="73">
        <v>2700</v>
      </c>
      <c r="O75" s="73">
        <v>1</v>
      </c>
      <c r="P75" s="72" t="s">
        <v>1013</v>
      </c>
      <c r="Q75" s="68">
        <f>_xlfn.XLOOKUP(reportTbl[[#This Row],[date]],IIITbl[date],IIITbl[totalCT],0)</f>
        <v>0</v>
      </c>
      <c r="R75" s="68">
        <v>30000</v>
      </c>
    </row>
    <row r="76" spans="1:18" ht="16.5">
      <c r="A76" s="7" t="s">
        <v>720</v>
      </c>
      <c r="B76" s="67" t="s">
        <v>118</v>
      </c>
      <c r="C76" s="68">
        <f>SUMIF(cutts[date],A76,cutts[num])</f>
        <v>0</v>
      </c>
      <c r="D76" s="68"/>
      <c r="E76" s="69">
        <f>SUMIF(packes[date],A76,packes[num])</f>
        <v>0</v>
      </c>
      <c r="F76" s="69">
        <f>SUMIF(packes[date],A76,packes[wPacked])</f>
        <v>0</v>
      </c>
      <c r="G76" s="69"/>
      <c r="H76" s="69">
        <f>reportTbl[[#This Row],[personels]]-reportTbl[[#This Row],[personels]]*2.5/22-0.5</f>
        <v>-0.5</v>
      </c>
      <c r="I76" s="70">
        <f>(reportTbl[[#This Row],[وزن تولید]]*unityCycleTime-reportTbl[[#This Row],[received TimeOut]])/(reportTbl[[#This Row],[available time]]*reportTbl[[#This Row],[تعداد نیرو]])</f>
        <v>0</v>
      </c>
      <c r="J76" s="71"/>
      <c r="K76" s="73"/>
      <c r="L76" s="73"/>
      <c r="M76" s="73"/>
      <c r="N76" s="73"/>
      <c r="O76" s="73">
        <v>0</v>
      </c>
      <c r="P76" s="72" t="s">
        <v>1013</v>
      </c>
      <c r="Q76" s="68">
        <f>_xlfn.XLOOKUP(reportTbl[[#This Row],[date]],IIITbl[date],IIITbl[totalCT],0)</f>
        <v>0</v>
      </c>
      <c r="R76" s="68">
        <v>30000</v>
      </c>
    </row>
    <row r="77" spans="1:18" ht="16.5">
      <c r="A77" s="7" t="s">
        <v>721</v>
      </c>
      <c r="B77" s="67" t="s">
        <v>119</v>
      </c>
      <c r="C77" s="68">
        <f>SUMIF(cutts[date],A77,cutts[num])</f>
        <v>0</v>
      </c>
      <c r="D77" s="68"/>
      <c r="E77" s="69">
        <f>SUMIF(packes[date],A77,packes[num])</f>
        <v>0</v>
      </c>
      <c r="F77" s="69">
        <f>SUMIF(packes[date],A77,packes[wPacked])</f>
        <v>0</v>
      </c>
      <c r="G77" s="69"/>
      <c r="H77" s="69">
        <f>reportTbl[[#This Row],[personels]]-reportTbl[[#This Row],[personels]]*2.5/22-0.5</f>
        <v>-0.5</v>
      </c>
      <c r="I77" s="70">
        <f>(reportTbl[[#This Row],[وزن تولید]]*unityCycleTime-reportTbl[[#This Row],[received TimeOut]])/(reportTbl[[#This Row],[available time]]*reportTbl[[#This Row],[تعداد نیرو]])</f>
        <v>0</v>
      </c>
      <c r="J77" s="71"/>
      <c r="K77" s="73"/>
      <c r="L77" s="73"/>
      <c r="M77" s="73"/>
      <c r="N77" s="73"/>
      <c r="O77" s="73">
        <v>0</v>
      </c>
      <c r="P77" s="72" t="s">
        <v>1013</v>
      </c>
      <c r="Q77" s="68">
        <f>_xlfn.XLOOKUP(reportTbl[[#This Row],[date]],IIITbl[date],IIITbl[totalCT],0)</f>
        <v>0</v>
      </c>
      <c r="R77" s="68">
        <v>30000</v>
      </c>
    </row>
    <row r="78" spans="1:18" ht="16.5">
      <c r="A78" s="7" t="s">
        <v>722</v>
      </c>
      <c r="B78" s="67" t="s">
        <v>120</v>
      </c>
      <c r="C78" s="68">
        <f>SUMIF(cutts[date],A78,cutts[num])</f>
        <v>0</v>
      </c>
      <c r="D78" s="68"/>
      <c r="E78" s="69">
        <f>SUMIF(packes[date],A78,packes[num])</f>
        <v>0</v>
      </c>
      <c r="F78" s="69">
        <f>SUMIF(packes[date],A78,packes[wPacked])</f>
        <v>0</v>
      </c>
      <c r="G78" s="69"/>
      <c r="H78" s="69">
        <f>reportTbl[[#This Row],[personels]]-reportTbl[[#This Row],[personels]]*2.5/22-0.5</f>
        <v>-0.5</v>
      </c>
      <c r="I78" s="70">
        <f>(reportTbl[[#This Row],[وزن تولید]]*unityCycleTime-reportTbl[[#This Row],[received TimeOut]])/(reportTbl[[#This Row],[available time]]*reportTbl[[#This Row],[تعداد نیرو]])</f>
        <v>0</v>
      </c>
      <c r="J78" s="71"/>
      <c r="K78" s="73"/>
      <c r="L78" s="73"/>
      <c r="M78" s="73"/>
      <c r="N78" s="73"/>
      <c r="O78" s="73">
        <v>0</v>
      </c>
      <c r="P78" s="72" t="s">
        <v>1013</v>
      </c>
      <c r="Q78" s="68">
        <f>_xlfn.XLOOKUP(reportTbl[[#This Row],[date]],IIITbl[date],IIITbl[totalCT],0)</f>
        <v>0</v>
      </c>
      <c r="R78" s="68">
        <v>30000</v>
      </c>
    </row>
    <row r="79" spans="1:18" ht="16.5">
      <c r="A79" s="7" t="s">
        <v>723</v>
      </c>
      <c r="B79" s="67" t="s">
        <v>121</v>
      </c>
      <c r="C79" s="68">
        <f>SUMIF(cutts[date],A79,cutts[num])</f>
        <v>0</v>
      </c>
      <c r="D79" s="68"/>
      <c r="E79" s="69">
        <f>SUMIF(packes[date],A79,packes[num])</f>
        <v>0</v>
      </c>
      <c r="F79" s="69">
        <f>SUMIF(packes[date],A79,packes[wPacked])</f>
        <v>0</v>
      </c>
      <c r="G79" s="69"/>
      <c r="H79" s="69">
        <f>reportTbl[[#This Row],[personels]]-reportTbl[[#This Row],[personels]]*2.5/22-0.5</f>
        <v>-0.5</v>
      </c>
      <c r="I79" s="70">
        <f>(reportTbl[[#This Row],[وزن تولید]]*unityCycleTime-reportTbl[[#This Row],[received TimeOut]])/(reportTbl[[#This Row],[available time]]*reportTbl[[#This Row],[تعداد نیرو]])</f>
        <v>0</v>
      </c>
      <c r="J79" s="71"/>
      <c r="K79" s="73"/>
      <c r="L79" s="73"/>
      <c r="M79" s="73"/>
      <c r="N79" s="73"/>
      <c r="O79" s="73">
        <v>0</v>
      </c>
      <c r="P79" s="72" t="s">
        <v>1013</v>
      </c>
      <c r="Q79" s="68">
        <f>_xlfn.XLOOKUP(reportTbl[[#This Row],[date]],IIITbl[date],IIITbl[totalCT],0)</f>
        <v>0</v>
      </c>
      <c r="R79" s="68">
        <v>30000</v>
      </c>
    </row>
    <row r="80" spans="1:18" ht="16.5">
      <c r="A80" s="7" t="s">
        <v>724</v>
      </c>
      <c r="B80" s="67" t="s">
        <v>115</v>
      </c>
      <c r="C80" s="68">
        <f>SUMIF(cutts[date],A80,cutts[num])</f>
        <v>0</v>
      </c>
      <c r="D80" s="68"/>
      <c r="E80" s="69">
        <f>SUMIF(packes[date],A80,packes[num])</f>
        <v>0</v>
      </c>
      <c r="F80" s="69">
        <f>SUMIF(packes[date],A80,packes[wPacked])</f>
        <v>0</v>
      </c>
      <c r="G80" s="69"/>
      <c r="H80" s="69">
        <f>reportTbl[[#This Row],[personels]]-reportTbl[[#This Row],[personels]]*2.5/22-0.5</f>
        <v>-0.5</v>
      </c>
      <c r="I80" s="70">
        <f>(reportTbl[[#This Row],[وزن تولید]]*unityCycleTime-reportTbl[[#This Row],[received TimeOut]])/(reportTbl[[#This Row],[available time]]*reportTbl[[#This Row],[تعداد نیرو]])</f>
        <v>0</v>
      </c>
      <c r="J80" s="71"/>
      <c r="K80" s="73"/>
      <c r="L80" s="73"/>
      <c r="M80" s="73"/>
      <c r="N80" s="73"/>
      <c r="O80" s="73">
        <v>0</v>
      </c>
      <c r="P80" s="72" t="s">
        <v>1013</v>
      </c>
      <c r="Q80" s="68">
        <f>_xlfn.XLOOKUP(reportTbl[[#This Row],[date]],IIITbl[date],IIITbl[totalCT],0)</f>
        <v>0</v>
      </c>
      <c r="R80" s="68">
        <v>30000</v>
      </c>
    </row>
    <row r="81" spans="1:18" ht="16.5">
      <c r="A81" s="7" t="s">
        <v>725</v>
      </c>
      <c r="B81" s="67" t="s">
        <v>116</v>
      </c>
      <c r="C81" s="68">
        <f>SUMIF(cutts[date],A81,cutts[num])</f>
        <v>6000</v>
      </c>
      <c r="D81" s="68"/>
      <c r="E81" s="69">
        <f>SUMIF(packes[date],A81,packes[num])</f>
        <v>7050</v>
      </c>
      <c r="F81" s="69">
        <f>SUMIF(packes[date],A81,packes[wPacked])</f>
        <v>8432.8394692207912</v>
      </c>
      <c r="G81" s="69">
        <v>44</v>
      </c>
      <c r="H81" s="69">
        <f>reportTbl[[#This Row],[personels]]-reportTbl[[#This Row],[personels]]*2.5/22-0.5</f>
        <v>38.5</v>
      </c>
      <c r="I81" s="70">
        <f>(reportTbl[[#This Row],[وزن تولید]]*unityCycleTime-reportTbl[[#This Row],[received TimeOut]])/(reportTbl[[#This Row],[available time]]*reportTbl[[#This Row],[تعداد نیرو]])</f>
        <v>0.70200650646370488</v>
      </c>
      <c r="J81" s="71" t="s">
        <v>1157</v>
      </c>
      <c r="K81" s="73">
        <v>2400</v>
      </c>
      <c r="L81" s="73">
        <v>3000</v>
      </c>
      <c r="M81" s="73">
        <v>2700</v>
      </c>
      <c r="N81" s="73">
        <v>2400</v>
      </c>
      <c r="O81" s="73">
        <v>1</v>
      </c>
      <c r="P81" s="72" t="s">
        <v>1013</v>
      </c>
      <c r="Q81" s="68">
        <f>_xlfn.XLOOKUP(reportTbl[[#This Row],[date]],IIITbl[date],IIITbl[totalCT],0)</f>
        <v>0</v>
      </c>
      <c r="R81" s="68">
        <v>30000</v>
      </c>
    </row>
    <row r="82" spans="1:18" ht="16.5">
      <c r="A82" s="7" t="s">
        <v>726</v>
      </c>
      <c r="B82" s="67" t="s">
        <v>117</v>
      </c>
      <c r="C82" s="68">
        <f>SUMIF(cutts[date],A82,cutts[num])</f>
        <v>0</v>
      </c>
      <c r="D82" s="68"/>
      <c r="E82" s="69">
        <f>SUMIF(packes[date],A82,packes[num])</f>
        <v>8000</v>
      </c>
      <c r="F82" s="69">
        <f>SUMIF(packes[date],A82,packes[wPacked])</f>
        <v>9199.386411254116</v>
      </c>
      <c r="G82" s="69">
        <v>44</v>
      </c>
      <c r="H82" s="69">
        <f>reportTbl[[#This Row],[personels]]-reportTbl[[#This Row],[personels]]*2.5/22-0.5</f>
        <v>38.5</v>
      </c>
      <c r="I82" s="70">
        <f>(reportTbl[[#This Row],[وزن تولید]]*unityCycleTime-reportTbl[[#This Row],[received TimeOut]])/(reportTbl[[#This Row],[available time]]*reportTbl[[#This Row],[تعداد نیرو]])</f>
        <v>0.7658190505992063</v>
      </c>
      <c r="J82" s="71" t="s">
        <v>1163</v>
      </c>
      <c r="K82" s="73">
        <v>2400</v>
      </c>
      <c r="L82" s="73">
        <v>3000</v>
      </c>
      <c r="M82" s="73">
        <v>3600</v>
      </c>
      <c r="N82" s="73">
        <v>2500</v>
      </c>
      <c r="O82" s="73">
        <v>1</v>
      </c>
      <c r="P82" s="72" t="s">
        <v>1013</v>
      </c>
      <c r="Q82" s="68">
        <f>_xlfn.XLOOKUP(reportTbl[[#This Row],[date]],IIITbl[date],IIITbl[totalCT],0)</f>
        <v>0</v>
      </c>
      <c r="R82" s="68">
        <v>30000</v>
      </c>
    </row>
    <row r="83" spans="1:18" ht="16.5">
      <c r="A83" s="7" t="s">
        <v>727</v>
      </c>
      <c r="B83" s="67" t="s">
        <v>118</v>
      </c>
      <c r="C83" s="68">
        <f>SUMIF(cutts[date],A83,cutts[num])</f>
        <v>17800</v>
      </c>
      <c r="D83" s="68"/>
      <c r="E83" s="69">
        <f>SUMIF(packes[date],A83,packes[num])</f>
        <v>9050</v>
      </c>
      <c r="F83" s="69">
        <f>SUMIF(packes[date],A83,packes[wPacked])</f>
        <v>10689.608899531078</v>
      </c>
      <c r="G83" s="69">
        <v>44</v>
      </c>
      <c r="H83" s="69">
        <f>reportTbl[[#This Row],[personels]]-reportTbl[[#This Row],[personels]]*2.5/22-0.5</f>
        <v>38.5</v>
      </c>
      <c r="I83" s="70">
        <f>(reportTbl[[#This Row],[وزن تولید]]*unityCycleTime-reportTbl[[#This Row],[received TimeOut]])/(reportTbl[[#This Row],[available time]]*reportTbl[[#This Row],[تعداد نیرو]])</f>
        <v>0.8898752343635612</v>
      </c>
      <c r="J83" s="71" t="s">
        <v>1166</v>
      </c>
      <c r="K83" s="73">
        <v>0</v>
      </c>
      <c r="L83" s="73">
        <v>3100</v>
      </c>
      <c r="M83" s="73">
        <v>3300</v>
      </c>
      <c r="N83" s="73">
        <v>2400</v>
      </c>
      <c r="O83" s="73">
        <v>1</v>
      </c>
      <c r="P83" s="72" t="s">
        <v>1013</v>
      </c>
      <c r="Q83" s="68">
        <f>_xlfn.XLOOKUP(reportTbl[[#This Row],[date]],IIITbl[date],IIITbl[totalCT],0)</f>
        <v>0</v>
      </c>
      <c r="R83" s="68">
        <v>30000</v>
      </c>
    </row>
    <row r="84" spans="1:18" ht="16.5">
      <c r="A84" s="7" t="s">
        <v>728</v>
      </c>
      <c r="B84" s="67" t="s">
        <v>119</v>
      </c>
      <c r="C84" s="68">
        <f>SUMIF(cutts[date],A84,cutts[num])</f>
        <v>0</v>
      </c>
      <c r="D84" s="68"/>
      <c r="E84" s="69">
        <f>SUMIF(packes[date],A84,packes[num])</f>
        <v>0</v>
      </c>
      <c r="F84" s="69">
        <f>SUMIF(packes[date],A84,packes[wPacked])</f>
        <v>0</v>
      </c>
      <c r="G84" s="69">
        <v>44</v>
      </c>
      <c r="H84" s="69">
        <f>reportTbl[[#This Row],[personels]]-reportTbl[[#This Row],[personels]]*2.5/22-0.5</f>
        <v>38.5</v>
      </c>
      <c r="I84" s="70">
        <f>(reportTbl[[#This Row],[وزن تولید]]*unityCycleTime-reportTbl[[#This Row],[received TimeOut]])/(reportTbl[[#This Row],[available time]]*reportTbl[[#This Row],[تعداد نیرو]])</f>
        <v>0</v>
      </c>
      <c r="J84" s="71" t="s">
        <v>1318</v>
      </c>
      <c r="K84" s="73">
        <v>0</v>
      </c>
      <c r="L84" s="73">
        <v>1500</v>
      </c>
      <c r="M84" s="73">
        <v>1800</v>
      </c>
      <c r="N84" s="73">
        <v>1250</v>
      </c>
      <c r="O84" s="73">
        <v>1</v>
      </c>
      <c r="P84" s="72" t="s">
        <v>1013</v>
      </c>
      <c r="Q84" s="68">
        <f>_xlfn.XLOOKUP(reportTbl[[#This Row],[date]],IIITbl[date],IIITbl[totalCT],0)</f>
        <v>0</v>
      </c>
      <c r="R84" s="68">
        <v>15000</v>
      </c>
    </row>
    <row r="85" spans="1:18" ht="16.5">
      <c r="A85" s="7" t="s">
        <v>729</v>
      </c>
      <c r="B85" s="67" t="s">
        <v>120</v>
      </c>
      <c r="C85" s="68">
        <f>SUMIF(cutts[date],A85,cutts[num])</f>
        <v>0</v>
      </c>
      <c r="D85" s="68"/>
      <c r="E85" s="69">
        <f>SUMIF(packes[date],A85,packes[num])</f>
        <v>0</v>
      </c>
      <c r="F85" s="69">
        <f>SUMIF(packes[date],A85,packes[wPacked])</f>
        <v>0</v>
      </c>
      <c r="G85" s="69"/>
      <c r="H85" s="69">
        <f>reportTbl[[#This Row],[personels]]-reportTbl[[#This Row],[personels]]*2.5/22-0.5</f>
        <v>-0.5</v>
      </c>
      <c r="I85" s="70">
        <f>(reportTbl[[#This Row],[وزن تولید]]*unityCycleTime-reportTbl[[#This Row],[received TimeOut]])/(reportTbl[[#This Row],[available time]]*reportTbl[[#This Row],[تعداد نیرو]])</f>
        <v>0</v>
      </c>
      <c r="J85" s="71"/>
      <c r="K85" s="73"/>
      <c r="L85" s="73"/>
      <c r="M85" s="73"/>
      <c r="N85" s="73"/>
      <c r="O85" s="73">
        <v>0</v>
      </c>
      <c r="P85" s="72" t="s">
        <v>1013</v>
      </c>
      <c r="Q85" s="68">
        <f>_xlfn.XLOOKUP(reportTbl[[#This Row],[date]],IIITbl[date],IIITbl[totalCT],0)</f>
        <v>0</v>
      </c>
      <c r="R85" s="68">
        <v>30000</v>
      </c>
    </row>
    <row r="86" spans="1:18" ht="16.5">
      <c r="A86" s="7" t="s">
        <v>730</v>
      </c>
      <c r="B86" s="67" t="s">
        <v>121</v>
      </c>
      <c r="C86" s="68">
        <f>SUMIF(cutts[date],A86,cutts[num])</f>
        <v>0</v>
      </c>
      <c r="D86" s="68"/>
      <c r="E86" s="69">
        <f>SUMIF(packes[date],A86,packes[num])</f>
        <v>0</v>
      </c>
      <c r="F86" s="69">
        <f>SUMIF(packes[date],A86,packes[wPacked])</f>
        <v>0</v>
      </c>
      <c r="G86" s="69"/>
      <c r="H86" s="69">
        <f>reportTbl[[#This Row],[personels]]-reportTbl[[#This Row],[personels]]*2.5/22-0.5</f>
        <v>-0.5</v>
      </c>
      <c r="I86" s="70">
        <f>(reportTbl[[#This Row],[وزن تولید]]*unityCycleTime-reportTbl[[#This Row],[received TimeOut]])/(reportTbl[[#This Row],[available time]]*reportTbl[[#This Row],[تعداد نیرو]])</f>
        <v>0</v>
      </c>
      <c r="J86" s="71"/>
      <c r="K86" s="73"/>
      <c r="L86" s="73"/>
      <c r="M86" s="73"/>
      <c r="N86" s="73"/>
      <c r="O86" s="73">
        <v>0</v>
      </c>
      <c r="P86" s="72" t="s">
        <v>1013</v>
      </c>
      <c r="Q86" s="68">
        <f>_xlfn.XLOOKUP(reportTbl[[#This Row],[date]],IIITbl[date],IIITbl[totalCT],0)</f>
        <v>0</v>
      </c>
      <c r="R86" s="68">
        <v>30000</v>
      </c>
    </row>
    <row r="87" spans="1:18" ht="16.5">
      <c r="A87" s="7" t="s">
        <v>731</v>
      </c>
      <c r="B87" s="67" t="s">
        <v>115</v>
      </c>
      <c r="C87" s="68">
        <f>SUMIF(cutts[date],A87,cutts[num])</f>
        <v>0</v>
      </c>
      <c r="D87" s="68"/>
      <c r="E87" s="69">
        <f>SUMIF(packes[date],A87,packes[num])</f>
        <v>0</v>
      </c>
      <c r="F87" s="69">
        <f>SUMIF(packes[date],A87,packes[wPacked])</f>
        <v>0</v>
      </c>
      <c r="G87" s="69"/>
      <c r="H87" s="69">
        <f>reportTbl[[#This Row],[personels]]-reportTbl[[#This Row],[personels]]*2.5/22-0.5</f>
        <v>-0.5</v>
      </c>
      <c r="I87" s="70">
        <f>(reportTbl[[#This Row],[وزن تولید]]*unityCycleTime-reportTbl[[#This Row],[received TimeOut]])/(reportTbl[[#This Row],[available time]]*reportTbl[[#This Row],[تعداد نیرو]])</f>
        <v>0</v>
      </c>
      <c r="J87" s="71"/>
      <c r="K87" s="73"/>
      <c r="L87" s="73"/>
      <c r="M87" s="73"/>
      <c r="N87" s="73"/>
      <c r="O87" s="73">
        <v>0</v>
      </c>
      <c r="P87" s="72" t="s">
        <v>1013</v>
      </c>
      <c r="Q87" s="68">
        <f>_xlfn.XLOOKUP(reportTbl[[#This Row],[date]],IIITbl[date],IIITbl[totalCT],0)</f>
        <v>0</v>
      </c>
      <c r="R87" s="68">
        <v>30000</v>
      </c>
    </row>
    <row r="88" spans="1:18" ht="16.5">
      <c r="A88" s="7" t="s">
        <v>732</v>
      </c>
      <c r="B88" s="67" t="s">
        <v>116</v>
      </c>
      <c r="C88" s="68">
        <f>SUMIF(cutts[date],A88,cutts[num])</f>
        <v>0</v>
      </c>
      <c r="D88" s="68"/>
      <c r="E88" s="69">
        <f>SUMIF(packes[date],A88,packes[num])</f>
        <v>0</v>
      </c>
      <c r="F88" s="69">
        <f>SUMIF(packes[date],A88,packes[wPacked])</f>
        <v>0</v>
      </c>
      <c r="G88" s="69"/>
      <c r="H88" s="69">
        <f>reportTbl[[#This Row],[personels]]-reportTbl[[#This Row],[personels]]*2.5/22-0.5</f>
        <v>-0.5</v>
      </c>
      <c r="I88" s="70">
        <f>(reportTbl[[#This Row],[وزن تولید]]*unityCycleTime-reportTbl[[#This Row],[received TimeOut]])/(reportTbl[[#This Row],[available time]]*reportTbl[[#This Row],[تعداد نیرو]])</f>
        <v>0</v>
      </c>
      <c r="J88" s="71"/>
      <c r="K88" s="73"/>
      <c r="L88" s="73"/>
      <c r="M88" s="73"/>
      <c r="N88" s="73"/>
      <c r="O88" s="73">
        <v>0</v>
      </c>
      <c r="P88" s="72" t="s">
        <v>1013</v>
      </c>
      <c r="Q88" s="68">
        <f>_xlfn.XLOOKUP(reportTbl[[#This Row],[date]],IIITbl[date],IIITbl[totalCT],0)</f>
        <v>0</v>
      </c>
      <c r="R88" s="68">
        <v>30000</v>
      </c>
    </row>
    <row r="89" spans="1:18" ht="16.5">
      <c r="A89" s="7" t="s">
        <v>733</v>
      </c>
      <c r="B89" s="67" t="s">
        <v>117</v>
      </c>
      <c r="C89" s="68">
        <f>SUMIF(cutts[date],A89,cutts[num])</f>
        <v>0</v>
      </c>
      <c r="D89" s="68"/>
      <c r="E89" s="69">
        <f>SUMIF(packes[date],A89,packes[num])</f>
        <v>0</v>
      </c>
      <c r="F89" s="69">
        <f>SUMIF(packes[date],A89,packes[wPacked])</f>
        <v>0</v>
      </c>
      <c r="G89" s="69"/>
      <c r="H89" s="69">
        <f>reportTbl[[#This Row],[personels]]-reportTbl[[#This Row],[personels]]*2.5/22-0.5</f>
        <v>-0.5</v>
      </c>
      <c r="I89" s="70">
        <f>(reportTbl[[#This Row],[وزن تولید]]*unityCycleTime-reportTbl[[#This Row],[received TimeOut]])/(reportTbl[[#This Row],[available time]]*reportTbl[[#This Row],[تعداد نیرو]])</f>
        <v>0</v>
      </c>
      <c r="J89" s="71"/>
      <c r="K89" s="73"/>
      <c r="L89" s="73"/>
      <c r="M89" s="73"/>
      <c r="N89" s="73"/>
      <c r="O89" s="73">
        <v>0</v>
      </c>
      <c r="P89" s="72" t="s">
        <v>1013</v>
      </c>
      <c r="Q89" s="68">
        <f>_xlfn.XLOOKUP(reportTbl[[#This Row],[date]],IIITbl[date],IIITbl[totalCT],0)</f>
        <v>0</v>
      </c>
      <c r="R89" s="68">
        <v>30000</v>
      </c>
    </row>
    <row r="90" spans="1:18" ht="16.5">
      <c r="A90" s="7" t="s">
        <v>734</v>
      </c>
      <c r="B90" s="67" t="s">
        <v>118</v>
      </c>
      <c r="C90" s="68">
        <f>SUMIF(cutts[date],A90,cutts[num])</f>
        <v>0</v>
      </c>
      <c r="D90" s="68"/>
      <c r="E90" s="69">
        <f>SUMIF(packes[date],A90,packes[num])</f>
        <v>0</v>
      </c>
      <c r="F90" s="69">
        <f>SUMIF(packes[date],A90,packes[wPacked])</f>
        <v>0</v>
      </c>
      <c r="G90" s="69"/>
      <c r="H90" s="69">
        <f>reportTbl[[#This Row],[personels]]-reportTbl[[#This Row],[personels]]*2.5/22-0.5</f>
        <v>-0.5</v>
      </c>
      <c r="I90" s="70">
        <f>(reportTbl[[#This Row],[وزن تولید]]*unityCycleTime-reportTbl[[#This Row],[received TimeOut]])/(reportTbl[[#This Row],[available time]]*reportTbl[[#This Row],[تعداد نیرو]])</f>
        <v>0</v>
      </c>
      <c r="J90" s="71"/>
      <c r="K90" s="73"/>
      <c r="L90" s="73"/>
      <c r="M90" s="73"/>
      <c r="N90" s="73"/>
      <c r="O90" s="73">
        <v>0</v>
      </c>
      <c r="P90" s="72" t="s">
        <v>1013</v>
      </c>
      <c r="Q90" s="68">
        <f>_xlfn.XLOOKUP(reportTbl[[#This Row],[date]],IIITbl[date],IIITbl[totalCT],0)</f>
        <v>0</v>
      </c>
      <c r="R90" s="68">
        <v>30000</v>
      </c>
    </row>
    <row r="91" spans="1:18" ht="16.5">
      <c r="A91" s="7" t="s">
        <v>735</v>
      </c>
      <c r="B91" s="67" t="s">
        <v>119</v>
      </c>
      <c r="C91" s="68">
        <f>SUMIF(cutts[date],A91,cutts[num])</f>
        <v>0</v>
      </c>
      <c r="D91" s="68"/>
      <c r="E91" s="69">
        <f>SUMIF(packes[date],A91,packes[num])</f>
        <v>0</v>
      </c>
      <c r="F91" s="69">
        <f>SUMIF(packes[date],A91,packes[wPacked])</f>
        <v>0</v>
      </c>
      <c r="G91" s="69"/>
      <c r="H91" s="69">
        <f>reportTbl[[#This Row],[personels]]-reportTbl[[#This Row],[personels]]*2.5/22-0.5</f>
        <v>-0.5</v>
      </c>
      <c r="I91" s="70">
        <f>(reportTbl[[#This Row],[وزن تولید]]*unityCycleTime-reportTbl[[#This Row],[received TimeOut]])/(reportTbl[[#This Row],[available time]]*reportTbl[[#This Row],[تعداد نیرو]])</f>
        <v>0</v>
      </c>
      <c r="J91" s="71"/>
      <c r="K91" s="73"/>
      <c r="L91" s="73"/>
      <c r="M91" s="73"/>
      <c r="N91" s="73"/>
      <c r="O91" s="73">
        <v>0</v>
      </c>
      <c r="P91" s="72" t="s">
        <v>1013</v>
      </c>
      <c r="Q91" s="68">
        <f>_xlfn.XLOOKUP(reportTbl[[#This Row],[date]],IIITbl[date],IIITbl[totalCT],0)</f>
        <v>0</v>
      </c>
      <c r="R91" s="68">
        <v>30000</v>
      </c>
    </row>
    <row r="92" spans="1:18" ht="16.5">
      <c r="A92" s="7" t="s">
        <v>736</v>
      </c>
      <c r="B92" s="67" t="s">
        <v>120</v>
      </c>
      <c r="C92" s="68">
        <f>SUMIF(cutts[date],A92,cutts[num])</f>
        <v>0</v>
      </c>
      <c r="D92" s="68"/>
      <c r="E92" s="69">
        <f>SUMIF(packes[date],A92,packes[num])</f>
        <v>0</v>
      </c>
      <c r="F92" s="69">
        <f>SUMIF(packes[date],A92,packes[wPacked])</f>
        <v>0</v>
      </c>
      <c r="G92" s="69"/>
      <c r="H92" s="69">
        <f>reportTbl[[#This Row],[personels]]-reportTbl[[#This Row],[personels]]*2.5/22-0.5</f>
        <v>-0.5</v>
      </c>
      <c r="I92" s="70">
        <f>(reportTbl[[#This Row],[وزن تولید]]*unityCycleTime-reportTbl[[#This Row],[received TimeOut]])/(reportTbl[[#This Row],[available time]]*reportTbl[[#This Row],[تعداد نیرو]])</f>
        <v>0</v>
      </c>
      <c r="J92" s="71"/>
      <c r="K92" s="73"/>
      <c r="L92" s="73"/>
      <c r="M92" s="73"/>
      <c r="N92" s="73"/>
      <c r="O92" s="73">
        <v>0</v>
      </c>
      <c r="P92" s="72" t="s">
        <v>1013</v>
      </c>
      <c r="Q92" s="68">
        <f>_xlfn.XLOOKUP(reportTbl[[#This Row],[date]],IIITbl[date],IIITbl[totalCT],0)</f>
        <v>0</v>
      </c>
      <c r="R92" s="68">
        <v>30000</v>
      </c>
    </row>
    <row r="93" spans="1:18" ht="16.5">
      <c r="A93" s="7" t="s">
        <v>737</v>
      </c>
      <c r="B93" s="67" t="s">
        <v>121</v>
      </c>
      <c r="C93" s="68">
        <f>SUMIF(cutts[date],A93,cutts[num])</f>
        <v>0</v>
      </c>
      <c r="D93" s="68"/>
      <c r="E93" s="69">
        <f>SUMIF(packes[date],A93,packes[num])</f>
        <v>0</v>
      </c>
      <c r="F93" s="69">
        <f>SUMIF(packes[date],A93,packes[wPacked])</f>
        <v>0</v>
      </c>
      <c r="G93" s="69"/>
      <c r="H93" s="69">
        <f>reportTbl[[#This Row],[personels]]-reportTbl[[#This Row],[personels]]*2.5/22-0.5</f>
        <v>-0.5</v>
      </c>
      <c r="I93" s="70">
        <f>(reportTbl[[#This Row],[وزن تولید]]*unityCycleTime-reportTbl[[#This Row],[received TimeOut]])/(reportTbl[[#This Row],[available time]]*reportTbl[[#This Row],[تعداد نیرو]])</f>
        <v>0</v>
      </c>
      <c r="J93" s="71"/>
      <c r="K93" s="73"/>
      <c r="L93" s="73"/>
      <c r="M93" s="73"/>
      <c r="N93" s="73"/>
      <c r="O93" s="73">
        <v>0</v>
      </c>
      <c r="P93" s="72" t="s">
        <v>1013</v>
      </c>
      <c r="Q93" s="68">
        <f>_xlfn.XLOOKUP(reportTbl[[#This Row],[date]],IIITbl[date],IIITbl[totalCT],0)</f>
        <v>0</v>
      </c>
      <c r="R93" s="68">
        <v>30000</v>
      </c>
    </row>
    <row r="94" spans="1:18" ht="16.5">
      <c r="A94" s="7" t="s">
        <v>738</v>
      </c>
      <c r="B94" s="67" t="s">
        <v>115</v>
      </c>
      <c r="C94" s="68">
        <f>SUMIF(cutts[date],A94,cutts[num])</f>
        <v>0</v>
      </c>
      <c r="D94" s="68"/>
      <c r="E94" s="69">
        <f>SUMIF(packes[date],A94,packes[num])</f>
        <v>0</v>
      </c>
      <c r="F94" s="69">
        <f>SUMIF(packes[date],A94,packes[wPacked])</f>
        <v>0</v>
      </c>
      <c r="G94" s="69"/>
      <c r="H94" s="69">
        <f>reportTbl[[#This Row],[personels]]-reportTbl[[#This Row],[personels]]*2.5/22-0.5</f>
        <v>-0.5</v>
      </c>
      <c r="I94" s="70">
        <f>(reportTbl[[#This Row],[وزن تولید]]*unityCycleTime-reportTbl[[#This Row],[received TimeOut]])/(reportTbl[[#This Row],[available time]]*reportTbl[[#This Row],[تعداد نیرو]])</f>
        <v>0</v>
      </c>
      <c r="J94" s="71"/>
      <c r="K94" s="73"/>
      <c r="L94" s="73"/>
      <c r="M94" s="73"/>
      <c r="N94" s="73"/>
      <c r="O94" s="73">
        <v>0</v>
      </c>
      <c r="P94" s="72" t="s">
        <v>1013</v>
      </c>
      <c r="Q94" s="68">
        <f>_xlfn.XLOOKUP(reportTbl[[#This Row],[date]],IIITbl[date],IIITbl[totalCT],0)</f>
        <v>0</v>
      </c>
      <c r="R94" s="68">
        <v>30000</v>
      </c>
    </row>
    <row r="95" spans="1:18" ht="16.5">
      <c r="A95" s="7" t="s">
        <v>739</v>
      </c>
      <c r="B95" s="67" t="s">
        <v>116</v>
      </c>
      <c r="C95" s="68">
        <f>SUMIF(cutts[date],A95,cutts[num])</f>
        <v>6000</v>
      </c>
      <c r="D95" s="68"/>
      <c r="E95" s="69">
        <f>SUMIF(packes[date],A95,packes[num])</f>
        <v>11350</v>
      </c>
      <c r="F95" s="69">
        <f>SUMIF(packes[date],A95,packes[wPacked])</f>
        <v>13848.82470318268</v>
      </c>
      <c r="G95" s="69">
        <v>44</v>
      </c>
      <c r="H95" s="69">
        <f>reportTbl[[#This Row],[personels]]-reportTbl[[#This Row],[personels]]*2.5/22-0.5</f>
        <v>38.5</v>
      </c>
      <c r="I95" s="70">
        <f>(reportTbl[[#This Row],[وزن تولید]]*unityCycleTime-reportTbl[[#This Row],[received TimeOut]])/(reportTbl[[#This Row],[available time]]*reportTbl[[#This Row],[تعداد نیرو]])</f>
        <v>1.1528696928233895</v>
      </c>
      <c r="J95" s="71" t="s">
        <v>1319</v>
      </c>
      <c r="K95" s="73">
        <v>0</v>
      </c>
      <c r="L95" s="73">
        <v>2100</v>
      </c>
      <c r="M95" s="73">
        <v>2100</v>
      </c>
      <c r="N95" s="73">
        <v>2300</v>
      </c>
      <c r="O95" s="73">
        <v>1</v>
      </c>
      <c r="P95" s="72" t="s">
        <v>1014</v>
      </c>
      <c r="Q95" s="68">
        <f>_xlfn.XLOOKUP(reportTbl[[#This Row],[date]],IIITbl[date],IIITbl[totalCT],0)</f>
        <v>0</v>
      </c>
      <c r="R95" s="68">
        <v>30000</v>
      </c>
    </row>
    <row r="96" spans="1:18" ht="16.5">
      <c r="A96" s="7" t="s">
        <v>740</v>
      </c>
      <c r="B96" s="67" t="s">
        <v>117</v>
      </c>
      <c r="C96" s="68">
        <f>SUMIF(cutts[date],A96,cutts[num])</f>
        <v>10300</v>
      </c>
      <c r="D96" s="68"/>
      <c r="E96" s="69">
        <f>SUMIF(packes[date],A96,packes[num])</f>
        <v>5100</v>
      </c>
      <c r="F96" s="69">
        <f>SUMIF(packes[date],A96,packes[wPacked])</f>
        <v>6160.2953207622468</v>
      </c>
      <c r="G96" s="69">
        <v>44</v>
      </c>
      <c r="H96" s="69">
        <f>reportTbl[[#This Row],[personels]]-reportTbl[[#This Row],[personels]]*2.5/22-0.5</f>
        <v>38.5</v>
      </c>
      <c r="I96" s="70">
        <f>(reportTbl[[#This Row],[وزن تولید]]*unityCycleTime-reportTbl[[#This Row],[received TimeOut]])/(reportTbl[[#This Row],[available time]]*reportTbl[[#This Row],[تعداد نیرو]])</f>
        <v>0.51282458449462343</v>
      </c>
      <c r="J96" s="71" t="s">
        <v>1182</v>
      </c>
      <c r="K96" s="73">
        <v>1200</v>
      </c>
      <c r="L96" s="73">
        <v>1700</v>
      </c>
      <c r="M96" s="73">
        <v>1200</v>
      </c>
      <c r="N96" s="73">
        <v>0</v>
      </c>
      <c r="O96" s="73">
        <v>1</v>
      </c>
      <c r="P96" s="72" t="s">
        <v>1014</v>
      </c>
      <c r="Q96" s="68">
        <f>_xlfn.XLOOKUP(reportTbl[[#This Row],[date]],IIITbl[date],IIITbl[totalCT],0)</f>
        <v>0</v>
      </c>
      <c r="R96" s="68">
        <v>30000</v>
      </c>
    </row>
    <row r="97" spans="1:18" ht="16.5">
      <c r="A97" s="7" t="s">
        <v>741</v>
      </c>
      <c r="B97" s="67" t="s">
        <v>118</v>
      </c>
      <c r="C97" s="68">
        <f>SUMIF(cutts[date],A97,cutts[num])</f>
        <v>14870</v>
      </c>
      <c r="D97" s="68"/>
      <c r="E97" s="69">
        <f>SUMIF(packes[date],A97,packes[num])</f>
        <v>6550</v>
      </c>
      <c r="F97" s="69">
        <f>SUMIF(packes[date],A97,packes[wPacked])</f>
        <v>7785.8605208021554</v>
      </c>
      <c r="G97" s="69">
        <v>44</v>
      </c>
      <c r="H97" s="69">
        <f>reportTbl[[#This Row],[personels]]-reportTbl[[#This Row],[personels]]*2.5/22-0.5</f>
        <v>38.5</v>
      </c>
      <c r="I97" s="70">
        <f>(reportTbl[[#This Row],[وزن تولید]]*unityCycleTime-reportTbl[[#This Row],[received TimeOut]])/(reportTbl[[#This Row],[available time]]*reportTbl[[#This Row],[تعداد نیرو]])</f>
        <v>0.64814760958885476</v>
      </c>
      <c r="J97" s="71" t="s">
        <v>1182</v>
      </c>
      <c r="K97" s="73">
        <v>1400</v>
      </c>
      <c r="L97" s="73">
        <v>2400</v>
      </c>
      <c r="M97" s="73">
        <v>1800</v>
      </c>
      <c r="N97" s="73">
        <v>0</v>
      </c>
      <c r="O97" s="73">
        <v>1</v>
      </c>
      <c r="P97" s="72" t="s">
        <v>1014</v>
      </c>
      <c r="Q97" s="68">
        <f>_xlfn.XLOOKUP(reportTbl[[#This Row],[date]],IIITbl[date],IIITbl[totalCT],0)</f>
        <v>0</v>
      </c>
      <c r="R97" s="68">
        <v>30000</v>
      </c>
    </row>
    <row r="98" spans="1:18" ht="16.5">
      <c r="A98" s="7" t="s">
        <v>742</v>
      </c>
      <c r="B98" s="67" t="s">
        <v>119</v>
      </c>
      <c r="C98" s="68">
        <f>SUMIF(cutts[date],A98,cutts[num])</f>
        <v>5205</v>
      </c>
      <c r="D98" s="68"/>
      <c r="E98" s="69">
        <f>SUMIF(packes[date],A98,packes[num])</f>
        <v>7350</v>
      </c>
      <c r="F98" s="69">
        <f>SUMIF(packes[date],A98,packes[wPacked])</f>
        <v>9213.9559014267179</v>
      </c>
      <c r="G98" s="69">
        <v>44</v>
      </c>
      <c r="H98" s="69">
        <f>reportTbl[[#This Row],[personels]]-reportTbl[[#This Row],[personels]]*2.5/22-0.5</f>
        <v>38.5</v>
      </c>
      <c r="I98" s="70">
        <f>(reportTbl[[#This Row],[وزن تولید]]*unityCycleTime-reportTbl[[#This Row],[received TimeOut]])/(reportTbl[[#This Row],[available time]]*reportTbl[[#This Row],[تعداد نیرو]])</f>
        <v>0.76703191335253595</v>
      </c>
      <c r="J98" s="71" t="s">
        <v>1182</v>
      </c>
      <c r="K98" s="73">
        <v>1800</v>
      </c>
      <c r="L98" s="73">
        <v>2100</v>
      </c>
      <c r="M98" s="73">
        <v>1500</v>
      </c>
      <c r="N98" s="73">
        <v>1000</v>
      </c>
      <c r="O98" s="73">
        <v>1</v>
      </c>
      <c r="P98" s="72" t="s">
        <v>1014</v>
      </c>
      <c r="Q98" s="68">
        <f>_xlfn.XLOOKUP(reportTbl[[#This Row],[date]],IIITbl[date],IIITbl[totalCT],0)</f>
        <v>0</v>
      </c>
      <c r="R98" s="68">
        <v>30000</v>
      </c>
    </row>
    <row r="99" spans="1:18" ht="16.5">
      <c r="A99" s="7" t="s">
        <v>743</v>
      </c>
      <c r="B99" s="67" t="s">
        <v>120</v>
      </c>
      <c r="C99" s="68">
        <f>SUMIF(cutts[date],A99,cutts[num])</f>
        <v>0</v>
      </c>
      <c r="D99" s="68"/>
      <c r="E99" s="69">
        <f>SUMIF(packes[date],A99,packes[num])</f>
        <v>0</v>
      </c>
      <c r="F99" s="69">
        <f>SUMIF(packes[date],A99,packes[wPacked])</f>
        <v>0</v>
      </c>
      <c r="G99" s="69"/>
      <c r="H99" s="69">
        <f>reportTbl[[#This Row],[personels]]-reportTbl[[#This Row],[personels]]*2.5/22-0.5</f>
        <v>-0.5</v>
      </c>
      <c r="I99" s="70">
        <f>(reportTbl[[#This Row],[وزن تولید]]*unityCycleTime-reportTbl[[#This Row],[received TimeOut]])/(reportTbl[[#This Row],[available time]]*reportTbl[[#This Row],[تعداد نیرو]])</f>
        <v>0</v>
      </c>
      <c r="J99" s="71"/>
      <c r="K99" s="73"/>
      <c r="L99" s="73"/>
      <c r="M99" s="73"/>
      <c r="N99" s="73"/>
      <c r="O99" s="73">
        <v>0</v>
      </c>
      <c r="P99" s="72" t="s">
        <v>1014</v>
      </c>
      <c r="Q99" s="68">
        <f>_xlfn.XLOOKUP(reportTbl[[#This Row],[date]],IIITbl[date],IIITbl[totalCT],0)</f>
        <v>0</v>
      </c>
      <c r="R99" s="68">
        <v>30000</v>
      </c>
    </row>
    <row r="100" spans="1:18" ht="16.5">
      <c r="A100" s="7" t="s">
        <v>744</v>
      </c>
      <c r="B100" s="67" t="s">
        <v>121</v>
      </c>
      <c r="C100" s="68">
        <f>SUMIF(cutts[date],A100,cutts[num])</f>
        <v>0</v>
      </c>
      <c r="D100" s="68"/>
      <c r="E100" s="69">
        <f>SUMIF(packes[date],A100,packes[num])</f>
        <v>0</v>
      </c>
      <c r="F100" s="69">
        <f>SUMIF(packes[date],A100,packes[wPacked])</f>
        <v>0</v>
      </c>
      <c r="G100" s="69"/>
      <c r="H100" s="69">
        <f>reportTbl[[#This Row],[personels]]-reportTbl[[#This Row],[personels]]*2.5/22-0.5</f>
        <v>-0.5</v>
      </c>
      <c r="I100" s="70">
        <f>(reportTbl[[#This Row],[وزن تولید]]*unityCycleTime-reportTbl[[#This Row],[received TimeOut]])/(reportTbl[[#This Row],[available time]]*reportTbl[[#This Row],[تعداد نیرو]])</f>
        <v>0</v>
      </c>
      <c r="J100" s="71"/>
      <c r="K100" s="73"/>
      <c r="L100" s="73"/>
      <c r="M100" s="73"/>
      <c r="N100" s="73"/>
      <c r="O100" s="73">
        <v>0</v>
      </c>
      <c r="P100" s="72" t="s">
        <v>1014</v>
      </c>
      <c r="Q100" s="68">
        <f>_xlfn.XLOOKUP(reportTbl[[#This Row],[date]],IIITbl[date],IIITbl[totalCT],0)</f>
        <v>0</v>
      </c>
      <c r="R100" s="68">
        <v>30000</v>
      </c>
    </row>
    <row r="101" spans="1:18" ht="16.5">
      <c r="A101" s="7" t="s">
        <v>745</v>
      </c>
      <c r="B101" s="67" t="s">
        <v>115</v>
      </c>
      <c r="C101" s="68">
        <f>SUMIF(cutts[date],A101,cutts[num])</f>
        <v>9500</v>
      </c>
      <c r="D101" s="68"/>
      <c r="E101" s="69">
        <f>SUMIF(packes[date],A101,packes[num])</f>
        <v>5700</v>
      </c>
      <c r="F101" s="69">
        <f>SUMIF(packes[date],A101,packes[wPacked])</f>
        <v>6918.4984535568192</v>
      </c>
      <c r="G101" s="69">
        <v>44</v>
      </c>
      <c r="H101" s="69">
        <f>reportTbl[[#This Row],[personels]]-reportTbl[[#This Row],[personels]]*2.5/22-0.5</f>
        <v>38.5</v>
      </c>
      <c r="I101" s="70">
        <f>(reportTbl[[#This Row],[وزن تولید]]*unityCycleTime-reportTbl[[#This Row],[received TimeOut]])/(reportTbl[[#This Row],[available time]]*reportTbl[[#This Row],[تعداد نیرو]])</f>
        <v>0.95990422266881414</v>
      </c>
      <c r="J101" s="71" t="s">
        <v>1320</v>
      </c>
      <c r="K101" s="73">
        <v>900</v>
      </c>
      <c r="L101" s="73">
        <v>600</v>
      </c>
      <c r="M101" s="73">
        <v>1500</v>
      </c>
      <c r="N101" s="73">
        <v>1300</v>
      </c>
      <c r="O101" s="73">
        <v>1</v>
      </c>
      <c r="P101" s="72" t="s">
        <v>1014</v>
      </c>
      <c r="Q101" s="68">
        <f>_xlfn.XLOOKUP(reportTbl[[#This Row],[date]],IIITbl[date],IIITbl[totalCT],0)</f>
        <v>0</v>
      </c>
      <c r="R101" s="68">
        <v>18000</v>
      </c>
    </row>
    <row r="102" spans="1:18" ht="16.5">
      <c r="A102" s="7" t="s">
        <v>746</v>
      </c>
      <c r="B102" s="67" t="s">
        <v>116</v>
      </c>
      <c r="C102" s="68">
        <f>SUMIF(cutts[date],A102,cutts[num])</f>
        <v>1500</v>
      </c>
      <c r="D102" s="68"/>
      <c r="E102" s="69">
        <f>SUMIF(packes[date],A102,packes[num])</f>
        <v>5600</v>
      </c>
      <c r="F102" s="69">
        <f>SUMIF(packes[date],A102,packes[wPacked])</f>
        <v>6842.0507831986433</v>
      </c>
      <c r="G102" s="69">
        <v>44</v>
      </c>
      <c r="H102" s="69">
        <f>reportTbl[[#This Row],[personels]]-reportTbl[[#This Row],[personels]]*2.5/22-0.5</f>
        <v>38.5</v>
      </c>
      <c r="I102" s="70">
        <f>(reportTbl[[#This Row],[وزن تولید]]*unityCycleTime-reportTbl[[#This Row],[received TimeOut]])/(reportTbl[[#This Row],[available time]]*reportTbl[[#This Row],[تعداد نیرو]])</f>
        <v>0.94929752208448714</v>
      </c>
      <c r="J102" s="71" t="s">
        <v>1182</v>
      </c>
      <c r="K102" s="73">
        <v>1200</v>
      </c>
      <c r="L102" s="73">
        <v>900</v>
      </c>
      <c r="M102" s="73">
        <v>1200</v>
      </c>
      <c r="N102" s="73">
        <v>1400</v>
      </c>
      <c r="O102" s="73">
        <v>1</v>
      </c>
      <c r="P102" s="72" t="s">
        <v>1014</v>
      </c>
      <c r="Q102" s="68">
        <f>_xlfn.XLOOKUP(reportTbl[[#This Row],[date]],IIITbl[date],IIITbl[totalCT],0)</f>
        <v>0</v>
      </c>
      <c r="R102" s="68">
        <v>18000</v>
      </c>
    </row>
    <row r="103" spans="1:18" ht="16.5">
      <c r="A103" s="7" t="s">
        <v>747</v>
      </c>
      <c r="B103" s="67" t="s">
        <v>117</v>
      </c>
      <c r="C103" s="68">
        <f>SUMIF(cutts[date],A103,cutts[num])</f>
        <v>11000</v>
      </c>
      <c r="D103" s="68"/>
      <c r="E103" s="69">
        <f>SUMIF(packes[date],A103,packes[num])</f>
        <v>5100</v>
      </c>
      <c r="F103" s="69">
        <f>SUMIF(packes[date],A103,packes[wPacked])</f>
        <v>6077.9457248328836</v>
      </c>
      <c r="G103" s="69">
        <v>44</v>
      </c>
      <c r="H103" s="69">
        <f>reportTbl[[#This Row],[personels]]-reportTbl[[#This Row],[personels]]*2.5/22-0.5</f>
        <v>38.5</v>
      </c>
      <c r="I103" s="70">
        <f>(reportTbl[[#This Row],[وزن تولید]]*unityCycleTime-reportTbl[[#This Row],[received TimeOut]])/(reportTbl[[#This Row],[available time]]*reportTbl[[#This Row],[تعداد نیرو]])</f>
        <v>0.84328208000386973</v>
      </c>
      <c r="J103" s="71" t="s">
        <v>1182</v>
      </c>
      <c r="K103" s="73">
        <v>1800</v>
      </c>
      <c r="L103" s="73">
        <v>1800</v>
      </c>
      <c r="M103" s="73">
        <v>2100</v>
      </c>
      <c r="N103" s="73">
        <v>1500</v>
      </c>
      <c r="O103" s="73">
        <v>1</v>
      </c>
      <c r="P103" s="72" t="s">
        <v>1014</v>
      </c>
      <c r="Q103" s="68">
        <f>_xlfn.XLOOKUP(reportTbl[[#This Row],[date]],IIITbl[date],IIITbl[totalCT],0)</f>
        <v>0</v>
      </c>
      <c r="R103" s="68">
        <v>18000</v>
      </c>
    </row>
    <row r="104" spans="1:18" ht="16.5">
      <c r="A104" s="7" t="s">
        <v>748</v>
      </c>
      <c r="B104" s="67" t="s">
        <v>118</v>
      </c>
      <c r="C104" s="68">
        <f>SUMIF(cutts[date],A104,cutts[num])</f>
        <v>0</v>
      </c>
      <c r="D104" s="68"/>
      <c r="E104" s="69">
        <f>SUMIF(packes[date],A104,packes[num])</f>
        <v>4665</v>
      </c>
      <c r="F104" s="69">
        <f>SUMIF(packes[date],A104,packes[wPacked])</f>
        <v>7297.3159732614977</v>
      </c>
      <c r="G104" s="69">
        <v>44</v>
      </c>
      <c r="H104" s="69">
        <f>reportTbl[[#This Row],[personels]]-reportTbl[[#This Row],[personels]]*2.5/22-0.5</f>
        <v>38.5</v>
      </c>
      <c r="I104" s="70">
        <f>(reportTbl[[#This Row],[وزن تولید]]*unityCycleTime-reportTbl[[#This Row],[received TimeOut]])/(reportTbl[[#This Row],[available time]]*reportTbl[[#This Row],[تعداد نیرو]])</f>
        <v>1.0124631036494849</v>
      </c>
      <c r="J104" s="71"/>
      <c r="K104" s="73">
        <v>0</v>
      </c>
      <c r="L104" s="73">
        <v>1800</v>
      </c>
      <c r="M104" s="73">
        <v>2100</v>
      </c>
      <c r="N104" s="73">
        <v>1300</v>
      </c>
      <c r="O104" s="73">
        <v>1</v>
      </c>
      <c r="P104" s="72" t="s">
        <v>1014</v>
      </c>
      <c r="Q104" s="68">
        <f>_xlfn.XLOOKUP(reportTbl[[#This Row],[date]],IIITbl[date],IIITbl[totalCT],0)</f>
        <v>0</v>
      </c>
      <c r="R104" s="68">
        <v>18000</v>
      </c>
    </row>
    <row r="105" spans="1:18" ht="16.5">
      <c r="A105" s="7" t="s">
        <v>749</v>
      </c>
      <c r="B105" s="67" t="s">
        <v>119</v>
      </c>
      <c r="C105" s="68">
        <f>SUMIF(cutts[date],A105,cutts[num])</f>
        <v>3000</v>
      </c>
      <c r="D105" s="68"/>
      <c r="E105" s="69">
        <f>SUMIF(packes[date],A105,packes[num])</f>
        <v>5775</v>
      </c>
      <c r="F105" s="69">
        <f>SUMIF(packes[date],A105,packes[wPacked])</f>
        <v>7189.8393694502638</v>
      </c>
      <c r="G105" s="69">
        <v>44</v>
      </c>
      <c r="H105" s="69">
        <f>reportTbl[[#This Row],[personels]]-reportTbl[[#This Row],[personels]]*2.5/22-0.5</f>
        <v>38.5</v>
      </c>
      <c r="I105" s="70">
        <f>(reportTbl[[#This Row],[وزن تولید]]*unityCycleTime-reportTbl[[#This Row],[received TimeOut]])/(reportTbl[[#This Row],[available time]]*reportTbl[[#This Row],[تعداد نیرو]])</f>
        <v>0.99755130645403023</v>
      </c>
      <c r="J105" s="71"/>
      <c r="K105" s="73">
        <v>500</v>
      </c>
      <c r="L105" s="73">
        <v>1500</v>
      </c>
      <c r="M105" s="73">
        <v>2100</v>
      </c>
      <c r="N105" s="73">
        <v>1200</v>
      </c>
      <c r="O105" s="73">
        <v>1</v>
      </c>
      <c r="P105" s="72" t="s">
        <v>1014</v>
      </c>
      <c r="Q105" s="68">
        <f>_xlfn.XLOOKUP(reportTbl[[#This Row],[date]],IIITbl[date],IIITbl[totalCT],0)</f>
        <v>0</v>
      </c>
      <c r="R105" s="68">
        <v>18000</v>
      </c>
    </row>
    <row r="106" spans="1:18" ht="16.5">
      <c r="A106" s="7" t="s">
        <v>750</v>
      </c>
      <c r="B106" s="67" t="s">
        <v>120</v>
      </c>
      <c r="C106" s="68">
        <f>SUMIF(cutts[date],A106,cutts[num])</f>
        <v>0</v>
      </c>
      <c r="D106" s="68"/>
      <c r="E106" s="69">
        <f>SUMIF(packes[date],A106,packes[num])</f>
        <v>0</v>
      </c>
      <c r="F106" s="69">
        <f>SUMIF(packes[date],A106,packes[wPacked])</f>
        <v>0</v>
      </c>
      <c r="G106" s="69"/>
      <c r="H106" s="69">
        <f>reportTbl[[#This Row],[personels]]-reportTbl[[#This Row],[personels]]*2.5/22-0.5</f>
        <v>-0.5</v>
      </c>
      <c r="I106" s="70">
        <f>(reportTbl[[#This Row],[وزن تولید]]*unityCycleTime-reportTbl[[#This Row],[received TimeOut]])/(reportTbl[[#This Row],[available time]]*reportTbl[[#This Row],[تعداد نیرو]])</f>
        <v>0</v>
      </c>
      <c r="J106" s="71"/>
      <c r="K106" s="73"/>
      <c r="L106" s="73"/>
      <c r="M106" s="73"/>
      <c r="N106" s="73"/>
      <c r="O106" s="73">
        <v>0</v>
      </c>
      <c r="P106" s="72" t="s">
        <v>1014</v>
      </c>
      <c r="Q106" s="68">
        <f>_xlfn.XLOOKUP(reportTbl[[#This Row],[date]],IIITbl[date],IIITbl[totalCT],0)</f>
        <v>0</v>
      </c>
      <c r="R106" s="68">
        <v>30000</v>
      </c>
    </row>
    <row r="107" spans="1:18" ht="16.5">
      <c r="A107" s="7" t="s">
        <v>751</v>
      </c>
      <c r="B107" s="67" t="s">
        <v>121</v>
      </c>
      <c r="C107" s="68">
        <f>SUMIF(cutts[date],A107,cutts[num])</f>
        <v>0</v>
      </c>
      <c r="D107" s="68"/>
      <c r="E107" s="69">
        <f>SUMIF(packes[date],A107,packes[num])</f>
        <v>0</v>
      </c>
      <c r="F107" s="69">
        <f>SUMIF(packes[date],A107,packes[wPacked])</f>
        <v>0</v>
      </c>
      <c r="G107" s="69"/>
      <c r="H107" s="69">
        <f>reportTbl[[#This Row],[personels]]-reportTbl[[#This Row],[personels]]*2.5/22-0.5</f>
        <v>-0.5</v>
      </c>
      <c r="I107" s="70">
        <f>(reportTbl[[#This Row],[وزن تولید]]*unityCycleTime-reportTbl[[#This Row],[received TimeOut]])/(reportTbl[[#This Row],[available time]]*reportTbl[[#This Row],[تعداد نیرو]])</f>
        <v>0</v>
      </c>
      <c r="J107" s="71"/>
      <c r="K107" s="73"/>
      <c r="L107" s="73"/>
      <c r="M107" s="73"/>
      <c r="N107" s="73"/>
      <c r="O107" s="73">
        <v>0</v>
      </c>
      <c r="P107" s="72" t="s">
        <v>1014</v>
      </c>
      <c r="Q107" s="68">
        <f>_xlfn.XLOOKUP(reportTbl[[#This Row],[date]],IIITbl[date],IIITbl[totalCT],0)</f>
        <v>0</v>
      </c>
      <c r="R107" s="68">
        <v>30000</v>
      </c>
    </row>
    <row r="108" spans="1:18" ht="16.5">
      <c r="A108" s="7" t="s">
        <v>752</v>
      </c>
      <c r="B108" s="67" t="s">
        <v>115</v>
      </c>
      <c r="C108" s="68">
        <f>SUMIF(cutts[date],A108,cutts[num])</f>
        <v>0</v>
      </c>
      <c r="D108" s="68"/>
      <c r="E108" s="69">
        <f>SUMIF(packes[date],A108,packes[num])</f>
        <v>0</v>
      </c>
      <c r="F108" s="69">
        <f>SUMIF(packes[date],A108,packes[wPacked])</f>
        <v>0</v>
      </c>
      <c r="G108" s="69"/>
      <c r="H108" s="69">
        <f>reportTbl[[#This Row],[personels]]-reportTbl[[#This Row],[personels]]*2.5/22-0.5</f>
        <v>-0.5</v>
      </c>
      <c r="I108" s="70">
        <f>(reportTbl[[#This Row],[وزن تولید]]*unityCycleTime-reportTbl[[#This Row],[received TimeOut]])/(reportTbl[[#This Row],[available time]]*reportTbl[[#This Row],[تعداد نیرو]])</f>
        <v>0</v>
      </c>
      <c r="J108" s="71"/>
      <c r="K108" s="73"/>
      <c r="L108" s="73"/>
      <c r="M108" s="73"/>
      <c r="N108" s="73"/>
      <c r="O108" s="73">
        <v>0</v>
      </c>
      <c r="P108" s="72" t="s">
        <v>1014</v>
      </c>
      <c r="Q108" s="68">
        <f>_xlfn.XLOOKUP(reportTbl[[#This Row],[date]],IIITbl[date],IIITbl[totalCT],0)</f>
        <v>0</v>
      </c>
      <c r="R108" s="68">
        <v>30000</v>
      </c>
    </row>
    <row r="109" spans="1:18" ht="16.5">
      <c r="A109" s="7" t="s">
        <v>753</v>
      </c>
      <c r="B109" s="67" t="s">
        <v>116</v>
      </c>
      <c r="C109" s="68">
        <f>SUMIF(cutts[date],A109,cutts[num])</f>
        <v>0</v>
      </c>
      <c r="D109" s="68"/>
      <c r="E109" s="69">
        <f>SUMIF(packes[date],A109,packes[num])</f>
        <v>0</v>
      </c>
      <c r="F109" s="69">
        <f>SUMIF(packes[date],A109,packes[wPacked])</f>
        <v>0</v>
      </c>
      <c r="G109" s="69"/>
      <c r="H109" s="69">
        <f>reportTbl[[#This Row],[personels]]-reportTbl[[#This Row],[personels]]*2.5/22-0.5</f>
        <v>-0.5</v>
      </c>
      <c r="I109" s="70">
        <f>(reportTbl[[#This Row],[وزن تولید]]*unityCycleTime-reportTbl[[#This Row],[received TimeOut]])/(reportTbl[[#This Row],[available time]]*reportTbl[[#This Row],[تعداد نیرو]])</f>
        <v>0</v>
      </c>
      <c r="J109" s="71"/>
      <c r="K109" s="73"/>
      <c r="L109" s="73"/>
      <c r="M109" s="73"/>
      <c r="N109" s="73"/>
      <c r="O109" s="73">
        <v>0</v>
      </c>
      <c r="P109" s="72" t="s">
        <v>1014</v>
      </c>
      <c r="Q109" s="68">
        <f>_xlfn.XLOOKUP(reportTbl[[#This Row],[date]],IIITbl[date],IIITbl[totalCT],0)</f>
        <v>0</v>
      </c>
      <c r="R109" s="68">
        <v>30000</v>
      </c>
    </row>
    <row r="110" spans="1:18" ht="16.5">
      <c r="A110" s="7" t="s">
        <v>754</v>
      </c>
      <c r="B110" s="67" t="s">
        <v>117</v>
      </c>
      <c r="C110" s="68">
        <f>SUMIF(cutts[date],A110,cutts[num])</f>
        <v>300</v>
      </c>
      <c r="D110" s="68"/>
      <c r="E110" s="69">
        <f>SUMIF(packes[date],A110,packes[num])</f>
        <v>3700</v>
      </c>
      <c r="F110" s="69">
        <f>SUMIF(packes[date],A110,packes[wPacked])</f>
        <v>4427.7811034620372</v>
      </c>
      <c r="G110" s="69"/>
      <c r="H110" s="69">
        <f>reportTbl[[#This Row],[personels]]-reportTbl[[#This Row],[personels]]*2.5/22-0.5</f>
        <v>-0.5</v>
      </c>
      <c r="I110" s="70">
        <f>(reportTbl[[#This Row],[وزن تولید]]*unityCycleTime-reportTbl[[#This Row],[received TimeOut]])/(reportTbl[[#This Row],[available time]]*reportTbl[[#This Row],[تعداد نیرو]])</f>
        <v>-28.382076873191661</v>
      </c>
      <c r="J110" s="71"/>
      <c r="K110" s="73">
        <v>1100</v>
      </c>
      <c r="L110" s="73">
        <v>1500</v>
      </c>
      <c r="M110" s="73">
        <v>1800</v>
      </c>
      <c r="N110" s="73">
        <v>1000</v>
      </c>
      <c r="O110" s="73">
        <v>1</v>
      </c>
      <c r="P110" s="72" t="s">
        <v>1014</v>
      </c>
      <c r="Q110" s="68">
        <f>_xlfn.XLOOKUP(reportTbl[[#This Row],[date]],IIITbl[date],IIITbl[totalCT],0)</f>
        <v>0</v>
      </c>
      <c r="R110" s="68">
        <v>30000</v>
      </c>
    </row>
    <row r="111" spans="1:18" ht="16.5">
      <c r="A111" s="7" t="s">
        <v>755</v>
      </c>
      <c r="B111" s="67" t="s">
        <v>118</v>
      </c>
      <c r="C111" s="68">
        <f>SUMIF(cutts[date],A111,cutts[num])</f>
        <v>9700</v>
      </c>
      <c r="D111" s="68"/>
      <c r="E111" s="69">
        <f>SUMIF(packes[date],A111,packes[num])</f>
        <v>4700</v>
      </c>
      <c r="F111" s="69">
        <f>SUMIF(packes[date],A111,packes[wPacked])</f>
        <v>6838.5194053676532</v>
      </c>
      <c r="G111" s="69"/>
      <c r="H111" s="69">
        <f>reportTbl[[#This Row],[personels]]-reportTbl[[#This Row],[personels]]*2.5/22-0.5</f>
        <v>-0.5</v>
      </c>
      <c r="I111" s="70">
        <f>(reportTbl[[#This Row],[وزن تولید]]*unityCycleTime-reportTbl[[#This Row],[received TimeOut]])/(reportTbl[[#This Row],[available time]]*reportTbl[[#This Row],[تعداد نیرو]])</f>
        <v>-43.834909388406658</v>
      </c>
      <c r="J111" s="71"/>
      <c r="K111" s="73">
        <v>1800</v>
      </c>
      <c r="L111" s="73">
        <v>1200</v>
      </c>
      <c r="M111" s="73">
        <v>1800</v>
      </c>
      <c r="N111" s="73">
        <v>1200</v>
      </c>
      <c r="O111" s="73">
        <v>1</v>
      </c>
      <c r="P111" s="72" t="s">
        <v>1014</v>
      </c>
      <c r="Q111" s="68">
        <f>_xlfn.XLOOKUP(reportTbl[[#This Row],[date]],IIITbl[date],IIITbl[totalCT],0)</f>
        <v>0</v>
      </c>
      <c r="R111" s="68">
        <v>30000</v>
      </c>
    </row>
    <row r="112" spans="1:18" ht="16.5">
      <c r="A112" s="7" t="s">
        <v>756</v>
      </c>
      <c r="B112" s="67" t="s">
        <v>119</v>
      </c>
      <c r="C112" s="68">
        <f>SUMIF(cutts[date],A112,cutts[num])</f>
        <v>7000</v>
      </c>
      <c r="D112" s="68"/>
      <c r="E112" s="69">
        <f>SUMIF(packes[date],A112,packes[num])</f>
        <v>4500</v>
      </c>
      <c r="F112" s="69">
        <f>SUMIF(packes[date],A112,packes[wPacked])</f>
        <v>5811.9744587448859</v>
      </c>
      <c r="G112" s="69"/>
      <c r="H112" s="69">
        <f>reportTbl[[#This Row],[personels]]-reportTbl[[#This Row],[personels]]*2.5/22-0.5</f>
        <v>-0.5</v>
      </c>
      <c r="I112" s="70">
        <f>(reportTbl[[#This Row],[وزن تولید]]*unityCycleTime-reportTbl[[#This Row],[received TimeOut]])/(reportTbl[[#This Row],[available time]]*reportTbl[[#This Row],[تعداد نیرو]])</f>
        <v>-37.254756280554723</v>
      </c>
      <c r="J112" s="71"/>
      <c r="K112" s="73">
        <v>1200</v>
      </c>
      <c r="L112" s="73">
        <v>1500</v>
      </c>
      <c r="M112" s="73">
        <v>2100</v>
      </c>
      <c r="N112" s="73">
        <v>1200</v>
      </c>
      <c r="O112" s="73">
        <v>1</v>
      </c>
      <c r="P112" s="72" t="s">
        <v>1014</v>
      </c>
      <c r="Q112" s="68">
        <f>_xlfn.XLOOKUP(reportTbl[[#This Row],[date]],IIITbl[date],IIITbl[totalCT],0)</f>
        <v>0</v>
      </c>
      <c r="R112" s="68">
        <v>30000</v>
      </c>
    </row>
    <row r="113" spans="1:18" ht="16.5">
      <c r="A113" s="7" t="s">
        <v>757</v>
      </c>
      <c r="B113" s="67" t="s">
        <v>120</v>
      </c>
      <c r="C113" s="68">
        <f>SUMIF(cutts[date],A113,cutts[num])</f>
        <v>0</v>
      </c>
      <c r="D113" s="68"/>
      <c r="E113" s="69">
        <f>SUMIF(packes[date],A113,packes[num])</f>
        <v>0</v>
      </c>
      <c r="F113" s="69">
        <f>SUMIF(packes[date],A113,packes[wPacked])</f>
        <v>0</v>
      </c>
      <c r="G113" s="69"/>
      <c r="H113" s="69">
        <f>reportTbl[[#This Row],[personels]]-reportTbl[[#This Row],[personels]]*2.5/22-0.5</f>
        <v>-0.5</v>
      </c>
      <c r="I113" s="70">
        <f>(reportTbl[[#This Row],[وزن تولید]]*unityCycleTime-reportTbl[[#This Row],[received TimeOut]])/(reportTbl[[#This Row],[available time]]*reportTbl[[#This Row],[تعداد نیرو]])</f>
        <v>0</v>
      </c>
      <c r="J113" s="71"/>
      <c r="K113" s="73"/>
      <c r="L113" s="73"/>
      <c r="M113" s="73"/>
      <c r="N113" s="73"/>
      <c r="O113" s="73">
        <v>0</v>
      </c>
      <c r="P113" s="72" t="s">
        <v>1014</v>
      </c>
      <c r="Q113" s="68">
        <f>_xlfn.XLOOKUP(reportTbl[[#This Row],[date]],IIITbl[date],IIITbl[totalCT],0)</f>
        <v>0</v>
      </c>
      <c r="R113" s="68">
        <v>30000</v>
      </c>
    </row>
    <row r="114" spans="1:18" ht="16.5">
      <c r="A114" s="7" t="s">
        <v>758</v>
      </c>
      <c r="B114" s="67" t="s">
        <v>121</v>
      </c>
      <c r="C114" s="68">
        <f>SUMIF(cutts[date],A114,cutts[num])</f>
        <v>0</v>
      </c>
      <c r="D114" s="68"/>
      <c r="E114" s="69">
        <f>SUMIF(packes[date],A114,packes[num])</f>
        <v>0</v>
      </c>
      <c r="F114" s="69">
        <f>SUMIF(packes[date],A114,packes[wPacked])</f>
        <v>0</v>
      </c>
      <c r="G114" s="69"/>
      <c r="H114" s="69">
        <f>reportTbl[[#This Row],[personels]]-reportTbl[[#This Row],[personels]]*2.5/22-0.5</f>
        <v>-0.5</v>
      </c>
      <c r="I114" s="70">
        <f>(reportTbl[[#This Row],[وزن تولید]]*unityCycleTime-reportTbl[[#This Row],[received TimeOut]])/(reportTbl[[#This Row],[available time]]*reportTbl[[#This Row],[تعداد نیرو]])</f>
        <v>0</v>
      </c>
      <c r="J114" s="71"/>
      <c r="K114" s="73"/>
      <c r="L114" s="73"/>
      <c r="M114" s="73"/>
      <c r="N114" s="73"/>
      <c r="O114" s="73">
        <v>0</v>
      </c>
      <c r="P114" s="72" t="s">
        <v>1014</v>
      </c>
      <c r="Q114" s="68">
        <f>_xlfn.XLOOKUP(reportTbl[[#This Row],[date]],IIITbl[date],IIITbl[totalCT],0)</f>
        <v>0</v>
      </c>
      <c r="R114" s="68">
        <v>30000</v>
      </c>
    </row>
    <row r="115" spans="1:18" ht="16.5">
      <c r="A115" s="7" t="s">
        <v>759</v>
      </c>
      <c r="B115" s="67" t="s">
        <v>115</v>
      </c>
      <c r="C115" s="68">
        <f>SUMIF(cutts[date],A115,cutts[num])</f>
        <v>7050</v>
      </c>
      <c r="D115" s="68"/>
      <c r="E115" s="69">
        <f>SUMIF(packes[date],A115,packes[num])</f>
        <v>4750</v>
      </c>
      <c r="F115" s="69">
        <f>SUMIF(packes[date],A115,packes[wPacked])</f>
        <v>6988.2565100269367</v>
      </c>
      <c r="G115" s="69"/>
      <c r="H115" s="69">
        <f>reportTbl[[#This Row],[personels]]-reportTbl[[#This Row],[personels]]*2.5/22-0.5</f>
        <v>-0.5</v>
      </c>
      <c r="I115" s="70">
        <f>(reportTbl[[#This Row],[وزن تولید]]*unityCycleTime-reportTbl[[#This Row],[received TimeOut]])/(reportTbl[[#This Row],[available time]]*reportTbl[[#This Row],[تعداد نیرو]])</f>
        <v>-44.794724229272667</v>
      </c>
      <c r="J115" s="71"/>
      <c r="K115" s="73">
        <v>1500</v>
      </c>
      <c r="L115" s="73">
        <v>1800</v>
      </c>
      <c r="M115" s="73">
        <v>2100</v>
      </c>
      <c r="N115" s="73">
        <v>1300</v>
      </c>
      <c r="O115" s="73">
        <v>1</v>
      </c>
      <c r="P115" s="72" t="s">
        <v>1014</v>
      </c>
      <c r="Q115" s="68">
        <f>_xlfn.XLOOKUP(reportTbl[[#This Row],[date]],IIITbl[date],IIITbl[totalCT],0)</f>
        <v>0</v>
      </c>
      <c r="R115" s="68">
        <v>30000</v>
      </c>
    </row>
    <row r="116" spans="1:18" ht="16.5">
      <c r="A116" s="7" t="s">
        <v>760</v>
      </c>
      <c r="B116" s="67" t="s">
        <v>116</v>
      </c>
      <c r="C116" s="68">
        <f>SUMIF(cutts[date],A116,cutts[num])</f>
        <v>1200</v>
      </c>
      <c r="D116" s="68"/>
      <c r="E116" s="69">
        <f>SUMIF(packes[date],A116,packes[num])</f>
        <v>4540</v>
      </c>
      <c r="F116" s="69">
        <f>SUMIF(packes[date],A116,packes[wPacked])</f>
        <v>6668.6620772223878</v>
      </c>
      <c r="G116" s="69"/>
      <c r="H116" s="69">
        <f>reportTbl[[#This Row],[personels]]-reportTbl[[#This Row],[personels]]*2.5/22-0.5</f>
        <v>-0.5</v>
      </c>
      <c r="I116" s="70">
        <f>(reportTbl[[#This Row],[وزن تولید]]*unityCycleTime-reportTbl[[#This Row],[received TimeOut]])/(reportTbl[[#This Row],[available time]]*reportTbl[[#This Row],[تعداد نیرو]])</f>
        <v>-42.746123914995508</v>
      </c>
      <c r="J116" s="71"/>
      <c r="K116" s="73">
        <v>900</v>
      </c>
      <c r="L116" s="73">
        <v>1500</v>
      </c>
      <c r="M116" s="73">
        <v>1500</v>
      </c>
      <c r="N116" s="73">
        <v>1300</v>
      </c>
      <c r="O116" s="73">
        <v>1</v>
      </c>
      <c r="P116" s="72" t="s">
        <v>1014</v>
      </c>
      <c r="Q116" s="68">
        <f>_xlfn.XLOOKUP(reportTbl[[#This Row],[date]],IIITbl[date],IIITbl[totalCT],0)</f>
        <v>0</v>
      </c>
      <c r="R116" s="68">
        <v>30000</v>
      </c>
    </row>
    <row r="117" spans="1:18" ht="16.5">
      <c r="A117" s="7" t="s">
        <v>761</v>
      </c>
      <c r="B117" s="67" t="s">
        <v>117</v>
      </c>
      <c r="C117" s="68">
        <f>SUMIF(cutts[date],A117,cutts[num])</f>
        <v>1500</v>
      </c>
      <c r="D117" s="68"/>
      <c r="E117" s="69">
        <f>SUMIF(packes[date],A117,packes[num])</f>
        <v>4850</v>
      </c>
      <c r="F117" s="69">
        <f>SUMIF(packes[date],A117,packes[wPacked])</f>
        <v>6538.3617679337522</v>
      </c>
      <c r="G117" s="69"/>
      <c r="H117" s="69">
        <f>reportTbl[[#This Row],[personels]]-reportTbl[[#This Row],[personels]]*2.5/22-0.5</f>
        <v>-0.5</v>
      </c>
      <c r="I117" s="70">
        <f>(reportTbl[[#This Row],[وزن تولید]]*unityCycleTime-reportTbl[[#This Row],[received TimeOut]])/(reportTbl[[#This Row],[available time]]*reportTbl[[#This Row],[تعداد نیرو]])</f>
        <v>-41.910898932455353</v>
      </c>
      <c r="J117" s="71"/>
      <c r="K117" s="73">
        <v>1200</v>
      </c>
      <c r="L117" s="73">
        <v>1500</v>
      </c>
      <c r="M117" s="73">
        <v>0</v>
      </c>
      <c r="N117" s="73">
        <v>1450</v>
      </c>
      <c r="O117" s="73">
        <v>1</v>
      </c>
      <c r="P117" s="72" t="s">
        <v>1014</v>
      </c>
      <c r="Q117" s="68">
        <f>_xlfn.XLOOKUP(reportTbl[[#This Row],[date]],IIITbl[date],IIITbl[totalCT],0)</f>
        <v>0</v>
      </c>
      <c r="R117" s="68">
        <v>30000</v>
      </c>
    </row>
    <row r="118" spans="1:18" ht="16.5">
      <c r="A118" s="7" t="s">
        <v>762</v>
      </c>
      <c r="B118" s="67" t="s">
        <v>118</v>
      </c>
      <c r="C118" s="68">
        <f>SUMIF(cutts[date],A118,cutts[num])</f>
        <v>6100</v>
      </c>
      <c r="D118" s="68"/>
      <c r="E118" s="69">
        <f>SUMIF(packes[date],A118,packes[num])</f>
        <v>4650</v>
      </c>
      <c r="F118" s="69">
        <f>SUMIF(packes[date],A118,packes[wPacked])</f>
        <v>6595.7572583058973</v>
      </c>
      <c r="G118" s="69"/>
      <c r="H118" s="69">
        <f>reportTbl[[#This Row],[personels]]-reportTbl[[#This Row],[personels]]*2.5/22-0.5</f>
        <v>-0.5</v>
      </c>
      <c r="I118" s="70">
        <f>(reportTbl[[#This Row],[وزن تولید]]*unityCycleTime-reportTbl[[#This Row],[received TimeOut]])/(reportTbl[[#This Row],[available time]]*reportTbl[[#This Row],[تعداد نیرو]])</f>
        <v>-42.278804025740804</v>
      </c>
      <c r="J118" s="71"/>
      <c r="K118" s="73">
        <v>1200</v>
      </c>
      <c r="L118" s="73">
        <v>1800</v>
      </c>
      <c r="M118" s="73">
        <v>0</v>
      </c>
      <c r="N118" s="73">
        <v>1400</v>
      </c>
      <c r="O118" s="73">
        <v>1</v>
      </c>
      <c r="P118" s="72" t="s">
        <v>1014</v>
      </c>
      <c r="Q118" s="68">
        <f>_xlfn.XLOOKUP(reportTbl[[#This Row],[date]],IIITbl[date],IIITbl[totalCT],0)</f>
        <v>0</v>
      </c>
      <c r="R118" s="68">
        <v>30000</v>
      </c>
    </row>
    <row r="119" spans="1:18" ht="16.5">
      <c r="A119" s="7" t="s">
        <v>763</v>
      </c>
      <c r="B119" s="67" t="s">
        <v>119</v>
      </c>
      <c r="C119" s="68">
        <f>SUMIF(cutts[date],A119,cutts[num])</f>
        <v>1200</v>
      </c>
      <c r="D119" s="68"/>
      <c r="E119" s="69">
        <f>SUMIF(packes[date],A119,packes[num])</f>
        <v>5100</v>
      </c>
      <c r="F119" s="69">
        <f>SUMIF(packes[date],A119,packes[wPacked])</f>
        <v>6861.0545744786987</v>
      </c>
      <c r="G119" s="69"/>
      <c r="H119" s="69">
        <f>reportTbl[[#This Row],[personels]]-reportTbl[[#This Row],[personels]]*2.5/22-0.5</f>
        <v>-0.5</v>
      </c>
      <c r="I119" s="70">
        <f>(reportTbl[[#This Row],[وزن تولید]]*unityCycleTime-reportTbl[[#This Row],[received TimeOut]])/(reportTbl[[#This Row],[available time]]*reportTbl[[#This Row],[تعداد نیرو]])</f>
        <v>-43.979359822408462</v>
      </c>
      <c r="J119" s="71"/>
      <c r="K119" s="73">
        <v>600</v>
      </c>
      <c r="L119" s="73">
        <v>1600</v>
      </c>
      <c r="M119" s="73">
        <v>1800</v>
      </c>
      <c r="N119" s="73">
        <v>1450</v>
      </c>
      <c r="O119" s="73">
        <v>1</v>
      </c>
      <c r="P119" s="72" t="s">
        <v>1014</v>
      </c>
      <c r="Q119" s="68">
        <f>_xlfn.XLOOKUP(reportTbl[[#This Row],[date]],IIITbl[date],IIITbl[totalCT],0)</f>
        <v>0</v>
      </c>
      <c r="R119" s="68">
        <v>30000</v>
      </c>
    </row>
    <row r="120" spans="1:18" ht="16.5">
      <c r="A120" s="7" t="s">
        <v>764</v>
      </c>
      <c r="B120" s="67" t="s">
        <v>120</v>
      </c>
      <c r="C120" s="68">
        <f>SUMIF(cutts[date],A120,cutts[num])</f>
        <v>0</v>
      </c>
      <c r="D120" s="68"/>
      <c r="E120" s="69">
        <f>SUMIF(packes[date],A120,packes[num])</f>
        <v>0</v>
      </c>
      <c r="F120" s="69">
        <f>SUMIF(packes[date],A120,packes[wPacked])</f>
        <v>0</v>
      </c>
      <c r="G120" s="69"/>
      <c r="H120" s="69">
        <f>reportTbl[[#This Row],[personels]]-reportTbl[[#This Row],[personels]]*2.5/22-0.5</f>
        <v>-0.5</v>
      </c>
      <c r="I120" s="70">
        <f>(reportTbl[[#This Row],[وزن تولید]]*unityCycleTime-reportTbl[[#This Row],[received TimeOut]])/(reportTbl[[#This Row],[available time]]*reportTbl[[#This Row],[تعداد نیرو]])</f>
        <v>0</v>
      </c>
      <c r="J120" s="71"/>
      <c r="K120" s="73"/>
      <c r="L120" s="73"/>
      <c r="M120" s="73"/>
      <c r="N120" s="73"/>
      <c r="O120" s="73">
        <v>0</v>
      </c>
      <c r="P120" s="72" t="s">
        <v>1014</v>
      </c>
      <c r="Q120" s="68">
        <f>_xlfn.XLOOKUP(reportTbl[[#This Row],[date]],IIITbl[date],IIITbl[totalCT],0)</f>
        <v>0</v>
      </c>
      <c r="R120" s="68">
        <v>30000</v>
      </c>
    </row>
    <row r="121" spans="1:18" ht="16.5">
      <c r="A121" s="7" t="s">
        <v>765</v>
      </c>
      <c r="B121" s="67" t="s">
        <v>121</v>
      </c>
      <c r="C121" s="68">
        <f>SUMIF(cutts[date],A121,cutts[num])</f>
        <v>0</v>
      </c>
      <c r="D121" s="68"/>
      <c r="E121" s="69">
        <f>SUMIF(packes[date],A121,packes[num])</f>
        <v>0</v>
      </c>
      <c r="F121" s="69">
        <f>SUMIF(packes[date],A121,packes[wPacked])</f>
        <v>0</v>
      </c>
      <c r="G121" s="69"/>
      <c r="H121" s="69">
        <f>reportTbl[[#This Row],[personels]]-reportTbl[[#This Row],[personels]]*2.5/22-0.5</f>
        <v>-0.5</v>
      </c>
      <c r="I121" s="70">
        <f>(reportTbl[[#This Row],[وزن تولید]]*unityCycleTime-reportTbl[[#This Row],[received TimeOut]])/(reportTbl[[#This Row],[available time]]*reportTbl[[#This Row],[تعداد نیرو]])</f>
        <v>0</v>
      </c>
      <c r="J121" s="71"/>
      <c r="K121" s="73"/>
      <c r="L121" s="73"/>
      <c r="M121" s="73"/>
      <c r="N121" s="73"/>
      <c r="O121" s="73">
        <v>0</v>
      </c>
      <c r="P121" s="72" t="s">
        <v>1014</v>
      </c>
      <c r="Q121" s="68">
        <f>_xlfn.XLOOKUP(reportTbl[[#This Row],[date]],IIITbl[date],IIITbl[totalCT],0)</f>
        <v>0</v>
      </c>
      <c r="R121" s="68">
        <v>30000</v>
      </c>
    </row>
    <row r="122" spans="1:18" ht="16.5">
      <c r="A122" s="7" t="s">
        <v>766</v>
      </c>
      <c r="B122" s="67" t="s">
        <v>115</v>
      </c>
      <c r="C122" s="68">
        <f>SUMIF(cutts[date],A122,cutts[num])</f>
        <v>3000</v>
      </c>
      <c r="D122" s="68"/>
      <c r="E122" s="69">
        <f>SUMIF(packes[date],A122,packes[num])</f>
        <v>4910</v>
      </c>
      <c r="F122" s="69">
        <f>SUMIF(packes[date],A122,packes[wPacked])</f>
        <v>7233.6705577172497</v>
      </c>
      <c r="G122" s="69"/>
      <c r="H122" s="69">
        <f>reportTbl[[#This Row],[personels]]-reportTbl[[#This Row],[personels]]*2.5/22-0.5</f>
        <v>-0.5</v>
      </c>
      <c r="I122" s="70">
        <f>(reportTbl[[#This Row],[وزن تولید]]*unityCycleTime-reportTbl[[#This Row],[received TimeOut]])/(reportTbl[[#This Row],[available time]]*reportTbl[[#This Row],[تعداد نیرو]])</f>
        <v>-46.367828274967579</v>
      </c>
      <c r="J122" s="71"/>
      <c r="K122" s="73">
        <v>1200</v>
      </c>
      <c r="L122" s="73">
        <v>1500</v>
      </c>
      <c r="M122" s="73">
        <v>0</v>
      </c>
      <c r="N122" s="73">
        <v>1200</v>
      </c>
      <c r="O122" s="73">
        <v>1</v>
      </c>
      <c r="P122" s="72" t="s">
        <v>1014</v>
      </c>
      <c r="Q122" s="68">
        <f>_xlfn.XLOOKUP(reportTbl[[#This Row],[date]],IIITbl[date],IIITbl[totalCT],0)</f>
        <v>0</v>
      </c>
      <c r="R122" s="68">
        <v>30000</v>
      </c>
    </row>
    <row r="123" spans="1:18" ht="16.5">
      <c r="A123" s="7" t="s">
        <v>767</v>
      </c>
      <c r="B123" s="67" t="s">
        <v>116</v>
      </c>
      <c r="C123" s="68">
        <f>SUMIF(cutts[date],A123,cutts[num])</f>
        <v>6000</v>
      </c>
      <c r="D123" s="68"/>
      <c r="E123" s="69">
        <f>SUMIF(packes[date],A123,packes[num])</f>
        <v>5100</v>
      </c>
      <c r="F123" s="69">
        <f>SUMIF(packes[date],A123,packes[wPacked])</f>
        <v>6544.747081712062</v>
      </c>
      <c r="G123" s="69"/>
      <c r="H123" s="69">
        <f>reportTbl[[#This Row],[personels]]-reportTbl[[#This Row],[personels]]*2.5/22-0.5</f>
        <v>-0.5</v>
      </c>
      <c r="I123" s="70">
        <f>(reportTbl[[#This Row],[وزن تولید]]*unityCycleTime-reportTbl[[#This Row],[received TimeOut]])/(reportTbl[[#This Row],[available time]]*reportTbl[[#This Row],[تعداد نیرو]])</f>
        <v>-41.951828793774318</v>
      </c>
      <c r="J123" s="71"/>
      <c r="K123" s="73">
        <v>1500</v>
      </c>
      <c r="L123" s="73">
        <v>1500</v>
      </c>
      <c r="M123" s="73">
        <v>0</v>
      </c>
      <c r="N123" s="73">
        <v>1500</v>
      </c>
      <c r="O123" s="73">
        <v>1</v>
      </c>
      <c r="P123" s="72" t="s">
        <v>1014</v>
      </c>
      <c r="Q123" s="68">
        <f>_xlfn.XLOOKUP(reportTbl[[#This Row],[date]],IIITbl[date],IIITbl[totalCT],0)</f>
        <v>0</v>
      </c>
      <c r="R123" s="68">
        <v>30000</v>
      </c>
    </row>
    <row r="124" spans="1:18" ht="16.5">
      <c r="A124" s="7" t="s">
        <v>768</v>
      </c>
      <c r="B124" s="67" t="s">
        <v>117</v>
      </c>
      <c r="C124" s="68">
        <f>SUMIF(cutts[date],A124,cutts[num])</f>
        <v>0</v>
      </c>
      <c r="D124" s="68"/>
      <c r="E124" s="69">
        <f>SUMIF(packes[date],A124,packes[num])</f>
        <v>4900</v>
      </c>
      <c r="F124" s="69">
        <f>SUMIF(packes[date],A124,packes[wPacked])</f>
        <v>6616.0630549735606</v>
      </c>
      <c r="G124" s="69"/>
      <c r="H124" s="69">
        <f>reportTbl[[#This Row],[personels]]-reportTbl[[#This Row],[personels]]*2.5/22-0.5</f>
        <v>-0.5</v>
      </c>
      <c r="I124" s="70">
        <f>(reportTbl[[#This Row],[وزن تولید]]*unityCycleTime-reportTbl[[#This Row],[received TimeOut]])/(reportTbl[[#This Row],[available time]]*reportTbl[[#This Row],[تعداد نیرو]])</f>
        <v>-42.408964182380522</v>
      </c>
      <c r="J124" s="71"/>
      <c r="K124" s="73">
        <v>1200</v>
      </c>
      <c r="L124" s="73">
        <v>1500</v>
      </c>
      <c r="M124" s="73">
        <v>1800</v>
      </c>
      <c r="N124" s="73">
        <v>1500</v>
      </c>
      <c r="O124" s="73">
        <v>1</v>
      </c>
      <c r="P124" s="72" t="s">
        <v>1014</v>
      </c>
      <c r="Q124" s="68">
        <f>_xlfn.XLOOKUP(reportTbl[[#This Row],[date]],IIITbl[date],IIITbl[totalCT],0)</f>
        <v>0</v>
      </c>
      <c r="R124" s="68">
        <v>30000</v>
      </c>
    </row>
    <row r="125" spans="1:18" ht="16.5">
      <c r="A125" s="7" t="s">
        <v>769</v>
      </c>
      <c r="B125" s="67" t="s">
        <v>118</v>
      </c>
      <c r="C125" s="68">
        <f>SUMIF(cutts[date],A125,cutts[num])</f>
        <v>7000</v>
      </c>
      <c r="D125" s="68"/>
      <c r="E125" s="69">
        <f>SUMIF(packes[date],A125,packes[num])</f>
        <v>4850</v>
      </c>
      <c r="F125" s="69">
        <f>SUMIF(packes[date],A125,packes[wPacked])</f>
        <v>6635.3387209418333</v>
      </c>
      <c r="G125" s="69"/>
      <c r="H125" s="69">
        <f>reportTbl[[#This Row],[personels]]-reportTbl[[#This Row],[personels]]*2.5/22-0.5</f>
        <v>-0.5</v>
      </c>
      <c r="I125" s="70">
        <f>(reportTbl[[#This Row],[وزن تولید]]*unityCycleTime-reportTbl[[#This Row],[received TimeOut]])/(reportTbl[[#This Row],[available time]]*reportTbl[[#This Row],[تعداد نیرو]])</f>
        <v>-42.532521201237152</v>
      </c>
      <c r="J125" s="71"/>
      <c r="K125" s="73">
        <v>1500</v>
      </c>
      <c r="L125" s="73">
        <v>1500</v>
      </c>
      <c r="M125" s="73">
        <v>1200</v>
      </c>
      <c r="N125" s="73">
        <v>1500</v>
      </c>
      <c r="O125" s="73">
        <v>1</v>
      </c>
      <c r="P125" s="72" t="s">
        <v>1014</v>
      </c>
      <c r="Q125" s="68">
        <f>_xlfn.XLOOKUP(reportTbl[[#This Row],[date]],IIITbl[date],IIITbl[totalCT],0)</f>
        <v>0</v>
      </c>
      <c r="R125" s="68">
        <v>30000</v>
      </c>
    </row>
    <row r="126" spans="1:18" ht="16.5">
      <c r="A126" s="7" t="s">
        <v>770</v>
      </c>
      <c r="B126" s="67" t="s">
        <v>119</v>
      </c>
      <c r="C126" s="68">
        <f>SUMIF(cutts[date],A126,cutts[num])</f>
        <v>0</v>
      </c>
      <c r="D126" s="68"/>
      <c r="E126" s="69">
        <f>SUMIF(packes[date],A126,packes[num])</f>
        <v>4580</v>
      </c>
      <c r="F126" s="69" t="e">
        <f>SUMIF(packes[date],A126,packes[wPacked])</f>
        <v>#N/A</v>
      </c>
      <c r="G126" s="69"/>
      <c r="H126" s="69">
        <f>reportTbl[[#This Row],[personels]]-reportTbl[[#This Row],[personels]]*2.5/22-0.5</f>
        <v>-0.5</v>
      </c>
      <c r="I126" s="70" t="e">
        <f>(reportTbl[[#This Row],[وزن تولید]]*unityCycleTime-reportTbl[[#This Row],[received TimeOut]])/(reportTbl[[#This Row],[available time]]*reportTbl[[#This Row],[تعداد نیرو]])</f>
        <v>#N/A</v>
      </c>
      <c r="J126" s="71"/>
      <c r="K126" s="73">
        <v>1500</v>
      </c>
      <c r="L126" s="73">
        <v>1800</v>
      </c>
      <c r="M126" s="73">
        <v>1500</v>
      </c>
      <c r="N126" s="73">
        <v>1500</v>
      </c>
      <c r="O126" s="73">
        <v>1</v>
      </c>
      <c r="P126" s="72" t="s">
        <v>1015</v>
      </c>
      <c r="Q126" s="68">
        <f>_xlfn.XLOOKUP(reportTbl[[#This Row],[date]],IIITbl[date],IIITbl[totalCT],0)</f>
        <v>0</v>
      </c>
      <c r="R126" s="68">
        <v>30000</v>
      </c>
    </row>
    <row r="127" spans="1:18" ht="16.5">
      <c r="A127" s="7" t="s">
        <v>771</v>
      </c>
      <c r="B127" s="67" t="s">
        <v>120</v>
      </c>
      <c r="C127" s="68">
        <f>SUMIF(cutts[date],A127,cutts[num])</f>
        <v>0</v>
      </c>
      <c r="D127" s="68"/>
      <c r="E127" s="69">
        <f>SUMIF(packes[date],A127,packes[num])</f>
        <v>0</v>
      </c>
      <c r="F127" s="69">
        <f>SUMIF(packes[date],A127,packes[wPacked])</f>
        <v>0</v>
      </c>
      <c r="G127" s="69"/>
      <c r="H127" s="69">
        <f>reportTbl[[#This Row],[personels]]-reportTbl[[#This Row],[personels]]*2.5/22-0.5</f>
        <v>-0.5</v>
      </c>
      <c r="I127" s="70">
        <f>(reportTbl[[#This Row],[وزن تولید]]*unityCycleTime-reportTbl[[#This Row],[received TimeOut]])/(reportTbl[[#This Row],[available time]]*reportTbl[[#This Row],[تعداد نیرو]])</f>
        <v>0</v>
      </c>
      <c r="J127" s="71"/>
      <c r="K127" s="73"/>
      <c r="L127" s="73"/>
      <c r="M127" s="73"/>
      <c r="N127" s="73"/>
      <c r="O127" s="73">
        <v>0</v>
      </c>
      <c r="P127" s="72" t="s">
        <v>1015</v>
      </c>
      <c r="Q127" s="68">
        <f>_xlfn.XLOOKUP(reportTbl[[#This Row],[date]],IIITbl[date],IIITbl[totalCT],0)</f>
        <v>0</v>
      </c>
      <c r="R127" s="68">
        <v>30000</v>
      </c>
    </row>
    <row r="128" spans="1:18" ht="16.5">
      <c r="A128" s="7" t="s">
        <v>772</v>
      </c>
      <c r="B128" s="67" t="s">
        <v>121</v>
      </c>
      <c r="C128" s="68">
        <f>SUMIF(cutts[date],A128,cutts[num])</f>
        <v>0</v>
      </c>
      <c r="D128" s="68"/>
      <c r="E128" s="69">
        <f>SUMIF(packes[date],A128,packes[num])</f>
        <v>0</v>
      </c>
      <c r="F128" s="69">
        <f>SUMIF(packes[date],A128,packes[wPacked])</f>
        <v>0</v>
      </c>
      <c r="G128" s="69"/>
      <c r="H128" s="69">
        <f>reportTbl[[#This Row],[personels]]-reportTbl[[#This Row],[personels]]*2.5/22-0.5</f>
        <v>-0.5</v>
      </c>
      <c r="I128" s="70">
        <f>(reportTbl[[#This Row],[وزن تولید]]*unityCycleTime-reportTbl[[#This Row],[received TimeOut]])/(reportTbl[[#This Row],[available time]]*reportTbl[[#This Row],[تعداد نیرو]])</f>
        <v>0</v>
      </c>
      <c r="J128" s="71"/>
      <c r="K128" s="73"/>
      <c r="L128" s="73"/>
      <c r="M128" s="73"/>
      <c r="N128" s="73"/>
      <c r="O128" s="73">
        <v>0</v>
      </c>
      <c r="P128" s="72" t="s">
        <v>1015</v>
      </c>
      <c r="Q128" s="68">
        <f>_xlfn.XLOOKUP(reportTbl[[#This Row],[date]],IIITbl[date],IIITbl[totalCT],0)</f>
        <v>0</v>
      </c>
      <c r="R128" s="68">
        <v>30000</v>
      </c>
    </row>
    <row r="129" spans="1:18" ht="16.5">
      <c r="A129" s="7" t="s">
        <v>773</v>
      </c>
      <c r="B129" s="67" t="s">
        <v>115</v>
      </c>
      <c r="C129" s="68">
        <f>SUMIF(cutts[date],A129,cutts[num])</f>
        <v>2400</v>
      </c>
      <c r="D129" s="68"/>
      <c r="E129" s="69">
        <f>SUMIF(packes[date],A129,packes[num])</f>
        <v>4682</v>
      </c>
      <c r="F129" s="69">
        <f>SUMIF(packes[date],A129,packes[wPacked])</f>
        <v>5816.340347201437</v>
      </c>
      <c r="G129" s="69"/>
      <c r="H129" s="69">
        <f>reportTbl[[#This Row],[personels]]-reportTbl[[#This Row],[personels]]*2.5/22-0.5</f>
        <v>-0.5</v>
      </c>
      <c r="I129" s="70">
        <f>(reportTbl[[#This Row],[وزن تولید]]*unityCycleTime-reportTbl[[#This Row],[received TimeOut]])/(reportTbl[[#This Row],[available time]]*reportTbl[[#This Row],[تعداد نیرو]])</f>
        <v>-37.282741625561215</v>
      </c>
      <c r="J129" s="71"/>
      <c r="K129" s="73">
        <v>1500</v>
      </c>
      <c r="L129" s="73">
        <v>1500</v>
      </c>
      <c r="M129" s="73">
        <v>1800</v>
      </c>
      <c r="N129" s="73">
        <v>1400</v>
      </c>
      <c r="O129" s="73">
        <v>1</v>
      </c>
      <c r="P129" s="72" t="s">
        <v>1015</v>
      </c>
      <c r="Q129" s="68">
        <f>_xlfn.XLOOKUP(reportTbl[[#This Row],[date]],IIITbl[date],IIITbl[totalCT],0)</f>
        <v>0</v>
      </c>
      <c r="R129" s="68">
        <v>30000</v>
      </c>
    </row>
    <row r="130" spans="1:18" ht="16.5">
      <c r="A130" s="7" t="s">
        <v>774</v>
      </c>
      <c r="B130" s="67" t="s">
        <v>116</v>
      </c>
      <c r="C130" s="68">
        <f>SUMIF(cutts[date],A130,cutts[num])</f>
        <v>0</v>
      </c>
      <c r="D130" s="68"/>
      <c r="E130" s="69">
        <f>SUMIF(packes[date],A130,packes[num])</f>
        <v>4700</v>
      </c>
      <c r="F130" s="69">
        <f>SUMIF(packes[date],A130,packes[wPacked])</f>
        <v>5458.2460341215201</v>
      </c>
      <c r="G130" s="69"/>
      <c r="H130" s="69">
        <f>reportTbl[[#This Row],[personels]]-reportTbl[[#This Row],[personels]]*2.5/22-0.5</f>
        <v>-0.5</v>
      </c>
      <c r="I130" s="70">
        <f>(reportTbl[[#This Row],[وزن تولید]]*unityCycleTime-reportTbl[[#This Row],[received TimeOut]])/(reportTbl[[#This Row],[available time]]*reportTbl[[#This Row],[تعداد نیرو]])</f>
        <v>-34.987357078718944</v>
      </c>
      <c r="J130" s="71"/>
      <c r="K130" s="73">
        <v>1100</v>
      </c>
      <c r="L130" s="73">
        <v>1500</v>
      </c>
      <c r="M130" s="73">
        <v>600</v>
      </c>
      <c r="N130" s="73">
        <v>1000</v>
      </c>
      <c r="O130" s="73">
        <v>1</v>
      </c>
      <c r="P130" s="72" t="s">
        <v>1015</v>
      </c>
      <c r="Q130" s="68">
        <f>_xlfn.XLOOKUP(reportTbl[[#This Row],[date]],IIITbl[date],IIITbl[totalCT],0)</f>
        <v>0</v>
      </c>
      <c r="R130" s="68">
        <v>30000</v>
      </c>
    </row>
    <row r="131" spans="1:18" ht="16.5">
      <c r="A131" s="7" t="s">
        <v>775</v>
      </c>
      <c r="B131" s="67" t="s">
        <v>117</v>
      </c>
      <c r="C131" s="68">
        <f>SUMIF(cutts[date],A131,cutts[num])</f>
        <v>1000</v>
      </c>
      <c r="D131" s="68"/>
      <c r="E131" s="69">
        <f>SUMIF(packes[date],A131,packes[num])</f>
        <v>4900</v>
      </c>
      <c r="F131" s="69">
        <f>SUMIF(packes[date],A131,packes[wPacked])</f>
        <v>6498.1337922777602</v>
      </c>
      <c r="G131" s="69"/>
      <c r="H131" s="69">
        <f>reportTbl[[#This Row],[personels]]-reportTbl[[#This Row],[personels]]*2.5/22-0.5</f>
        <v>-0.5</v>
      </c>
      <c r="I131" s="70">
        <f>(reportTbl[[#This Row],[وزن تولید]]*unityCycleTime-reportTbl[[#This Row],[received TimeOut]])/(reportTbl[[#This Row],[available time]]*reportTbl[[#This Row],[تعداد نیرو]])</f>
        <v>-41.653037608500448</v>
      </c>
      <c r="J131" s="71" t="s">
        <v>1321</v>
      </c>
      <c r="K131" s="73">
        <v>1200</v>
      </c>
      <c r="L131" s="73">
        <v>1800</v>
      </c>
      <c r="M131" s="73">
        <v>0</v>
      </c>
      <c r="N131" s="73">
        <v>0</v>
      </c>
      <c r="O131" s="73">
        <v>1</v>
      </c>
      <c r="P131" s="72" t="s">
        <v>1015</v>
      </c>
      <c r="Q131" s="68">
        <f>_xlfn.XLOOKUP(reportTbl[[#This Row],[date]],IIITbl[date],IIITbl[totalCT],0)</f>
        <v>0</v>
      </c>
      <c r="R131" s="68">
        <v>30000</v>
      </c>
    </row>
    <row r="132" spans="1:18" ht="16.5">
      <c r="A132" s="7" t="s">
        <v>776</v>
      </c>
      <c r="B132" s="67" t="s">
        <v>118</v>
      </c>
      <c r="C132" s="68">
        <f>SUMIF(cutts[date],A132,cutts[num])</f>
        <v>4500</v>
      </c>
      <c r="D132" s="68"/>
      <c r="E132" s="69">
        <f>SUMIF(packes[date],A132,packes[num])</f>
        <v>4850</v>
      </c>
      <c r="F132" s="69">
        <f>SUMIF(packes[date],A132,packes[wPacked])</f>
        <v>5924.0446971964484</v>
      </c>
      <c r="G132" s="69"/>
      <c r="H132" s="69">
        <f>reportTbl[[#This Row],[personels]]-reportTbl[[#This Row],[personels]]*2.5/22-0.5</f>
        <v>-0.5</v>
      </c>
      <c r="I132" s="70">
        <f>(reportTbl[[#This Row],[وزن تولید]]*unityCycleTime-reportTbl[[#This Row],[received TimeOut]])/(reportTbl[[#This Row],[available time]]*reportTbl[[#This Row],[تعداد نیرو]])</f>
        <v>-37.973126509029242</v>
      </c>
      <c r="J132" s="71"/>
      <c r="K132" s="73">
        <v>1500</v>
      </c>
      <c r="L132" s="73">
        <v>1500</v>
      </c>
      <c r="M132" s="73">
        <v>900</v>
      </c>
      <c r="N132" s="73">
        <v>0</v>
      </c>
      <c r="O132" s="73">
        <v>1</v>
      </c>
      <c r="P132" s="72" t="s">
        <v>1015</v>
      </c>
      <c r="Q132" s="68">
        <f>_xlfn.XLOOKUP(reportTbl[[#This Row],[date]],IIITbl[date],IIITbl[totalCT],0)</f>
        <v>0</v>
      </c>
      <c r="R132" s="68">
        <v>30000</v>
      </c>
    </row>
    <row r="133" spans="1:18" ht="16.5">
      <c r="A133" s="7" t="s">
        <v>777</v>
      </c>
      <c r="B133" s="67" t="s">
        <v>119</v>
      </c>
      <c r="C133" s="68">
        <f>SUMIF(cutts[date],A133,cutts[num])</f>
        <v>4006</v>
      </c>
      <c r="D133" s="68"/>
      <c r="E133" s="69">
        <f>SUMIF(packes[date],A133,packes[num])</f>
        <v>4870</v>
      </c>
      <c r="F133" s="69" t="e">
        <f>SUMIF(packes[date],A133,packes[wPacked])</f>
        <v>#N/A</v>
      </c>
      <c r="G133" s="69"/>
      <c r="H133" s="69">
        <f>reportTbl[[#This Row],[personels]]-reportTbl[[#This Row],[personels]]*2.5/22-0.5</f>
        <v>-0.5</v>
      </c>
      <c r="I133" s="70" t="e">
        <f>(reportTbl[[#This Row],[وزن تولید]]*unityCycleTime-reportTbl[[#This Row],[received TimeOut]])/(reportTbl[[#This Row],[available time]]*reportTbl[[#This Row],[تعداد نیرو]])</f>
        <v>#N/A</v>
      </c>
      <c r="J133" s="71"/>
      <c r="K133" s="73">
        <v>1500</v>
      </c>
      <c r="L133" s="73">
        <v>1700</v>
      </c>
      <c r="M133" s="73">
        <v>0</v>
      </c>
      <c r="N133" s="73">
        <v>0</v>
      </c>
      <c r="O133" s="73">
        <v>1</v>
      </c>
      <c r="P133" s="72" t="s">
        <v>1015</v>
      </c>
      <c r="Q133" s="68">
        <f>_xlfn.XLOOKUP(reportTbl[[#This Row],[date]],IIITbl[date],IIITbl[totalCT],0)</f>
        <v>0</v>
      </c>
      <c r="R133" s="68">
        <v>30000</v>
      </c>
    </row>
    <row r="134" spans="1:18" ht="16.5">
      <c r="A134" s="7" t="s">
        <v>778</v>
      </c>
      <c r="B134" s="67" t="s">
        <v>120</v>
      </c>
      <c r="C134" s="68">
        <f>SUMIF(cutts[date],A134,cutts[num])</f>
        <v>0</v>
      </c>
      <c r="D134" s="68"/>
      <c r="E134" s="69">
        <f>SUMIF(packes[date],A134,packes[num])</f>
        <v>0</v>
      </c>
      <c r="F134" s="69">
        <f>SUMIF(packes[date],A134,packes[wPacked])</f>
        <v>0</v>
      </c>
      <c r="G134" s="69"/>
      <c r="H134" s="69">
        <f>reportTbl[[#This Row],[personels]]-reportTbl[[#This Row],[personels]]*2.5/22-0.5</f>
        <v>-0.5</v>
      </c>
      <c r="I134" s="70">
        <f>(reportTbl[[#This Row],[وزن تولید]]*unityCycleTime-reportTbl[[#This Row],[received TimeOut]])/(reportTbl[[#This Row],[available time]]*reportTbl[[#This Row],[تعداد نیرو]])</f>
        <v>0</v>
      </c>
      <c r="J134" s="71"/>
      <c r="K134" s="73"/>
      <c r="L134" s="73"/>
      <c r="M134" s="73"/>
      <c r="N134" s="73"/>
      <c r="O134" s="73">
        <v>0</v>
      </c>
      <c r="P134" s="72" t="s">
        <v>1015</v>
      </c>
      <c r="Q134" s="68">
        <f>_xlfn.XLOOKUP(reportTbl[[#This Row],[date]],IIITbl[date],IIITbl[totalCT],0)</f>
        <v>0</v>
      </c>
      <c r="R134" s="68">
        <v>30000</v>
      </c>
    </row>
    <row r="135" spans="1:18" ht="16.5">
      <c r="A135" s="7" t="s">
        <v>779</v>
      </c>
      <c r="B135" s="67" t="s">
        <v>121</v>
      </c>
      <c r="C135" s="68">
        <f>SUMIF(cutts[date],A135,cutts[num])</f>
        <v>0</v>
      </c>
      <c r="D135" s="68"/>
      <c r="E135" s="69">
        <f>SUMIF(packes[date],A135,packes[num])</f>
        <v>0</v>
      </c>
      <c r="F135" s="69">
        <f>SUMIF(packes[date],A135,packes[wPacked])</f>
        <v>0</v>
      </c>
      <c r="G135" s="69"/>
      <c r="H135" s="69">
        <f>reportTbl[[#This Row],[personels]]-reportTbl[[#This Row],[personels]]*2.5/22-0.5</f>
        <v>-0.5</v>
      </c>
      <c r="I135" s="70">
        <f>(reportTbl[[#This Row],[وزن تولید]]*unityCycleTime-reportTbl[[#This Row],[received TimeOut]])/(reportTbl[[#This Row],[available time]]*reportTbl[[#This Row],[تعداد نیرو]])</f>
        <v>0</v>
      </c>
      <c r="J135" s="71"/>
      <c r="K135" s="73"/>
      <c r="L135" s="73"/>
      <c r="M135" s="73"/>
      <c r="N135" s="73"/>
      <c r="O135" s="73">
        <v>0</v>
      </c>
      <c r="P135" s="72" t="s">
        <v>1015</v>
      </c>
      <c r="Q135" s="68">
        <f>_xlfn.XLOOKUP(reportTbl[[#This Row],[date]],IIITbl[date],IIITbl[totalCT],0)</f>
        <v>0</v>
      </c>
      <c r="R135" s="68">
        <v>30000</v>
      </c>
    </row>
    <row r="136" spans="1:18" ht="16.5">
      <c r="A136" s="7" t="s">
        <v>780</v>
      </c>
      <c r="B136" s="67" t="s">
        <v>115</v>
      </c>
      <c r="C136" s="68">
        <f>SUMIF(cutts[date],A136,cutts[num])</f>
        <v>3900</v>
      </c>
      <c r="D136" s="68"/>
      <c r="E136" s="69">
        <f>SUMIF(packes[date],A136,packes[num])</f>
        <v>4550</v>
      </c>
      <c r="F136" s="69">
        <f>SUMIF(packes[date],A136,packes[wPacked])</f>
        <v>5176.2710765239945</v>
      </c>
      <c r="G136" s="69"/>
      <c r="H136" s="69">
        <f>reportTbl[[#This Row],[personels]]-reportTbl[[#This Row],[personels]]*2.5/22-0.5</f>
        <v>-0.5</v>
      </c>
      <c r="I136" s="70">
        <f>(reportTbl[[#This Row],[وزن تولید]]*unityCycleTime-reportTbl[[#This Row],[received TimeOut]])/(reportTbl[[#This Row],[available time]]*reportTbl[[#This Row],[تعداد نیرو]])</f>
        <v>-33.179897600518807</v>
      </c>
      <c r="J136" s="71"/>
      <c r="K136" s="73">
        <v>1500</v>
      </c>
      <c r="L136" s="73">
        <v>900</v>
      </c>
      <c r="M136" s="73">
        <v>2100</v>
      </c>
      <c r="N136" s="73">
        <v>0</v>
      </c>
      <c r="O136" s="73">
        <v>1</v>
      </c>
      <c r="P136" s="72" t="s">
        <v>1015</v>
      </c>
      <c r="Q136" s="68">
        <f>_xlfn.XLOOKUP(reportTbl[[#This Row],[date]],IIITbl[date],IIITbl[totalCT],0)</f>
        <v>0</v>
      </c>
      <c r="R136" s="68">
        <v>30000</v>
      </c>
    </row>
    <row r="137" spans="1:18" ht="16.5">
      <c r="A137" s="7" t="s">
        <v>781</v>
      </c>
      <c r="B137" s="67" t="s">
        <v>116</v>
      </c>
      <c r="C137" s="68">
        <f>SUMIF(cutts[date],A137,cutts[num])</f>
        <v>3912</v>
      </c>
      <c r="D137" s="68"/>
      <c r="E137" s="69">
        <f>SUMIF(packes[date],A137,packes[num])</f>
        <v>4787</v>
      </c>
      <c r="F137" s="69">
        <f>SUMIF(packes[date],A137,packes[wPacked])</f>
        <v>6170.6854235258907</v>
      </c>
      <c r="G137" s="69"/>
      <c r="H137" s="69">
        <f>reportTbl[[#This Row],[personels]]-reportTbl[[#This Row],[personels]]*2.5/22-0.5</f>
        <v>-0.5</v>
      </c>
      <c r="I137" s="70">
        <f>(reportTbl[[#This Row],[وزن تولید]]*unityCycleTime-reportTbl[[#This Row],[received TimeOut]])/(reportTbl[[#This Row],[available time]]*reportTbl[[#This Row],[تعداد نیرو]])</f>
        <v>-39.554093564800965</v>
      </c>
      <c r="J137" s="71" t="s">
        <v>1322</v>
      </c>
      <c r="K137" s="73">
        <v>1500</v>
      </c>
      <c r="L137" s="73">
        <v>0</v>
      </c>
      <c r="M137" s="73">
        <v>1800</v>
      </c>
      <c r="N137" s="73">
        <v>0</v>
      </c>
      <c r="O137" s="73">
        <v>1</v>
      </c>
      <c r="P137" s="72" t="s">
        <v>1015</v>
      </c>
      <c r="Q137" s="68">
        <f>_xlfn.XLOOKUP(reportTbl[[#This Row],[date]],IIITbl[date],IIITbl[totalCT],0)</f>
        <v>0</v>
      </c>
      <c r="R137" s="68">
        <v>30000</v>
      </c>
    </row>
    <row r="138" spans="1:18" ht="16.5">
      <c r="A138" s="7" t="s">
        <v>782</v>
      </c>
      <c r="B138" s="67" t="s">
        <v>117</v>
      </c>
      <c r="C138" s="68">
        <f>SUMIF(cutts[date],A138,cutts[num])</f>
        <v>3065</v>
      </c>
      <c r="D138" s="68"/>
      <c r="E138" s="69">
        <f>SUMIF(packes[date],A138,packes[num])</f>
        <v>3500</v>
      </c>
      <c r="F138" s="69">
        <f>SUMIF(packes[date],A138,packes[wPacked])</f>
        <v>4552.4124513618681</v>
      </c>
      <c r="G138" s="69"/>
      <c r="H138" s="69">
        <f>reportTbl[[#This Row],[personels]]-reportTbl[[#This Row],[personels]]*2.5/22-0.5</f>
        <v>-0.5</v>
      </c>
      <c r="I138" s="70">
        <f>(reportTbl[[#This Row],[وزن تولید]]*unityCycleTime-reportTbl[[#This Row],[received TimeOut]])/(reportTbl[[#This Row],[available time]]*reportTbl[[#This Row],[تعداد نیرو]])</f>
        <v>-29.180963813229578</v>
      </c>
      <c r="J138" s="71"/>
      <c r="K138" s="73">
        <v>1200</v>
      </c>
      <c r="L138" s="73">
        <v>300</v>
      </c>
      <c r="M138" s="73">
        <v>900</v>
      </c>
      <c r="N138" s="73">
        <v>0</v>
      </c>
      <c r="O138" s="73">
        <v>1</v>
      </c>
      <c r="P138" s="72" t="s">
        <v>1015</v>
      </c>
      <c r="Q138" s="68">
        <f>_xlfn.XLOOKUP(reportTbl[[#This Row],[date]],IIITbl[date],IIITbl[totalCT],0)</f>
        <v>0</v>
      </c>
      <c r="R138" s="68">
        <v>30000</v>
      </c>
    </row>
    <row r="139" spans="1:18" ht="16.5">
      <c r="A139" s="7" t="s">
        <v>783</v>
      </c>
      <c r="B139" s="67" t="s">
        <v>118</v>
      </c>
      <c r="C139" s="68">
        <f>SUMIF(cutts[date],A139,cutts[num])</f>
        <v>3900</v>
      </c>
      <c r="D139" s="68"/>
      <c r="E139" s="69">
        <f>SUMIF(packes[date],A139,packes[num])</f>
        <v>2850</v>
      </c>
      <c r="F139" s="69">
        <f>SUMIF(packes[date],A139,packes[wPacked])</f>
        <v>3299.5525291828794</v>
      </c>
      <c r="G139" s="69"/>
      <c r="H139" s="69">
        <f>reportTbl[[#This Row],[personels]]-reportTbl[[#This Row],[personels]]*2.5/22-0.5</f>
        <v>-0.5</v>
      </c>
      <c r="I139" s="70">
        <f>(reportTbl[[#This Row],[وزن تولید]]*unityCycleTime-reportTbl[[#This Row],[received TimeOut]])/(reportTbl[[#This Row],[available time]]*reportTbl[[#This Row],[تعداد نیرو]])</f>
        <v>-21.150131712062258</v>
      </c>
      <c r="J139" s="71"/>
      <c r="K139" s="73">
        <v>1000</v>
      </c>
      <c r="L139" s="73">
        <v>1200</v>
      </c>
      <c r="M139" s="73">
        <v>0</v>
      </c>
      <c r="N139" s="73">
        <v>0</v>
      </c>
      <c r="O139" s="73">
        <v>1</v>
      </c>
      <c r="P139" s="72" t="s">
        <v>1015</v>
      </c>
      <c r="Q139" s="68">
        <f>_xlfn.XLOOKUP(reportTbl[[#This Row],[date]],IIITbl[date],IIITbl[totalCT],0)</f>
        <v>0</v>
      </c>
      <c r="R139" s="68">
        <v>30000</v>
      </c>
    </row>
    <row r="140" spans="1:18" ht="16.5">
      <c r="A140" s="7" t="s">
        <v>784</v>
      </c>
      <c r="B140" s="67" t="s">
        <v>119</v>
      </c>
      <c r="C140" s="68">
        <f>SUMIF(cutts[date],A140,cutts[num])</f>
        <v>2600</v>
      </c>
      <c r="D140" s="68"/>
      <c r="E140" s="69">
        <f>SUMIF(packes[date],A140,packes[num])</f>
        <v>3100</v>
      </c>
      <c r="F140" s="69">
        <f>SUMIF(packes[date],A140,packes[wPacked])</f>
        <v>3294.0237453856134</v>
      </c>
      <c r="G140" s="69"/>
      <c r="H140" s="69">
        <f>reportTbl[[#This Row],[personels]]-reportTbl[[#This Row],[personels]]*2.5/22-0.5</f>
        <v>-0.5</v>
      </c>
      <c r="I140" s="70">
        <f>(reportTbl[[#This Row],[وزن تولید]]*unityCycleTime-reportTbl[[#This Row],[received TimeOut]])/(reportTbl[[#This Row],[available time]]*reportTbl[[#This Row],[تعداد نیرو]])</f>
        <v>-21.114692207921784</v>
      </c>
      <c r="J140" s="71"/>
      <c r="K140" s="73">
        <v>1500</v>
      </c>
      <c r="L140" s="73">
        <v>1500</v>
      </c>
      <c r="M140" s="73">
        <v>1350</v>
      </c>
      <c r="N140" s="73">
        <v>0</v>
      </c>
      <c r="O140" s="73">
        <v>1</v>
      </c>
      <c r="P140" s="72" t="s">
        <v>1015</v>
      </c>
      <c r="Q140" s="68">
        <f>_xlfn.XLOOKUP(reportTbl[[#This Row],[date]],IIITbl[date],IIITbl[totalCT],0)</f>
        <v>0</v>
      </c>
      <c r="R140" s="68">
        <v>30000</v>
      </c>
    </row>
    <row r="141" spans="1:18" ht="16.5">
      <c r="A141" s="7" t="s">
        <v>785</v>
      </c>
      <c r="B141" s="67" t="s">
        <v>120</v>
      </c>
      <c r="C141" s="68">
        <f>SUMIF(cutts[date],A141,cutts[num])</f>
        <v>0</v>
      </c>
      <c r="D141" s="68"/>
      <c r="E141" s="69">
        <f>SUMIF(packes[date],A141,packes[num])</f>
        <v>0</v>
      </c>
      <c r="F141" s="69">
        <f>SUMIF(packes[date],A141,packes[wPacked])</f>
        <v>0</v>
      </c>
      <c r="G141" s="69"/>
      <c r="H141" s="69">
        <f>reportTbl[[#This Row],[personels]]-reportTbl[[#This Row],[personels]]*2.5/22-0.5</f>
        <v>-0.5</v>
      </c>
      <c r="I141" s="70">
        <f>(reportTbl[[#This Row],[وزن تولید]]*unityCycleTime-reportTbl[[#This Row],[received TimeOut]])/(reportTbl[[#This Row],[available time]]*reportTbl[[#This Row],[تعداد نیرو]])</f>
        <v>0</v>
      </c>
      <c r="J141" s="71"/>
      <c r="K141" s="73"/>
      <c r="L141" s="73"/>
      <c r="M141" s="73"/>
      <c r="N141" s="73"/>
      <c r="O141" s="73">
        <v>0</v>
      </c>
      <c r="P141" s="72" t="s">
        <v>1015</v>
      </c>
      <c r="Q141" s="68">
        <f>_xlfn.XLOOKUP(reportTbl[[#This Row],[date]],IIITbl[date],IIITbl[totalCT],0)</f>
        <v>0</v>
      </c>
      <c r="R141" s="68">
        <v>30000</v>
      </c>
    </row>
    <row r="142" spans="1:18" ht="16.5">
      <c r="A142" s="7" t="s">
        <v>786</v>
      </c>
      <c r="B142" s="67" t="s">
        <v>121</v>
      </c>
      <c r="C142" s="68">
        <f>SUMIF(cutts[date],A142,cutts[num])</f>
        <v>0</v>
      </c>
      <c r="D142" s="68"/>
      <c r="E142" s="69">
        <f>SUMIF(packes[date],A142,packes[num])</f>
        <v>0</v>
      </c>
      <c r="F142" s="69">
        <f>SUMIF(packes[date],A142,packes[wPacked])</f>
        <v>0</v>
      </c>
      <c r="G142" s="69"/>
      <c r="H142" s="69">
        <f>reportTbl[[#This Row],[personels]]-reportTbl[[#This Row],[personels]]*2.5/22-0.5</f>
        <v>-0.5</v>
      </c>
      <c r="I142" s="70">
        <f>(reportTbl[[#This Row],[وزن تولید]]*unityCycleTime-reportTbl[[#This Row],[received TimeOut]])/(reportTbl[[#This Row],[available time]]*reportTbl[[#This Row],[تعداد نیرو]])</f>
        <v>0</v>
      </c>
      <c r="J142" s="71"/>
      <c r="K142" s="73"/>
      <c r="L142" s="73"/>
      <c r="M142" s="73"/>
      <c r="N142" s="73"/>
      <c r="O142" s="73">
        <v>0</v>
      </c>
      <c r="P142" s="72" t="s">
        <v>1015</v>
      </c>
      <c r="Q142" s="68">
        <f>_xlfn.XLOOKUP(reportTbl[[#This Row],[date]],IIITbl[date],IIITbl[totalCT],0)</f>
        <v>0</v>
      </c>
      <c r="R142" s="68">
        <v>30000</v>
      </c>
    </row>
    <row r="143" spans="1:18" ht="16.5">
      <c r="A143" s="7" t="s">
        <v>787</v>
      </c>
      <c r="B143" s="67" t="s">
        <v>115</v>
      </c>
      <c r="C143" s="68">
        <f>SUMIF(cutts[date],A143,cutts[num])</f>
        <v>3500</v>
      </c>
      <c r="D143" s="68"/>
      <c r="E143" s="69">
        <f>SUMIF(packes[date],A143,packes[num])</f>
        <v>2850</v>
      </c>
      <c r="F143" s="69">
        <f>SUMIF(packes[date],A143,packes[wPacked])</f>
        <v>2785.6375336725532</v>
      </c>
      <c r="G143" s="69"/>
      <c r="H143" s="69">
        <f>reportTbl[[#This Row],[personels]]-reportTbl[[#This Row],[personels]]*2.5/22-0.5</f>
        <v>-0.5</v>
      </c>
      <c r="I143" s="70">
        <f>(reportTbl[[#This Row],[وزن تولید]]*unityCycleTime-reportTbl[[#This Row],[received TimeOut]])/(reportTbl[[#This Row],[available time]]*reportTbl[[#This Row],[تعداد نیرو]])</f>
        <v>-17.855936590841068</v>
      </c>
      <c r="J143" s="71"/>
      <c r="K143" s="73">
        <v>1100</v>
      </c>
      <c r="L143" s="73">
        <v>1500</v>
      </c>
      <c r="M143" s="73">
        <v>1000</v>
      </c>
      <c r="N143" s="73"/>
      <c r="O143" s="73">
        <v>1</v>
      </c>
      <c r="P143" s="72" t="s">
        <v>1015</v>
      </c>
      <c r="Q143" s="68">
        <f>_xlfn.XLOOKUP(reportTbl[[#This Row],[date]],IIITbl[date],IIITbl[totalCT],0)</f>
        <v>0</v>
      </c>
      <c r="R143" s="68">
        <v>30000</v>
      </c>
    </row>
    <row r="144" spans="1:18" ht="16.5">
      <c r="A144" s="7" t="s">
        <v>788</v>
      </c>
      <c r="B144" s="67" t="s">
        <v>116</v>
      </c>
      <c r="C144" s="68">
        <f>SUMIF(cutts[date],A144,cutts[num])</f>
        <v>4850</v>
      </c>
      <c r="D144" s="68"/>
      <c r="E144" s="69">
        <f>SUMIF(packes[date],A144,packes[num])</f>
        <v>2850</v>
      </c>
      <c r="F144" s="69">
        <f>SUMIF(packes[date],A144,packes[wPacked])</f>
        <v>3557.3151750972766</v>
      </c>
      <c r="G144" s="69"/>
      <c r="H144" s="69">
        <f>reportTbl[[#This Row],[personels]]-reportTbl[[#This Row],[personels]]*2.5/22-0.5</f>
        <v>-0.5</v>
      </c>
      <c r="I144" s="70">
        <f>(reportTbl[[#This Row],[وزن تولید]]*unityCycleTime-reportTbl[[#This Row],[received TimeOut]])/(reportTbl[[#This Row],[available time]]*reportTbl[[#This Row],[تعداد نیرو]])</f>
        <v>-22.802390272373543</v>
      </c>
      <c r="J144" s="71"/>
      <c r="K144" s="73">
        <v>1100</v>
      </c>
      <c r="L144" s="73">
        <v>2100</v>
      </c>
      <c r="M144" s="73">
        <v>1200</v>
      </c>
      <c r="N144" s="73"/>
      <c r="O144" s="73">
        <v>1</v>
      </c>
      <c r="P144" s="72" t="s">
        <v>1015</v>
      </c>
      <c r="Q144" s="68">
        <f>_xlfn.XLOOKUP(reportTbl[[#This Row],[date]],IIITbl[date],IIITbl[totalCT],0)</f>
        <v>0</v>
      </c>
      <c r="R144" s="68">
        <v>30000</v>
      </c>
    </row>
    <row r="145" spans="1:18" ht="16.5">
      <c r="A145" s="7" t="s">
        <v>789</v>
      </c>
      <c r="B145" s="67" t="s">
        <v>117</v>
      </c>
      <c r="C145" s="68">
        <f>SUMIF(cutts[date],A145,cutts[num])</f>
        <v>0</v>
      </c>
      <c r="D145" s="68"/>
      <c r="E145" s="69">
        <f>SUMIF(packes[date],A145,packes[num])</f>
        <v>3600</v>
      </c>
      <c r="F145" s="69">
        <f>SUMIF(packes[date],A145,packes[wPacked])</f>
        <v>3572.3585752768631</v>
      </c>
      <c r="G145" s="69"/>
      <c r="H145" s="69">
        <f>reportTbl[[#This Row],[personels]]-reportTbl[[#This Row],[personels]]*2.5/22-0.5</f>
        <v>-0.5</v>
      </c>
      <c r="I145" s="70">
        <f>(reportTbl[[#This Row],[وزن تولید]]*unityCycleTime-reportTbl[[#This Row],[received TimeOut]])/(reportTbl[[#This Row],[available time]]*reportTbl[[#This Row],[تعداد نیرو]])</f>
        <v>-22.898818467524695</v>
      </c>
      <c r="J145" s="71"/>
      <c r="K145" s="73">
        <v>1000</v>
      </c>
      <c r="L145" s="73">
        <v>1200</v>
      </c>
      <c r="M145" s="73">
        <v>900</v>
      </c>
      <c r="N145" s="73"/>
      <c r="O145" s="73">
        <v>1</v>
      </c>
      <c r="P145" s="72" t="s">
        <v>1015</v>
      </c>
      <c r="Q145" s="68">
        <f>_xlfn.XLOOKUP(reportTbl[[#This Row],[date]],IIITbl[date],IIITbl[totalCT],0)</f>
        <v>0</v>
      </c>
      <c r="R145" s="68">
        <v>30000</v>
      </c>
    </row>
    <row r="146" spans="1:18" ht="16.5">
      <c r="A146" s="7" t="s">
        <v>790</v>
      </c>
      <c r="B146" s="67" t="s">
        <v>118</v>
      </c>
      <c r="C146" s="68">
        <f>SUMIF(cutts[date],A146,cutts[num])</f>
        <v>0</v>
      </c>
      <c r="D146" s="68"/>
      <c r="E146" s="69">
        <f>SUMIF(packes[date],A146,packes[num])</f>
        <v>3850</v>
      </c>
      <c r="F146" s="69">
        <f>SUMIF(packes[date],A146,packes[wPacked])</f>
        <v>4977.7561608300903</v>
      </c>
      <c r="G146" s="69"/>
      <c r="H146" s="69">
        <f>reportTbl[[#This Row],[personels]]-reportTbl[[#This Row],[personels]]*2.5/22-0.5</f>
        <v>-0.5</v>
      </c>
      <c r="I146" s="70">
        <f>(reportTbl[[#This Row],[وزن تولید]]*unityCycleTime-reportTbl[[#This Row],[received TimeOut]])/(reportTbl[[#This Row],[available time]]*reportTbl[[#This Row],[تعداد نیرو]])</f>
        <v>-31.907416990920883</v>
      </c>
      <c r="J146" s="71"/>
      <c r="K146" s="73">
        <v>850</v>
      </c>
      <c r="L146" s="73">
        <v>1200</v>
      </c>
      <c r="M146" s="73">
        <v>1500</v>
      </c>
      <c r="N146" s="73"/>
      <c r="O146" s="73">
        <v>1</v>
      </c>
      <c r="P146" s="72" t="s">
        <v>1015</v>
      </c>
      <c r="Q146" s="68">
        <f>_xlfn.XLOOKUP(reportTbl[[#This Row],[date]],IIITbl[date],IIITbl[totalCT],0)</f>
        <v>0</v>
      </c>
      <c r="R146" s="68">
        <v>30000</v>
      </c>
    </row>
    <row r="147" spans="1:18" ht="16.5">
      <c r="A147" s="7" t="s">
        <v>791</v>
      </c>
      <c r="B147" s="67" t="s">
        <v>119</v>
      </c>
      <c r="C147" s="68">
        <f>SUMIF(cutts[date],A147,cutts[num])</f>
        <v>3000</v>
      </c>
      <c r="D147" s="68"/>
      <c r="E147" s="69">
        <f>SUMIF(packes[date],A147,packes[num])</f>
        <v>4000</v>
      </c>
      <c r="F147" s="69">
        <f>SUMIF(packes[date],A147,packes[wPacked])</f>
        <v>3288.5214007782101</v>
      </c>
      <c r="G147" s="69"/>
      <c r="H147" s="69">
        <f>reportTbl[[#This Row],[personels]]-reportTbl[[#This Row],[personels]]*2.5/22-0.5</f>
        <v>-0.5</v>
      </c>
      <c r="I147" s="70">
        <f>(reportTbl[[#This Row],[وزن تولید]]*unityCycleTime-reportTbl[[#This Row],[received TimeOut]])/(reportTbl[[#This Row],[available time]]*reportTbl[[#This Row],[تعداد نیرو]])</f>
        <v>-21.079422178988331</v>
      </c>
      <c r="J147" s="71"/>
      <c r="K147" s="73">
        <v>0</v>
      </c>
      <c r="L147" s="73">
        <v>1500</v>
      </c>
      <c r="M147" s="73">
        <v>1500</v>
      </c>
      <c r="N147" s="73"/>
      <c r="O147" s="73">
        <v>1</v>
      </c>
      <c r="P147" s="72" t="s">
        <v>1015</v>
      </c>
      <c r="Q147" s="68">
        <f>_xlfn.XLOOKUP(reportTbl[[#This Row],[date]],IIITbl[date],IIITbl[totalCT],0)</f>
        <v>0</v>
      </c>
      <c r="R147" s="68">
        <v>30000</v>
      </c>
    </row>
    <row r="148" spans="1:18" ht="16.5">
      <c r="A148" s="7" t="s">
        <v>792</v>
      </c>
      <c r="B148" s="67" t="s">
        <v>120</v>
      </c>
      <c r="C148" s="68">
        <f>SUMIF(cutts[date],A148,cutts[num])</f>
        <v>0</v>
      </c>
      <c r="D148" s="68"/>
      <c r="E148" s="69">
        <f>SUMIF(packes[date],A148,packes[num])</f>
        <v>0</v>
      </c>
      <c r="F148" s="69">
        <f>SUMIF(packes[date],A148,packes[wPacked])</f>
        <v>0</v>
      </c>
      <c r="G148" s="69"/>
      <c r="H148" s="69">
        <f>reportTbl[[#This Row],[personels]]-reportTbl[[#This Row],[personels]]*2.5/22-0.5</f>
        <v>-0.5</v>
      </c>
      <c r="I148" s="70">
        <f>(reportTbl[[#This Row],[وزن تولید]]*unityCycleTime-reportTbl[[#This Row],[received TimeOut]])/(reportTbl[[#This Row],[available time]]*reportTbl[[#This Row],[تعداد نیرو]])</f>
        <v>0</v>
      </c>
      <c r="J148" s="71"/>
      <c r="K148" s="73"/>
      <c r="L148" s="73"/>
      <c r="M148" s="73"/>
      <c r="N148" s="73"/>
      <c r="O148" s="73">
        <v>0</v>
      </c>
      <c r="P148" s="72" t="s">
        <v>1015</v>
      </c>
      <c r="Q148" s="68">
        <f>_xlfn.XLOOKUP(reportTbl[[#This Row],[date]],IIITbl[date],IIITbl[totalCT],0)</f>
        <v>0</v>
      </c>
      <c r="R148" s="68">
        <v>30000</v>
      </c>
    </row>
    <row r="149" spans="1:18" ht="16.5">
      <c r="A149" s="7" t="s">
        <v>793</v>
      </c>
      <c r="B149" s="67" t="s">
        <v>121</v>
      </c>
      <c r="C149" s="68">
        <f>SUMIF(cutts[date],A149,cutts[num])</f>
        <v>0</v>
      </c>
      <c r="D149" s="68"/>
      <c r="E149" s="69">
        <f>SUMIF(packes[date],A149,packes[num])</f>
        <v>0</v>
      </c>
      <c r="F149" s="69">
        <f>SUMIF(packes[date],A149,packes[wPacked])</f>
        <v>0</v>
      </c>
      <c r="G149" s="69"/>
      <c r="H149" s="69">
        <f>reportTbl[[#This Row],[personels]]-reportTbl[[#This Row],[personels]]*2.5/22-0.5</f>
        <v>-0.5</v>
      </c>
      <c r="I149" s="70">
        <f>(reportTbl[[#This Row],[وزن تولید]]*unityCycleTime-reportTbl[[#This Row],[received TimeOut]])/(reportTbl[[#This Row],[available time]]*reportTbl[[#This Row],[تعداد نیرو]])</f>
        <v>0</v>
      </c>
      <c r="J149" s="71"/>
      <c r="K149" s="73"/>
      <c r="L149" s="73"/>
      <c r="M149" s="73"/>
      <c r="N149" s="73"/>
      <c r="O149" s="73">
        <v>0</v>
      </c>
      <c r="P149" s="72" t="s">
        <v>1015</v>
      </c>
      <c r="Q149" s="68">
        <f>_xlfn.XLOOKUP(reportTbl[[#This Row],[date]],IIITbl[date],IIITbl[totalCT],0)</f>
        <v>0</v>
      </c>
      <c r="R149" s="68">
        <v>30000</v>
      </c>
    </row>
    <row r="150" spans="1:18" ht="16.5">
      <c r="A150" s="7" t="s">
        <v>794</v>
      </c>
      <c r="B150" s="67" t="s">
        <v>115</v>
      </c>
      <c r="C150" s="68">
        <f>SUMIF(cutts[date],A150,cutts[num])</f>
        <v>3000</v>
      </c>
      <c r="D150" s="68"/>
      <c r="E150" s="69">
        <f>SUMIF(packes[date],A150,packes[num])</f>
        <v>3750</v>
      </c>
      <c r="F150" s="69">
        <f>SUMIF(packes[date],A150,packes[wPacked])</f>
        <v>3900</v>
      </c>
      <c r="G150" s="69"/>
      <c r="H150" s="69">
        <f>reportTbl[[#This Row],[personels]]-reportTbl[[#This Row],[personels]]*2.5/22-0.5</f>
        <v>-0.5</v>
      </c>
      <c r="I150" s="70">
        <f>(reportTbl[[#This Row],[وزن تولید]]*unityCycleTime-reportTbl[[#This Row],[received TimeOut]])/(reportTbl[[#This Row],[available time]]*reportTbl[[#This Row],[تعداد نیرو]])</f>
        <v>-24.998999999999999</v>
      </c>
      <c r="J150" s="71"/>
      <c r="K150" s="73">
        <v>0</v>
      </c>
      <c r="L150" s="73">
        <v>1200</v>
      </c>
      <c r="M150" s="73">
        <v>900</v>
      </c>
      <c r="N150" s="73"/>
      <c r="O150" s="73">
        <v>1</v>
      </c>
      <c r="P150" s="72" t="s">
        <v>1015</v>
      </c>
      <c r="Q150" s="68">
        <f>_xlfn.XLOOKUP(reportTbl[[#This Row],[date]],IIITbl[date],IIITbl[totalCT],0)</f>
        <v>0</v>
      </c>
      <c r="R150" s="68">
        <v>30000</v>
      </c>
    </row>
    <row r="151" spans="1:18" ht="16.5">
      <c r="A151" s="7" t="s">
        <v>795</v>
      </c>
      <c r="B151" s="67" t="s">
        <v>116</v>
      </c>
      <c r="C151" s="68">
        <f>SUMIF(cutts[date],A151,cutts[num])</f>
        <v>3003</v>
      </c>
      <c r="D151" s="68"/>
      <c r="E151" s="69">
        <f>SUMIF(packes[date],A151,packes[num])</f>
        <v>3905</v>
      </c>
      <c r="F151" s="69" t="e">
        <f>SUMIF(packes[date],A151,packes[wPacked])</f>
        <v>#N/A</v>
      </c>
      <c r="G151" s="69"/>
      <c r="H151" s="69">
        <f>reportTbl[[#This Row],[personels]]-reportTbl[[#This Row],[personels]]*2.5/22-0.5</f>
        <v>-0.5</v>
      </c>
      <c r="I151" s="70" t="e">
        <f>(reportTbl[[#This Row],[وزن تولید]]*unityCycleTime-reportTbl[[#This Row],[received TimeOut]])/(reportTbl[[#This Row],[available time]]*reportTbl[[#This Row],[تعداد نیرو]])</f>
        <v>#N/A</v>
      </c>
      <c r="J151" s="71"/>
      <c r="K151" s="73"/>
      <c r="L151" s="73"/>
      <c r="M151" s="73"/>
      <c r="N151" s="73"/>
      <c r="O151" s="73">
        <v>1</v>
      </c>
      <c r="P151" s="72" t="s">
        <v>1015</v>
      </c>
      <c r="Q151" s="68">
        <f>_xlfn.XLOOKUP(reportTbl[[#This Row],[date]],IIITbl[date],IIITbl[totalCT],0)</f>
        <v>0</v>
      </c>
      <c r="R151" s="68">
        <v>30000</v>
      </c>
    </row>
    <row r="152" spans="1:18" ht="16.5">
      <c r="A152" s="7" t="s">
        <v>796</v>
      </c>
      <c r="B152" s="67" t="s">
        <v>117</v>
      </c>
      <c r="C152" s="68">
        <f>SUMIF(cutts[date],A152,cutts[num])</f>
        <v>12650</v>
      </c>
      <c r="D152" s="68"/>
      <c r="E152" s="69">
        <f>SUMIF(packes[date],A152,packes[num])</f>
        <v>3750</v>
      </c>
      <c r="F152" s="69">
        <f>SUMIF(packes[date],A152,packes[wPacked])</f>
        <v>4349.6887159533071</v>
      </c>
      <c r="G152" s="69"/>
      <c r="H152" s="69">
        <f>reportTbl[[#This Row],[personels]]-reportTbl[[#This Row],[personels]]*2.5/22-0.5</f>
        <v>-0.5</v>
      </c>
      <c r="I152" s="70">
        <f>(reportTbl[[#This Row],[وزن تولید]]*unityCycleTime-reportTbl[[#This Row],[received TimeOut]])/(reportTbl[[#This Row],[available time]]*reportTbl[[#This Row],[تعداد نیرو]])</f>
        <v>-27.8815046692607</v>
      </c>
      <c r="J152" s="71"/>
      <c r="K152" s="73"/>
      <c r="L152" s="73"/>
      <c r="M152" s="73"/>
      <c r="N152" s="73"/>
      <c r="O152" s="73">
        <v>1</v>
      </c>
      <c r="P152" s="72" t="s">
        <v>1015</v>
      </c>
      <c r="Q152" s="68">
        <f>_xlfn.XLOOKUP(reportTbl[[#This Row],[date]],IIITbl[date],IIITbl[totalCT],0)</f>
        <v>0</v>
      </c>
      <c r="R152" s="68">
        <v>30000</v>
      </c>
    </row>
    <row r="153" spans="1:18" ht="16.5">
      <c r="A153" s="7" t="s">
        <v>797</v>
      </c>
      <c r="B153" s="67" t="s">
        <v>118</v>
      </c>
      <c r="C153" s="68">
        <f>SUMIF(cutts[date],A153,cutts[num])</f>
        <v>6211</v>
      </c>
      <c r="D153" s="68"/>
      <c r="E153" s="69">
        <f>SUMIF(packes[date],A153,packes[num])</f>
        <v>3550</v>
      </c>
      <c r="F153" s="69">
        <f>SUMIF(packes[date],A153,packes[wPacked])</f>
        <v>4212.7885862516214</v>
      </c>
      <c r="G153" s="69"/>
      <c r="H153" s="69">
        <f>reportTbl[[#This Row],[personels]]-reportTbl[[#This Row],[personels]]*2.5/22-0.5</f>
        <v>-0.5</v>
      </c>
      <c r="I153" s="70">
        <f>(reportTbl[[#This Row],[وزن تولید]]*unityCycleTime-reportTbl[[#This Row],[received TimeOut]])/(reportTbl[[#This Row],[available time]]*reportTbl[[#This Row],[تعداد نیرو]])</f>
        <v>-27.003974837872896</v>
      </c>
      <c r="J153" s="71"/>
      <c r="K153" s="73"/>
      <c r="L153" s="73"/>
      <c r="M153" s="73"/>
      <c r="N153" s="73"/>
      <c r="O153" s="73">
        <v>1</v>
      </c>
      <c r="P153" s="72" t="s">
        <v>1015</v>
      </c>
      <c r="Q153" s="68">
        <f>_xlfn.XLOOKUP(reportTbl[[#This Row],[date]],IIITbl[date],IIITbl[totalCT],0)</f>
        <v>0</v>
      </c>
      <c r="R153" s="68">
        <v>30000</v>
      </c>
    </row>
    <row r="154" spans="1:18" ht="16.5">
      <c r="A154" s="7" t="s">
        <v>798</v>
      </c>
      <c r="B154" s="67" t="s">
        <v>119</v>
      </c>
      <c r="C154" s="68">
        <f>SUMIF(cutts[date],A154,cutts[num])</f>
        <v>0</v>
      </c>
      <c r="D154" s="68"/>
      <c r="E154" s="69">
        <f>SUMIF(packes[date],A154,packes[num])</f>
        <v>2560</v>
      </c>
      <c r="F154" s="69">
        <f>SUMIF(packes[date],A154,packes[wPacked])</f>
        <v>2818.9613888057465</v>
      </c>
      <c r="G154" s="69"/>
      <c r="H154" s="69">
        <f>reportTbl[[#This Row],[personels]]-reportTbl[[#This Row],[personels]]*2.5/22-0.5</f>
        <v>-0.5</v>
      </c>
      <c r="I154" s="70">
        <f>(reportTbl[[#This Row],[وزن تولید]]*unityCycleTime-reportTbl[[#This Row],[received TimeOut]])/(reportTbl[[#This Row],[available time]]*reportTbl[[#This Row],[تعداد نیرو]])</f>
        <v>-18.069542502244836</v>
      </c>
      <c r="J154" s="71"/>
      <c r="K154" s="73"/>
      <c r="L154" s="73"/>
      <c r="M154" s="73"/>
      <c r="N154" s="73"/>
      <c r="O154" s="73">
        <v>1</v>
      </c>
      <c r="P154" s="72" t="s">
        <v>1015</v>
      </c>
      <c r="Q154" s="68">
        <f>_xlfn.XLOOKUP(reportTbl[[#This Row],[date]],IIITbl[date],IIITbl[totalCT],0)</f>
        <v>0</v>
      </c>
      <c r="R154" s="68">
        <v>30000</v>
      </c>
    </row>
    <row r="155" spans="1:18" ht="16.5">
      <c r="A155" s="7" t="s">
        <v>799</v>
      </c>
      <c r="B155" s="67" t="s">
        <v>120</v>
      </c>
      <c r="C155" s="68">
        <f>SUMIF(cutts[date],A155,cutts[num])</f>
        <v>0</v>
      </c>
      <c r="D155" s="68"/>
      <c r="E155" s="69">
        <f>SUMIF(packes[date],A155,packes[num])</f>
        <v>0</v>
      </c>
      <c r="F155" s="69">
        <f>SUMIF(packes[date],A155,packes[wPacked])</f>
        <v>0</v>
      </c>
      <c r="G155" s="69"/>
      <c r="H155" s="69">
        <f>reportTbl[[#This Row],[personels]]-reportTbl[[#This Row],[personels]]*2.5/22-0.5</f>
        <v>-0.5</v>
      </c>
      <c r="I155" s="70">
        <f>(reportTbl[[#This Row],[وزن تولید]]*unityCycleTime-reportTbl[[#This Row],[received TimeOut]])/(reportTbl[[#This Row],[available time]]*reportTbl[[#This Row],[تعداد نیرو]])</f>
        <v>0</v>
      </c>
      <c r="J155" s="71"/>
      <c r="K155" s="73"/>
      <c r="L155" s="73"/>
      <c r="M155" s="73"/>
      <c r="N155" s="73"/>
      <c r="O155" s="73">
        <v>0</v>
      </c>
      <c r="P155" s="72" t="s">
        <v>1015</v>
      </c>
      <c r="Q155" s="68">
        <f>_xlfn.XLOOKUP(reportTbl[[#This Row],[date]],IIITbl[date],IIITbl[totalCT],0)</f>
        <v>0</v>
      </c>
      <c r="R155" s="68">
        <v>30000</v>
      </c>
    </row>
    <row r="156" spans="1:18" ht="16.5">
      <c r="A156" s="7" t="s">
        <v>800</v>
      </c>
      <c r="B156" s="67" t="s">
        <v>121</v>
      </c>
      <c r="C156" s="68">
        <f>SUMIF(cutts[date],A156,cutts[num])</f>
        <v>0</v>
      </c>
      <c r="D156" s="68"/>
      <c r="E156" s="69">
        <f>SUMIF(packes[date],A156,packes[num])</f>
        <v>0</v>
      </c>
      <c r="F156" s="69">
        <f>SUMIF(packes[date],A156,packes[wPacked])</f>
        <v>0</v>
      </c>
      <c r="G156" s="69"/>
      <c r="H156" s="69">
        <f>reportTbl[[#This Row],[personels]]-reportTbl[[#This Row],[personels]]*2.5/22-0.5</f>
        <v>-0.5</v>
      </c>
      <c r="I156" s="70">
        <f>(reportTbl[[#This Row],[وزن تولید]]*unityCycleTime-reportTbl[[#This Row],[received TimeOut]])/(reportTbl[[#This Row],[available time]]*reportTbl[[#This Row],[تعداد نیرو]])</f>
        <v>0</v>
      </c>
      <c r="J156" s="71"/>
      <c r="K156" s="73"/>
      <c r="L156" s="73"/>
      <c r="M156" s="73"/>
      <c r="N156" s="73"/>
      <c r="O156" s="73">
        <v>0</v>
      </c>
      <c r="P156" s="72" t="s">
        <v>1015</v>
      </c>
      <c r="Q156" s="68">
        <f>_xlfn.XLOOKUP(reportTbl[[#This Row],[date]],IIITbl[date],IIITbl[totalCT],0)</f>
        <v>0</v>
      </c>
      <c r="R156" s="68">
        <v>30000</v>
      </c>
    </row>
    <row r="157" spans="1:18" ht="16.5">
      <c r="A157" s="7" t="s">
        <v>801</v>
      </c>
      <c r="B157" s="67" t="s">
        <v>115</v>
      </c>
      <c r="C157" s="68">
        <f>SUMIF(cutts[date],A157,cutts[num])</f>
        <v>1800</v>
      </c>
      <c r="D157" s="68"/>
      <c r="E157" s="69">
        <f>SUMIF(packes[date],A157,packes[num])</f>
        <v>2800</v>
      </c>
      <c r="F157" s="69">
        <f>SUMIF(packes[date],A157,packes[wPacked])</f>
        <v>3003.3423126808339</v>
      </c>
      <c r="G157" s="69"/>
      <c r="H157" s="69">
        <f>reportTbl[[#This Row],[personels]]-reportTbl[[#This Row],[personels]]*2.5/22-0.5</f>
        <v>-0.5</v>
      </c>
      <c r="I157" s="70">
        <f>(reportTbl[[#This Row],[وزن تولید]]*unityCycleTime-reportTbl[[#This Row],[received TimeOut]])/(reportTbl[[#This Row],[available time]]*reportTbl[[#This Row],[تعداد نیرو]])</f>
        <v>-19.251424224284147</v>
      </c>
      <c r="J157" s="71"/>
      <c r="K157" s="73"/>
      <c r="L157" s="73"/>
      <c r="M157" s="73"/>
      <c r="N157" s="73"/>
      <c r="O157" s="73">
        <v>0</v>
      </c>
      <c r="P157" s="72" t="s">
        <v>1016</v>
      </c>
      <c r="Q157" s="68">
        <f>_xlfn.XLOOKUP(reportTbl[[#This Row],[date]],IIITbl[date],IIITbl[totalCT],0)</f>
        <v>0</v>
      </c>
      <c r="R157" s="68">
        <v>30000</v>
      </c>
    </row>
    <row r="158" spans="1:18" ht="16.5">
      <c r="A158" s="7" t="s">
        <v>802</v>
      </c>
      <c r="B158" s="67" t="s">
        <v>116</v>
      </c>
      <c r="C158" s="68">
        <f>SUMIF(cutts[date],A158,cutts[num])</f>
        <v>0</v>
      </c>
      <c r="D158" s="68"/>
      <c r="E158" s="69">
        <f>SUMIF(packes[date],A158,packes[num])</f>
        <v>0</v>
      </c>
      <c r="F158" s="69">
        <f>SUMIF(packes[date],A158,packes[wPacked])</f>
        <v>0</v>
      </c>
      <c r="G158" s="69"/>
      <c r="H158" s="69">
        <f>reportTbl[[#This Row],[personels]]-reportTbl[[#This Row],[personels]]*2.5/22-0.5</f>
        <v>-0.5</v>
      </c>
      <c r="I158" s="70">
        <f>(reportTbl[[#This Row],[وزن تولید]]*unityCycleTime-reportTbl[[#This Row],[received TimeOut]])/(reportTbl[[#This Row],[available time]]*reportTbl[[#This Row],[تعداد نیرو]])</f>
        <v>0</v>
      </c>
      <c r="J158" s="71"/>
      <c r="K158" s="73"/>
      <c r="L158" s="73"/>
      <c r="M158" s="73"/>
      <c r="N158" s="73"/>
      <c r="O158" s="73">
        <v>0</v>
      </c>
      <c r="P158" s="72" t="s">
        <v>1016</v>
      </c>
      <c r="Q158" s="68">
        <f>_xlfn.XLOOKUP(reportTbl[[#This Row],[date]],IIITbl[date],IIITbl[totalCT],0)</f>
        <v>0</v>
      </c>
      <c r="R158" s="68">
        <v>30000</v>
      </c>
    </row>
    <row r="159" spans="1:18" ht="16.5">
      <c r="A159" s="7" t="s">
        <v>803</v>
      </c>
      <c r="B159" s="67" t="s">
        <v>117</v>
      </c>
      <c r="C159" s="68">
        <f>SUMIF(cutts[date],A159,cutts[num])</f>
        <v>3500</v>
      </c>
      <c r="D159" s="68"/>
      <c r="E159" s="69">
        <f>SUMIF(packes[date],A159,packes[num])</f>
        <v>1875</v>
      </c>
      <c r="F159" s="69">
        <f>SUMIF(packes[date],A159,packes[wPacked])</f>
        <v>2314.8463533872091</v>
      </c>
      <c r="G159" s="69"/>
      <c r="H159" s="69">
        <f>reportTbl[[#This Row],[personels]]-reportTbl[[#This Row],[personels]]*2.5/22-0.5</f>
        <v>-0.5</v>
      </c>
      <c r="I159" s="70">
        <f>(reportTbl[[#This Row],[وزن تولید]]*unityCycleTime-reportTbl[[#This Row],[received TimeOut]])/(reportTbl[[#This Row],[available time]]*reportTbl[[#This Row],[تعداد نیرو]])</f>
        <v>-14.838165125212011</v>
      </c>
      <c r="J159" s="71"/>
      <c r="K159" s="73"/>
      <c r="L159" s="73"/>
      <c r="M159" s="73"/>
      <c r="N159" s="73"/>
      <c r="O159" s="73">
        <v>0</v>
      </c>
      <c r="P159" s="72" t="s">
        <v>1016</v>
      </c>
      <c r="Q159" s="68">
        <f>_xlfn.XLOOKUP(reportTbl[[#This Row],[date]],IIITbl[date],IIITbl[totalCT],0)</f>
        <v>0</v>
      </c>
      <c r="R159" s="68">
        <v>30000</v>
      </c>
    </row>
    <row r="160" spans="1:18" ht="16.5">
      <c r="A160" s="7" t="s">
        <v>804</v>
      </c>
      <c r="B160" s="67" t="s">
        <v>118</v>
      </c>
      <c r="C160" s="68">
        <f>SUMIF(cutts[date],A160,cutts[num])</f>
        <v>2</v>
      </c>
      <c r="D160" s="68"/>
      <c r="E160" s="69">
        <f>SUMIF(packes[date],A160,packes[num])</f>
        <v>2575</v>
      </c>
      <c r="F160" s="69">
        <f>SUMIF(packes[date],A160,packes[wPacked])</f>
        <v>1327.6089993016062</v>
      </c>
      <c r="G160" s="69"/>
      <c r="H160" s="69">
        <f>reportTbl[[#This Row],[personels]]-reportTbl[[#This Row],[personels]]*2.5/22-0.5</f>
        <v>-0.5</v>
      </c>
      <c r="I160" s="70">
        <f>(reportTbl[[#This Row],[وزن تولید]]*unityCycleTime-reportTbl[[#This Row],[received TimeOut]])/(reportTbl[[#This Row],[available time]]*reportTbl[[#This Row],[تعداد نیرو]])</f>
        <v>-8.5099736855232955</v>
      </c>
      <c r="J160" s="71"/>
      <c r="K160" s="73"/>
      <c r="L160" s="73"/>
      <c r="M160" s="73"/>
      <c r="N160" s="73"/>
      <c r="O160" s="73">
        <v>0</v>
      </c>
      <c r="P160" s="72" t="s">
        <v>1016</v>
      </c>
      <c r="Q160" s="68">
        <f>_xlfn.XLOOKUP(reportTbl[[#This Row],[date]],IIITbl[date],IIITbl[totalCT],0)</f>
        <v>0</v>
      </c>
      <c r="R160" s="68">
        <v>30000</v>
      </c>
    </row>
    <row r="161" spans="1:18" ht="16.5">
      <c r="A161" s="7" t="s">
        <v>805</v>
      </c>
      <c r="B161" s="67" t="s">
        <v>119</v>
      </c>
      <c r="C161" s="68">
        <f>SUMIF(cutts[date],A161,cutts[num])</f>
        <v>0</v>
      </c>
      <c r="D161" s="68"/>
      <c r="E161" s="69">
        <f>SUMIF(packes[date],A161,packes[num])</f>
        <v>2625</v>
      </c>
      <c r="F161" s="69">
        <f>SUMIF(packes[date],A161,packes[wPacked])</f>
        <v>2963.6680634540553</v>
      </c>
      <c r="G161" s="69"/>
      <c r="H161" s="69">
        <f>reportTbl[[#This Row],[personels]]-reportTbl[[#This Row],[personels]]*2.5/22-0.5</f>
        <v>-0.5</v>
      </c>
      <c r="I161" s="70">
        <f>(reportTbl[[#This Row],[وزن تولید]]*unityCycleTime-reportTbl[[#This Row],[received TimeOut]])/(reportTbl[[#This Row],[available time]]*reportTbl[[#This Row],[تعداد نیرو]])</f>
        <v>-18.997112286740496</v>
      </c>
      <c r="J161" s="71"/>
      <c r="K161" s="73"/>
      <c r="L161" s="73"/>
      <c r="M161" s="73"/>
      <c r="N161" s="73"/>
      <c r="O161" s="73">
        <v>0</v>
      </c>
      <c r="P161" s="72" t="s">
        <v>1016</v>
      </c>
      <c r="Q161" s="68">
        <f>_xlfn.XLOOKUP(reportTbl[[#This Row],[date]],IIITbl[date],IIITbl[totalCT],0)</f>
        <v>0</v>
      </c>
      <c r="R161" s="68">
        <v>30000</v>
      </c>
    </row>
    <row r="162" spans="1:18" ht="16.5">
      <c r="A162" s="7" t="s">
        <v>806</v>
      </c>
      <c r="B162" s="67" t="s">
        <v>120</v>
      </c>
      <c r="C162" s="68">
        <f>SUMIF(cutts[date],A162,cutts[num])</f>
        <v>0</v>
      </c>
      <c r="D162" s="68"/>
      <c r="E162" s="69">
        <f>SUMIF(packes[date],A162,packes[num])</f>
        <v>0</v>
      </c>
      <c r="F162" s="69">
        <f>SUMIF(packes[date],A162,packes[wPacked])</f>
        <v>0</v>
      </c>
      <c r="G162" s="69"/>
      <c r="H162" s="69">
        <f>reportTbl[[#This Row],[personels]]-reportTbl[[#This Row],[personels]]*2.5/22-0.5</f>
        <v>-0.5</v>
      </c>
      <c r="I162" s="70">
        <f>(reportTbl[[#This Row],[وزن تولید]]*unityCycleTime-reportTbl[[#This Row],[received TimeOut]])/(reportTbl[[#This Row],[available time]]*reportTbl[[#This Row],[تعداد نیرو]])</f>
        <v>0</v>
      </c>
      <c r="J162" s="71"/>
      <c r="K162" s="73"/>
      <c r="L162" s="73"/>
      <c r="M162" s="73"/>
      <c r="N162" s="73"/>
      <c r="O162" s="73">
        <v>0</v>
      </c>
      <c r="P162" s="72" t="s">
        <v>1016</v>
      </c>
      <c r="Q162" s="68">
        <f>_xlfn.XLOOKUP(reportTbl[[#This Row],[date]],IIITbl[date],IIITbl[totalCT],0)</f>
        <v>0</v>
      </c>
      <c r="R162" s="68">
        <v>30000</v>
      </c>
    </row>
    <row r="163" spans="1:18" ht="16.5">
      <c r="A163" s="7" t="s">
        <v>807</v>
      </c>
      <c r="B163" s="67" t="s">
        <v>121</v>
      </c>
      <c r="C163" s="68">
        <f>SUMIF(cutts[date],A163,cutts[num])</f>
        <v>0</v>
      </c>
      <c r="D163" s="68"/>
      <c r="E163" s="69">
        <f>SUMIF(packes[date],A163,packes[num])</f>
        <v>0</v>
      </c>
      <c r="F163" s="69">
        <f>SUMIF(packes[date],A163,packes[wPacked])</f>
        <v>0</v>
      </c>
      <c r="G163" s="69"/>
      <c r="H163" s="69">
        <f>reportTbl[[#This Row],[personels]]-reportTbl[[#This Row],[personels]]*2.5/22-0.5</f>
        <v>-0.5</v>
      </c>
      <c r="I163" s="70">
        <f>(reportTbl[[#This Row],[وزن تولید]]*unityCycleTime-reportTbl[[#This Row],[received TimeOut]])/(reportTbl[[#This Row],[available time]]*reportTbl[[#This Row],[تعداد نیرو]])</f>
        <v>0</v>
      </c>
      <c r="J163" s="71"/>
      <c r="K163" s="73"/>
      <c r="L163" s="73"/>
      <c r="M163" s="73"/>
      <c r="N163" s="73"/>
      <c r="O163" s="73">
        <v>0</v>
      </c>
      <c r="P163" s="72" t="s">
        <v>1016</v>
      </c>
      <c r="Q163" s="68">
        <f>_xlfn.XLOOKUP(reportTbl[[#This Row],[date]],IIITbl[date],IIITbl[totalCT],0)</f>
        <v>0</v>
      </c>
      <c r="R163" s="68">
        <v>30000</v>
      </c>
    </row>
    <row r="164" spans="1:18" ht="16.5">
      <c r="A164" s="7" t="s">
        <v>808</v>
      </c>
      <c r="B164" s="67" t="s">
        <v>115</v>
      </c>
      <c r="C164" s="68">
        <f>SUMIF(cutts[date],A164,cutts[num])</f>
        <v>9000</v>
      </c>
      <c r="D164" s="68"/>
      <c r="E164" s="69">
        <f>SUMIF(packes[date],A164,packes[num])</f>
        <v>3375</v>
      </c>
      <c r="F164" s="69">
        <f>SUMIF(packes[date],A164,packes[wPacked])</f>
        <v>4088.8481492567093</v>
      </c>
      <c r="G164" s="69"/>
      <c r="H164" s="69">
        <f>reportTbl[[#This Row],[personels]]-reportTbl[[#This Row],[personels]]*2.5/22-0.5</f>
        <v>-0.5</v>
      </c>
      <c r="I164" s="70">
        <f>(reportTbl[[#This Row],[وزن تولید]]*unityCycleTime-reportTbl[[#This Row],[received TimeOut]])/(reportTbl[[#This Row],[available time]]*reportTbl[[#This Row],[تعداد نیرو]])</f>
        <v>-26.209516636735508</v>
      </c>
      <c r="J164" s="71"/>
      <c r="K164" s="73"/>
      <c r="L164" s="73"/>
      <c r="M164" s="73"/>
      <c r="N164" s="73"/>
      <c r="O164" s="73">
        <v>0</v>
      </c>
      <c r="P164" s="72" t="s">
        <v>1016</v>
      </c>
      <c r="Q164" s="68">
        <f>_xlfn.XLOOKUP(reportTbl[[#This Row],[date]],IIITbl[date],IIITbl[totalCT],0)</f>
        <v>0</v>
      </c>
      <c r="R164" s="68">
        <v>30000</v>
      </c>
    </row>
    <row r="165" spans="1:18" ht="16.5">
      <c r="A165" s="7" t="s">
        <v>809</v>
      </c>
      <c r="B165" s="67" t="s">
        <v>116</v>
      </c>
      <c r="C165" s="68">
        <f>SUMIF(cutts[date],A165,cutts[num])</f>
        <v>0</v>
      </c>
      <c r="D165" s="68"/>
      <c r="E165" s="69">
        <f>SUMIF(packes[date],A165,packes[num])</f>
        <v>3400</v>
      </c>
      <c r="F165" s="69">
        <f>SUMIF(packes[date],A165,packes[wPacked])</f>
        <v>3730.0708370747279</v>
      </c>
      <c r="G165" s="69"/>
      <c r="H165" s="69">
        <f>reportTbl[[#This Row],[personels]]-reportTbl[[#This Row],[personels]]*2.5/22-0.5</f>
        <v>-0.5</v>
      </c>
      <c r="I165" s="70">
        <f>(reportTbl[[#This Row],[وزن تولید]]*unityCycleTime-reportTbl[[#This Row],[received TimeOut]])/(reportTbl[[#This Row],[available time]]*reportTbl[[#This Row],[تعداد نیرو]])</f>
        <v>-23.909754065649008</v>
      </c>
      <c r="J165" s="71"/>
      <c r="K165" s="73"/>
      <c r="L165" s="73"/>
      <c r="M165" s="73"/>
      <c r="N165" s="73"/>
      <c r="O165" s="73">
        <v>0</v>
      </c>
      <c r="P165" s="72" t="s">
        <v>1016</v>
      </c>
      <c r="Q165" s="68">
        <f>_xlfn.XLOOKUP(reportTbl[[#This Row],[date]],IIITbl[date],IIITbl[totalCT],0)</f>
        <v>0</v>
      </c>
      <c r="R165" s="68">
        <v>30000</v>
      </c>
    </row>
    <row r="166" spans="1:18" ht="16.5">
      <c r="A166" s="7" t="s">
        <v>810</v>
      </c>
      <c r="B166" s="67" t="s">
        <v>117</v>
      </c>
      <c r="C166" s="68">
        <f>SUMIF(cutts[date],A166,cutts[num])</f>
        <v>0</v>
      </c>
      <c r="D166" s="68"/>
      <c r="E166" s="69">
        <f>SUMIF(packes[date],A166,packes[num])</f>
        <v>0</v>
      </c>
      <c r="F166" s="69">
        <f>SUMIF(packes[date],A166,packes[wPacked])</f>
        <v>0</v>
      </c>
      <c r="G166" s="69"/>
      <c r="H166" s="69">
        <f>reportTbl[[#This Row],[personels]]-reportTbl[[#This Row],[personels]]*2.5/22-0.5</f>
        <v>-0.5</v>
      </c>
      <c r="I166" s="70">
        <f>(reportTbl[[#This Row],[وزن تولید]]*unityCycleTime-reportTbl[[#This Row],[received TimeOut]])/(reportTbl[[#This Row],[available time]]*reportTbl[[#This Row],[تعداد نیرو]])</f>
        <v>0</v>
      </c>
      <c r="J166" s="71"/>
      <c r="K166" s="73"/>
      <c r="L166" s="73"/>
      <c r="M166" s="73"/>
      <c r="N166" s="73"/>
      <c r="O166" s="73">
        <v>0</v>
      </c>
      <c r="P166" s="72" t="s">
        <v>1016</v>
      </c>
      <c r="Q166" s="68">
        <f>_xlfn.XLOOKUP(reportTbl[[#This Row],[date]],IIITbl[date],IIITbl[totalCT],0)</f>
        <v>0</v>
      </c>
      <c r="R166" s="68">
        <v>30000</v>
      </c>
    </row>
    <row r="167" spans="1:18" ht="16.5">
      <c r="A167" s="7" t="s">
        <v>811</v>
      </c>
      <c r="B167" s="67" t="s">
        <v>118</v>
      </c>
      <c r="C167" s="68">
        <f>SUMIF(cutts[date],A167,cutts[num])</f>
        <v>9000</v>
      </c>
      <c r="D167" s="68"/>
      <c r="E167" s="69">
        <f>SUMIF(packes[date],A167,packes[num])</f>
        <v>4035</v>
      </c>
      <c r="F167" s="69">
        <f>SUMIF(packes[date],A167,packes[wPacked])</f>
        <v>4781.4875785692902</v>
      </c>
      <c r="G167" s="69"/>
      <c r="H167" s="69">
        <f>reportTbl[[#This Row],[personels]]-reportTbl[[#This Row],[personels]]*2.5/22-0.5</f>
        <v>-0.5</v>
      </c>
      <c r="I167" s="70">
        <f>(reportTbl[[#This Row],[وزن تولید]]*unityCycleTime-reportTbl[[#This Row],[received TimeOut]])/(reportTbl[[#This Row],[available time]]*reportTbl[[#This Row],[تعداد نیرو]])</f>
        <v>-30.64933537862915</v>
      </c>
      <c r="J167" s="71"/>
      <c r="K167" s="73"/>
      <c r="L167" s="73"/>
      <c r="M167" s="73"/>
      <c r="N167" s="73"/>
      <c r="O167" s="73">
        <v>0</v>
      </c>
      <c r="P167" s="72" t="s">
        <v>1016</v>
      </c>
      <c r="Q167" s="68">
        <f>_xlfn.XLOOKUP(reportTbl[[#This Row],[date]],IIITbl[date],IIITbl[totalCT],0)</f>
        <v>0</v>
      </c>
      <c r="R167" s="68">
        <v>30000</v>
      </c>
    </row>
    <row r="168" spans="1:18" ht="16.5">
      <c r="A168" s="7" t="s">
        <v>812</v>
      </c>
      <c r="B168" s="67" t="s">
        <v>119</v>
      </c>
      <c r="C168" s="68">
        <f>SUMIF(cutts[date],A168,cutts[num])</f>
        <v>0</v>
      </c>
      <c r="D168" s="68"/>
      <c r="E168" s="69">
        <f>SUMIF(packes[date],A168,packes[num])</f>
        <v>0</v>
      </c>
      <c r="F168" s="69">
        <f>SUMIF(packes[date],A168,packes[wPacked])</f>
        <v>0</v>
      </c>
      <c r="G168" s="69"/>
      <c r="H168" s="69">
        <f>reportTbl[[#This Row],[personels]]-reportTbl[[#This Row],[personels]]*2.5/22-0.5</f>
        <v>-0.5</v>
      </c>
      <c r="I168" s="70">
        <f>(reportTbl[[#This Row],[وزن تولید]]*unityCycleTime-reportTbl[[#This Row],[received TimeOut]])/(reportTbl[[#This Row],[available time]]*reportTbl[[#This Row],[تعداد نیرو]])</f>
        <v>0</v>
      </c>
      <c r="J168" s="71"/>
      <c r="K168" s="73"/>
      <c r="L168" s="73"/>
      <c r="M168" s="73"/>
      <c r="N168" s="73"/>
      <c r="O168" s="73">
        <v>0</v>
      </c>
      <c r="P168" s="72" t="s">
        <v>1016</v>
      </c>
      <c r="Q168" s="68">
        <f>_xlfn.XLOOKUP(reportTbl[[#This Row],[date]],IIITbl[date],IIITbl[totalCT],0)</f>
        <v>0</v>
      </c>
      <c r="R168" s="68">
        <v>30000</v>
      </c>
    </row>
    <row r="169" spans="1:18" ht="16.5">
      <c r="A169" s="7" t="s">
        <v>813</v>
      </c>
      <c r="B169" s="67" t="s">
        <v>120</v>
      </c>
      <c r="C169" s="68">
        <f>SUMIF(cutts[date],A169,cutts[num])</f>
        <v>0</v>
      </c>
      <c r="D169" s="68"/>
      <c r="E169" s="69">
        <f>SUMIF(packes[date],A169,packes[num])</f>
        <v>0</v>
      </c>
      <c r="F169" s="69">
        <f>SUMIF(packes[date],A169,packes[wPacked])</f>
        <v>0</v>
      </c>
      <c r="G169" s="69"/>
      <c r="H169" s="69">
        <f>reportTbl[[#This Row],[personels]]-reportTbl[[#This Row],[personels]]*2.5/22-0.5</f>
        <v>-0.5</v>
      </c>
      <c r="I169" s="70">
        <f>(reportTbl[[#This Row],[وزن تولید]]*unityCycleTime-reportTbl[[#This Row],[received TimeOut]])/(reportTbl[[#This Row],[available time]]*reportTbl[[#This Row],[تعداد نیرو]])</f>
        <v>0</v>
      </c>
      <c r="J169" s="71"/>
      <c r="K169" s="73"/>
      <c r="L169" s="73"/>
      <c r="M169" s="73"/>
      <c r="N169" s="73"/>
      <c r="O169" s="73">
        <v>0</v>
      </c>
      <c r="P169" s="72" t="s">
        <v>1016</v>
      </c>
      <c r="Q169" s="68">
        <f>_xlfn.XLOOKUP(reportTbl[[#This Row],[date]],IIITbl[date],IIITbl[totalCT],0)</f>
        <v>0</v>
      </c>
      <c r="R169" s="68">
        <v>30000</v>
      </c>
    </row>
    <row r="170" spans="1:18" ht="16.5">
      <c r="A170" s="7" t="s">
        <v>814</v>
      </c>
      <c r="B170" s="67" t="s">
        <v>121</v>
      </c>
      <c r="C170" s="68">
        <f>SUMIF(cutts[date],A170,cutts[num])</f>
        <v>0</v>
      </c>
      <c r="D170" s="68"/>
      <c r="E170" s="69">
        <f>SUMIF(packes[date],A170,packes[num])</f>
        <v>0</v>
      </c>
      <c r="F170" s="69">
        <f>SUMIF(packes[date],A170,packes[wPacked])</f>
        <v>0</v>
      </c>
      <c r="G170" s="69"/>
      <c r="H170" s="69">
        <f>reportTbl[[#This Row],[personels]]-reportTbl[[#This Row],[personels]]*2.5/22-0.5</f>
        <v>-0.5</v>
      </c>
      <c r="I170" s="70">
        <f>(reportTbl[[#This Row],[وزن تولید]]*unityCycleTime-reportTbl[[#This Row],[received TimeOut]])/(reportTbl[[#This Row],[available time]]*reportTbl[[#This Row],[تعداد نیرو]])</f>
        <v>0</v>
      </c>
      <c r="J170" s="71"/>
      <c r="K170" s="73"/>
      <c r="L170" s="73"/>
      <c r="M170" s="73"/>
      <c r="N170" s="73"/>
      <c r="O170" s="73">
        <v>0</v>
      </c>
      <c r="P170" s="72" t="s">
        <v>1016</v>
      </c>
      <c r="Q170" s="68">
        <f>_xlfn.XLOOKUP(reportTbl[[#This Row],[date]],IIITbl[date],IIITbl[totalCT],0)</f>
        <v>0</v>
      </c>
      <c r="R170" s="68">
        <v>30000</v>
      </c>
    </row>
    <row r="171" spans="1:18" ht="16.5">
      <c r="A171" s="7" t="s">
        <v>815</v>
      </c>
      <c r="B171" s="67" t="s">
        <v>115</v>
      </c>
      <c r="C171" s="68">
        <f>SUMIF(cutts[date],A171,cutts[num])</f>
        <v>0</v>
      </c>
      <c r="D171" s="68"/>
      <c r="E171" s="69">
        <f>SUMIF(packes[date],A171,packes[num])</f>
        <v>0</v>
      </c>
      <c r="F171" s="69">
        <f>SUMIF(packes[date],A171,packes[wPacked])</f>
        <v>0</v>
      </c>
      <c r="G171" s="69"/>
      <c r="H171" s="69">
        <f>reportTbl[[#This Row],[personels]]-reportTbl[[#This Row],[personels]]*2.5/22-0.5</f>
        <v>-0.5</v>
      </c>
      <c r="I171" s="70">
        <f>(reportTbl[[#This Row],[وزن تولید]]*unityCycleTime-reportTbl[[#This Row],[received TimeOut]])/(reportTbl[[#This Row],[available time]]*reportTbl[[#This Row],[تعداد نیرو]])</f>
        <v>0</v>
      </c>
      <c r="J171" s="71"/>
      <c r="K171" s="73"/>
      <c r="L171" s="73"/>
      <c r="M171" s="73"/>
      <c r="N171" s="73"/>
      <c r="O171" s="73">
        <v>0</v>
      </c>
      <c r="P171" s="72" t="s">
        <v>1016</v>
      </c>
      <c r="Q171" s="68">
        <f>_xlfn.XLOOKUP(reportTbl[[#This Row],[date]],IIITbl[date],IIITbl[totalCT],0)</f>
        <v>0</v>
      </c>
      <c r="R171" s="68">
        <v>30000</v>
      </c>
    </row>
    <row r="172" spans="1:18" ht="16.5">
      <c r="A172" s="7" t="s">
        <v>816</v>
      </c>
      <c r="B172" s="67" t="s">
        <v>116</v>
      </c>
      <c r="C172" s="68">
        <f>SUMIF(cutts[date],A172,cutts[num])</f>
        <v>0</v>
      </c>
      <c r="D172" s="68"/>
      <c r="E172" s="69">
        <f>SUMIF(packes[date],A172,packes[num])</f>
        <v>0</v>
      </c>
      <c r="F172" s="69">
        <f>SUMIF(packes[date],A172,packes[wPacked])</f>
        <v>0</v>
      </c>
      <c r="G172" s="69"/>
      <c r="H172" s="69">
        <f>reportTbl[[#This Row],[personels]]-reportTbl[[#This Row],[personels]]*2.5/22-0.5</f>
        <v>-0.5</v>
      </c>
      <c r="I172" s="70">
        <f>(reportTbl[[#This Row],[وزن تولید]]*unityCycleTime-reportTbl[[#This Row],[received TimeOut]])/(reportTbl[[#This Row],[available time]]*reportTbl[[#This Row],[تعداد نیرو]])</f>
        <v>0</v>
      </c>
      <c r="J172" s="71"/>
      <c r="K172" s="73"/>
      <c r="L172" s="73"/>
      <c r="M172" s="73"/>
      <c r="N172" s="73"/>
      <c r="O172" s="73">
        <v>0</v>
      </c>
      <c r="P172" s="72" t="s">
        <v>1016</v>
      </c>
      <c r="Q172" s="68">
        <f>_xlfn.XLOOKUP(reportTbl[[#This Row],[date]],IIITbl[date],IIITbl[totalCT],0)</f>
        <v>0</v>
      </c>
      <c r="R172" s="68">
        <v>30000</v>
      </c>
    </row>
    <row r="173" spans="1:18" ht="16.5">
      <c r="A173" s="7" t="s">
        <v>817</v>
      </c>
      <c r="B173" s="67" t="s">
        <v>117</v>
      </c>
      <c r="C173" s="68">
        <f>SUMIF(cutts[date],A173,cutts[num])</f>
        <v>0</v>
      </c>
      <c r="D173" s="68"/>
      <c r="E173" s="69">
        <f>SUMIF(packes[date],A173,packes[num])</f>
        <v>0</v>
      </c>
      <c r="F173" s="69">
        <f>SUMIF(packes[date],A173,packes[wPacked])</f>
        <v>0</v>
      </c>
      <c r="G173" s="69"/>
      <c r="H173" s="69">
        <f>reportTbl[[#This Row],[personels]]-reportTbl[[#This Row],[personels]]*2.5/22-0.5</f>
        <v>-0.5</v>
      </c>
      <c r="I173" s="70">
        <f>(reportTbl[[#This Row],[وزن تولید]]*unityCycleTime-reportTbl[[#This Row],[received TimeOut]])/(reportTbl[[#This Row],[available time]]*reportTbl[[#This Row],[تعداد نیرو]])</f>
        <v>0</v>
      </c>
      <c r="J173" s="71"/>
      <c r="K173" s="73"/>
      <c r="L173" s="73"/>
      <c r="M173" s="73"/>
      <c r="N173" s="73"/>
      <c r="O173" s="73">
        <v>0</v>
      </c>
      <c r="P173" s="72" t="s">
        <v>1016</v>
      </c>
      <c r="Q173" s="68">
        <f>_xlfn.XLOOKUP(reportTbl[[#This Row],[date]],IIITbl[date],IIITbl[totalCT],0)</f>
        <v>0</v>
      </c>
      <c r="R173" s="68">
        <v>30000</v>
      </c>
    </row>
    <row r="174" spans="1:18" ht="16.5">
      <c r="A174" s="7" t="s">
        <v>818</v>
      </c>
      <c r="B174" s="67" t="s">
        <v>118</v>
      </c>
      <c r="C174" s="68">
        <f>SUMIF(cutts[date],A174,cutts[num])</f>
        <v>0</v>
      </c>
      <c r="D174" s="68"/>
      <c r="E174" s="69">
        <f>SUMIF(packes[date],A174,packes[num])</f>
        <v>0</v>
      </c>
      <c r="F174" s="69">
        <f>SUMIF(packes[date],A174,packes[wPacked])</f>
        <v>0</v>
      </c>
      <c r="G174" s="69"/>
      <c r="H174" s="69">
        <f>reportTbl[[#This Row],[personels]]-reportTbl[[#This Row],[personels]]*2.5/22-0.5</f>
        <v>-0.5</v>
      </c>
      <c r="I174" s="70">
        <f>(reportTbl[[#This Row],[وزن تولید]]*unityCycleTime-reportTbl[[#This Row],[received TimeOut]])/(reportTbl[[#This Row],[available time]]*reportTbl[[#This Row],[تعداد نیرو]])</f>
        <v>0</v>
      </c>
      <c r="J174" s="71"/>
      <c r="K174" s="73"/>
      <c r="L174" s="73"/>
      <c r="M174" s="73"/>
      <c r="N174" s="73"/>
      <c r="O174" s="73">
        <v>0</v>
      </c>
      <c r="P174" s="72" t="s">
        <v>1016</v>
      </c>
      <c r="Q174" s="68">
        <f>_xlfn.XLOOKUP(reportTbl[[#This Row],[date]],IIITbl[date],IIITbl[totalCT],0)</f>
        <v>0</v>
      </c>
      <c r="R174" s="68">
        <v>30000</v>
      </c>
    </row>
    <row r="175" spans="1:18" ht="16.5">
      <c r="A175" s="7" t="s">
        <v>819</v>
      </c>
      <c r="B175" s="67" t="s">
        <v>119</v>
      </c>
      <c r="C175" s="68">
        <f>SUMIF(cutts[date],A175,cutts[num])</f>
        <v>0</v>
      </c>
      <c r="D175" s="68"/>
      <c r="E175" s="69">
        <f>SUMIF(packes[date],A175,packes[num])</f>
        <v>0</v>
      </c>
      <c r="F175" s="69">
        <f>SUMIF(packes[date],A175,packes[wPacked])</f>
        <v>0</v>
      </c>
      <c r="G175" s="69"/>
      <c r="H175" s="69">
        <f>reportTbl[[#This Row],[personels]]-reportTbl[[#This Row],[personels]]*2.5/22-0.5</f>
        <v>-0.5</v>
      </c>
      <c r="I175" s="70">
        <f>(reportTbl[[#This Row],[وزن تولید]]*unityCycleTime-reportTbl[[#This Row],[received TimeOut]])/(reportTbl[[#This Row],[available time]]*reportTbl[[#This Row],[تعداد نیرو]])</f>
        <v>0</v>
      </c>
      <c r="J175" s="71"/>
      <c r="K175" s="73"/>
      <c r="L175" s="73"/>
      <c r="M175" s="73"/>
      <c r="N175" s="73"/>
      <c r="O175" s="73">
        <v>0</v>
      </c>
      <c r="P175" s="72" t="s">
        <v>1016</v>
      </c>
      <c r="Q175" s="68">
        <f>_xlfn.XLOOKUP(reportTbl[[#This Row],[date]],IIITbl[date],IIITbl[totalCT],0)</f>
        <v>0</v>
      </c>
      <c r="R175" s="68">
        <v>30000</v>
      </c>
    </row>
    <row r="176" spans="1:18" ht="16.5">
      <c r="A176" s="7" t="s">
        <v>820</v>
      </c>
      <c r="B176" s="67" t="s">
        <v>120</v>
      </c>
      <c r="C176" s="68">
        <f>SUMIF(cutts[date],A176,cutts[num])</f>
        <v>0</v>
      </c>
      <c r="D176" s="68"/>
      <c r="E176" s="69">
        <f>SUMIF(packes[date],A176,packes[num])</f>
        <v>0</v>
      </c>
      <c r="F176" s="69">
        <f>SUMIF(packes[date],A176,packes[wPacked])</f>
        <v>0</v>
      </c>
      <c r="G176" s="69"/>
      <c r="H176" s="69">
        <f>reportTbl[[#This Row],[personels]]-reportTbl[[#This Row],[personels]]*2.5/22-0.5</f>
        <v>-0.5</v>
      </c>
      <c r="I176" s="70">
        <f>(reportTbl[[#This Row],[وزن تولید]]*unityCycleTime-reportTbl[[#This Row],[received TimeOut]])/(reportTbl[[#This Row],[available time]]*reportTbl[[#This Row],[تعداد نیرو]])</f>
        <v>0</v>
      </c>
      <c r="J176" s="71"/>
      <c r="K176" s="73"/>
      <c r="L176" s="73"/>
      <c r="M176" s="73"/>
      <c r="N176" s="73"/>
      <c r="O176" s="73">
        <v>0</v>
      </c>
      <c r="P176" s="72" t="s">
        <v>1016</v>
      </c>
      <c r="Q176" s="68">
        <f>_xlfn.XLOOKUP(reportTbl[[#This Row],[date]],IIITbl[date],IIITbl[totalCT],0)</f>
        <v>0</v>
      </c>
      <c r="R176" s="68">
        <v>30000</v>
      </c>
    </row>
    <row r="177" spans="1:18" ht="16.5">
      <c r="A177" s="7" t="s">
        <v>821</v>
      </c>
      <c r="B177" s="67" t="s">
        <v>121</v>
      </c>
      <c r="C177" s="68">
        <f>SUMIF(cutts[date],A177,cutts[num])</f>
        <v>0</v>
      </c>
      <c r="D177" s="68"/>
      <c r="E177" s="69">
        <f>SUMIF(packes[date],A177,packes[num])</f>
        <v>0</v>
      </c>
      <c r="F177" s="69">
        <f>SUMIF(packes[date],A177,packes[wPacked])</f>
        <v>0</v>
      </c>
      <c r="G177" s="69"/>
      <c r="H177" s="69">
        <f>reportTbl[[#This Row],[personels]]-reportTbl[[#This Row],[personels]]*2.5/22-0.5</f>
        <v>-0.5</v>
      </c>
      <c r="I177" s="70">
        <f>(reportTbl[[#This Row],[وزن تولید]]*unityCycleTime-reportTbl[[#This Row],[received TimeOut]])/(reportTbl[[#This Row],[available time]]*reportTbl[[#This Row],[تعداد نیرو]])</f>
        <v>0</v>
      </c>
      <c r="J177" s="71"/>
      <c r="K177" s="73"/>
      <c r="L177" s="73"/>
      <c r="M177" s="73"/>
      <c r="N177" s="73"/>
      <c r="O177" s="73">
        <v>0</v>
      </c>
      <c r="P177" s="72" t="s">
        <v>1016</v>
      </c>
      <c r="Q177" s="68">
        <f>_xlfn.XLOOKUP(reportTbl[[#This Row],[date]],IIITbl[date],IIITbl[totalCT],0)</f>
        <v>0</v>
      </c>
      <c r="R177" s="68">
        <v>30000</v>
      </c>
    </row>
    <row r="178" spans="1:18" ht="16.5">
      <c r="A178" s="7" t="s">
        <v>822</v>
      </c>
      <c r="B178" s="67" t="s">
        <v>115</v>
      </c>
      <c r="C178" s="68">
        <f>SUMIF(cutts[date],A178,cutts[num])</f>
        <v>0</v>
      </c>
      <c r="D178" s="68"/>
      <c r="E178" s="69">
        <f>SUMIF(packes[date],A178,packes[num])</f>
        <v>0</v>
      </c>
      <c r="F178" s="69">
        <f>SUMIF(packes[date],A178,packes[wPacked])</f>
        <v>0</v>
      </c>
      <c r="G178" s="69"/>
      <c r="H178" s="69">
        <f>reportTbl[[#This Row],[personels]]-reportTbl[[#This Row],[personels]]*2.5/22-0.5</f>
        <v>-0.5</v>
      </c>
      <c r="I178" s="70">
        <f>(reportTbl[[#This Row],[وزن تولید]]*unityCycleTime-reportTbl[[#This Row],[received TimeOut]])/(reportTbl[[#This Row],[available time]]*reportTbl[[#This Row],[تعداد نیرو]])</f>
        <v>0</v>
      </c>
      <c r="J178" s="71"/>
      <c r="K178" s="73"/>
      <c r="L178" s="73"/>
      <c r="M178" s="73"/>
      <c r="N178" s="73"/>
      <c r="O178" s="73">
        <v>0</v>
      </c>
      <c r="P178" s="72" t="s">
        <v>1016</v>
      </c>
      <c r="Q178" s="68">
        <f>_xlfn.XLOOKUP(reportTbl[[#This Row],[date]],IIITbl[date],IIITbl[totalCT],0)</f>
        <v>0</v>
      </c>
      <c r="R178" s="68">
        <v>30000</v>
      </c>
    </row>
    <row r="179" spans="1:18" ht="16.5">
      <c r="A179" s="7" t="s">
        <v>823</v>
      </c>
      <c r="B179" s="67" t="s">
        <v>116</v>
      </c>
      <c r="C179" s="68">
        <f>SUMIF(cutts[date],A179,cutts[num])</f>
        <v>0</v>
      </c>
      <c r="D179" s="68"/>
      <c r="E179" s="69">
        <f>SUMIF(packes[date],A179,packes[num])</f>
        <v>0</v>
      </c>
      <c r="F179" s="69">
        <f>SUMIF(packes[date],A179,packes[wPacked])</f>
        <v>0</v>
      </c>
      <c r="G179" s="69"/>
      <c r="H179" s="69">
        <f>reportTbl[[#This Row],[personels]]-reportTbl[[#This Row],[personels]]*2.5/22-0.5</f>
        <v>-0.5</v>
      </c>
      <c r="I179" s="70">
        <f>(reportTbl[[#This Row],[وزن تولید]]*unityCycleTime-reportTbl[[#This Row],[received TimeOut]])/(reportTbl[[#This Row],[available time]]*reportTbl[[#This Row],[تعداد نیرو]])</f>
        <v>0</v>
      </c>
      <c r="J179" s="71"/>
      <c r="K179" s="73"/>
      <c r="L179" s="73"/>
      <c r="M179" s="73"/>
      <c r="N179" s="73"/>
      <c r="O179" s="73">
        <v>0</v>
      </c>
      <c r="P179" s="72" t="s">
        <v>1016</v>
      </c>
      <c r="Q179" s="68">
        <f>_xlfn.XLOOKUP(reportTbl[[#This Row],[date]],IIITbl[date],IIITbl[totalCT],0)</f>
        <v>0</v>
      </c>
      <c r="R179" s="68">
        <v>30000</v>
      </c>
    </row>
    <row r="180" spans="1:18" ht="16.5">
      <c r="A180" s="7" t="s">
        <v>824</v>
      </c>
      <c r="B180" s="67" t="s">
        <v>117</v>
      </c>
      <c r="C180" s="68">
        <f>SUMIF(cutts[date],A180,cutts[num])</f>
        <v>0</v>
      </c>
      <c r="D180" s="68"/>
      <c r="E180" s="69">
        <f>SUMIF(packes[date],A180,packes[num])</f>
        <v>0</v>
      </c>
      <c r="F180" s="69">
        <f>SUMIF(packes[date],A180,packes[wPacked])</f>
        <v>0</v>
      </c>
      <c r="G180" s="69"/>
      <c r="H180" s="69">
        <f>reportTbl[[#This Row],[personels]]-reportTbl[[#This Row],[personels]]*2.5/22-0.5</f>
        <v>-0.5</v>
      </c>
      <c r="I180" s="70">
        <f>(reportTbl[[#This Row],[وزن تولید]]*unityCycleTime-reportTbl[[#This Row],[received TimeOut]])/(reportTbl[[#This Row],[available time]]*reportTbl[[#This Row],[تعداد نیرو]])</f>
        <v>0</v>
      </c>
      <c r="J180" s="71"/>
      <c r="K180" s="73"/>
      <c r="L180" s="73"/>
      <c r="M180" s="73"/>
      <c r="N180" s="73"/>
      <c r="O180" s="73">
        <v>0</v>
      </c>
      <c r="P180" s="72" t="s">
        <v>1016</v>
      </c>
      <c r="Q180" s="68">
        <f>_xlfn.XLOOKUP(reportTbl[[#This Row],[date]],IIITbl[date],IIITbl[totalCT],0)</f>
        <v>0</v>
      </c>
      <c r="R180" s="68">
        <v>30000</v>
      </c>
    </row>
    <row r="181" spans="1:18" ht="16.5">
      <c r="A181" s="7" t="s">
        <v>825</v>
      </c>
      <c r="B181" s="67" t="s">
        <v>118</v>
      </c>
      <c r="C181" s="68">
        <f>SUMIF(cutts[date],A181,cutts[num])</f>
        <v>0</v>
      </c>
      <c r="D181" s="68"/>
      <c r="E181" s="69">
        <f>SUMIF(packes[date],A181,packes[num])</f>
        <v>0</v>
      </c>
      <c r="F181" s="69">
        <f>SUMIF(packes[date],A181,packes[wPacked])</f>
        <v>0</v>
      </c>
      <c r="G181" s="69"/>
      <c r="H181" s="69">
        <f>reportTbl[[#This Row],[personels]]-reportTbl[[#This Row],[personels]]*2.5/22-0.5</f>
        <v>-0.5</v>
      </c>
      <c r="I181" s="70">
        <f>(reportTbl[[#This Row],[وزن تولید]]*unityCycleTime-reportTbl[[#This Row],[received TimeOut]])/(reportTbl[[#This Row],[available time]]*reportTbl[[#This Row],[تعداد نیرو]])</f>
        <v>0</v>
      </c>
      <c r="J181" s="71"/>
      <c r="K181" s="73"/>
      <c r="L181" s="73"/>
      <c r="M181" s="73"/>
      <c r="N181" s="73"/>
      <c r="O181" s="73">
        <v>0</v>
      </c>
      <c r="P181" s="72" t="s">
        <v>1016</v>
      </c>
      <c r="Q181" s="68">
        <f>_xlfn.XLOOKUP(reportTbl[[#This Row],[date]],IIITbl[date],IIITbl[totalCT],0)</f>
        <v>0</v>
      </c>
      <c r="R181" s="68">
        <v>30000</v>
      </c>
    </row>
    <row r="182" spans="1:18" ht="16.5">
      <c r="A182" s="7" t="s">
        <v>826</v>
      </c>
      <c r="B182" s="67" t="s">
        <v>119</v>
      </c>
      <c r="C182" s="68">
        <f>SUMIF(cutts[date],A182,cutts[num])</f>
        <v>0</v>
      </c>
      <c r="D182" s="68"/>
      <c r="E182" s="69">
        <f>SUMIF(packes[date],A182,packes[num])</f>
        <v>0</v>
      </c>
      <c r="F182" s="69">
        <f>SUMIF(packes[date],A182,packes[wPacked])</f>
        <v>0</v>
      </c>
      <c r="G182" s="69"/>
      <c r="H182" s="69">
        <f>reportTbl[[#This Row],[personels]]-reportTbl[[#This Row],[personels]]*2.5/22-0.5</f>
        <v>-0.5</v>
      </c>
      <c r="I182" s="70">
        <f>(reportTbl[[#This Row],[وزن تولید]]*unityCycleTime-reportTbl[[#This Row],[received TimeOut]])/(reportTbl[[#This Row],[available time]]*reportTbl[[#This Row],[تعداد نیرو]])</f>
        <v>0</v>
      </c>
      <c r="J182" s="71"/>
      <c r="K182" s="73"/>
      <c r="L182" s="73"/>
      <c r="M182" s="73"/>
      <c r="N182" s="73"/>
      <c r="O182" s="73">
        <v>0</v>
      </c>
      <c r="P182" s="72" t="s">
        <v>1016</v>
      </c>
      <c r="Q182" s="68">
        <f>_xlfn.XLOOKUP(reportTbl[[#This Row],[date]],IIITbl[date],IIITbl[totalCT],0)</f>
        <v>0</v>
      </c>
      <c r="R182" s="68">
        <v>30000</v>
      </c>
    </row>
    <row r="183" spans="1:18" ht="16.5">
      <c r="A183" s="7" t="s">
        <v>827</v>
      </c>
      <c r="B183" s="67" t="s">
        <v>120</v>
      </c>
      <c r="C183" s="68">
        <f>SUMIF(cutts[date],A183,cutts[num])</f>
        <v>0</v>
      </c>
      <c r="D183" s="68"/>
      <c r="E183" s="69">
        <f>SUMIF(packes[date],A183,packes[num])</f>
        <v>0</v>
      </c>
      <c r="F183" s="69">
        <f>SUMIF(packes[date],A183,packes[wPacked])</f>
        <v>0</v>
      </c>
      <c r="G183" s="69"/>
      <c r="H183" s="69">
        <f>reportTbl[[#This Row],[personels]]-reportTbl[[#This Row],[personels]]*2.5/22-0.5</f>
        <v>-0.5</v>
      </c>
      <c r="I183" s="70">
        <f>(reportTbl[[#This Row],[وزن تولید]]*unityCycleTime-reportTbl[[#This Row],[received TimeOut]])/(reportTbl[[#This Row],[available time]]*reportTbl[[#This Row],[تعداد نیرو]])</f>
        <v>0</v>
      </c>
      <c r="J183" s="71"/>
      <c r="K183" s="73"/>
      <c r="L183" s="73"/>
      <c r="M183" s="73"/>
      <c r="N183" s="73"/>
      <c r="O183" s="73">
        <v>0</v>
      </c>
      <c r="P183" s="72" t="s">
        <v>1016</v>
      </c>
      <c r="Q183" s="68">
        <f>_xlfn.XLOOKUP(reportTbl[[#This Row],[date]],IIITbl[date],IIITbl[totalCT],0)</f>
        <v>0</v>
      </c>
      <c r="R183" s="68">
        <v>30000</v>
      </c>
    </row>
    <row r="184" spans="1:18" ht="16.5">
      <c r="A184" s="7" t="s">
        <v>828</v>
      </c>
      <c r="B184" s="67" t="s">
        <v>121</v>
      </c>
      <c r="C184" s="68">
        <f>SUMIF(cutts[date],A184,cutts[num])</f>
        <v>0</v>
      </c>
      <c r="D184" s="68"/>
      <c r="E184" s="69">
        <f>SUMIF(packes[date],A184,packes[num])</f>
        <v>0</v>
      </c>
      <c r="F184" s="69">
        <f>SUMIF(packes[date],A184,packes[wPacked])</f>
        <v>0</v>
      </c>
      <c r="G184" s="69"/>
      <c r="H184" s="69">
        <f>reportTbl[[#This Row],[personels]]-reportTbl[[#This Row],[personels]]*2.5/22-0.5</f>
        <v>-0.5</v>
      </c>
      <c r="I184" s="70">
        <f>(reportTbl[[#This Row],[وزن تولید]]*unityCycleTime-reportTbl[[#This Row],[received TimeOut]])/(reportTbl[[#This Row],[available time]]*reportTbl[[#This Row],[تعداد نیرو]])</f>
        <v>0</v>
      </c>
      <c r="J184" s="71"/>
      <c r="K184" s="73"/>
      <c r="L184" s="73"/>
      <c r="M184" s="73"/>
      <c r="N184" s="73"/>
      <c r="O184" s="73">
        <v>0</v>
      </c>
      <c r="P184" s="72" t="s">
        <v>1016</v>
      </c>
      <c r="Q184" s="68">
        <f>_xlfn.XLOOKUP(reportTbl[[#This Row],[date]],IIITbl[date],IIITbl[totalCT],0)</f>
        <v>0</v>
      </c>
      <c r="R184" s="68">
        <v>30000</v>
      </c>
    </row>
    <row r="185" spans="1:18" ht="16.5">
      <c r="A185" s="7" t="s">
        <v>829</v>
      </c>
      <c r="B185" s="67" t="s">
        <v>115</v>
      </c>
      <c r="C185" s="68">
        <f>SUMIF(cutts[date],A185,cutts[num])</f>
        <v>0</v>
      </c>
      <c r="D185" s="68"/>
      <c r="E185" s="69">
        <f>SUMIF(packes[date],A185,packes[num])</f>
        <v>0</v>
      </c>
      <c r="F185" s="69">
        <f>SUMIF(packes[date],A185,packes[wPacked])</f>
        <v>0</v>
      </c>
      <c r="G185" s="69"/>
      <c r="H185" s="69">
        <f>reportTbl[[#This Row],[personels]]-reportTbl[[#This Row],[personels]]*2.5/22-0.5</f>
        <v>-0.5</v>
      </c>
      <c r="I185" s="70">
        <f>(reportTbl[[#This Row],[وزن تولید]]*unityCycleTime-reportTbl[[#This Row],[received TimeOut]])/(reportTbl[[#This Row],[available time]]*reportTbl[[#This Row],[تعداد نیرو]])</f>
        <v>0</v>
      </c>
      <c r="J185" s="71"/>
      <c r="K185" s="73"/>
      <c r="L185" s="73"/>
      <c r="M185" s="73"/>
      <c r="N185" s="73"/>
      <c r="O185" s="73">
        <v>0</v>
      </c>
      <c r="P185" s="72" t="s">
        <v>1016</v>
      </c>
      <c r="Q185" s="68">
        <f>_xlfn.XLOOKUP(reportTbl[[#This Row],[date]],IIITbl[date],IIITbl[totalCT],0)</f>
        <v>0</v>
      </c>
      <c r="R185" s="68">
        <v>30000</v>
      </c>
    </row>
    <row r="186" spans="1:18" ht="16.5">
      <c r="A186" s="7" t="s">
        <v>830</v>
      </c>
      <c r="B186" s="67" t="s">
        <v>116</v>
      </c>
      <c r="C186" s="68">
        <f>SUMIF(cutts[date],A186,cutts[num])</f>
        <v>0</v>
      </c>
      <c r="D186" s="68"/>
      <c r="E186" s="69">
        <f>SUMIF(packes[date],A186,packes[num])</f>
        <v>0</v>
      </c>
      <c r="F186" s="69">
        <f>SUMIF(packes[date],A186,packes[wPacked])</f>
        <v>0</v>
      </c>
      <c r="G186" s="69"/>
      <c r="H186" s="69">
        <f>reportTbl[[#This Row],[personels]]-reportTbl[[#This Row],[personels]]*2.5/22-0.5</f>
        <v>-0.5</v>
      </c>
      <c r="I186" s="70">
        <f>(reportTbl[[#This Row],[وزن تولید]]*unityCycleTime-reportTbl[[#This Row],[received TimeOut]])/(reportTbl[[#This Row],[available time]]*reportTbl[[#This Row],[تعداد نیرو]])</f>
        <v>0</v>
      </c>
      <c r="J186" s="71"/>
      <c r="K186" s="73"/>
      <c r="L186" s="73"/>
      <c r="M186" s="73"/>
      <c r="N186" s="73"/>
      <c r="O186" s="73">
        <v>0</v>
      </c>
      <c r="P186" s="72" t="s">
        <v>1016</v>
      </c>
      <c r="Q186" s="68">
        <f>_xlfn.XLOOKUP(reportTbl[[#This Row],[date]],IIITbl[date],IIITbl[totalCT],0)</f>
        <v>0</v>
      </c>
      <c r="R186" s="68">
        <v>30000</v>
      </c>
    </row>
    <row r="187" spans="1:18" ht="16.5">
      <c r="A187" s="7" t="s">
        <v>831</v>
      </c>
      <c r="B187" s="67" t="s">
        <v>117</v>
      </c>
      <c r="C187" s="68">
        <f>SUMIF(cutts[date],A187,cutts[num])</f>
        <v>0</v>
      </c>
      <c r="D187" s="68"/>
      <c r="E187" s="69">
        <f>SUMIF(packes[date],A187,packes[num])</f>
        <v>0</v>
      </c>
      <c r="F187" s="69">
        <f>SUMIF(packes[date],A187,packes[wPacked])</f>
        <v>0</v>
      </c>
      <c r="G187" s="69"/>
      <c r="H187" s="69">
        <f>reportTbl[[#This Row],[personels]]-reportTbl[[#This Row],[personels]]*2.5/22-0.5</f>
        <v>-0.5</v>
      </c>
      <c r="I187" s="70">
        <f>(reportTbl[[#This Row],[وزن تولید]]*unityCycleTime-reportTbl[[#This Row],[received TimeOut]])/(reportTbl[[#This Row],[available time]]*reportTbl[[#This Row],[تعداد نیرو]])</f>
        <v>0</v>
      </c>
      <c r="J187" s="71"/>
      <c r="K187" s="73"/>
      <c r="L187" s="73"/>
      <c r="M187" s="73"/>
      <c r="N187" s="73"/>
      <c r="O187" s="73">
        <v>0</v>
      </c>
      <c r="P187" s="72" t="s">
        <v>1016</v>
      </c>
      <c r="Q187" s="68">
        <f>_xlfn.XLOOKUP(reportTbl[[#This Row],[date]],IIITbl[date],IIITbl[totalCT],0)</f>
        <v>0</v>
      </c>
      <c r="R187" s="68">
        <v>30000</v>
      </c>
    </row>
    <row r="188" spans="1:18" ht="16.5">
      <c r="A188" s="7" t="s">
        <v>832</v>
      </c>
      <c r="B188" s="67" t="s">
        <v>118</v>
      </c>
      <c r="C188" s="68">
        <f>SUMIF(cutts[date],A188,cutts[num])</f>
        <v>0</v>
      </c>
      <c r="D188" s="68"/>
      <c r="E188" s="69">
        <f>SUMIF(packes[date],A188,packes[num])</f>
        <v>0</v>
      </c>
      <c r="F188" s="69">
        <f>SUMIF(packes[date],A188,packes[wPacked])</f>
        <v>0</v>
      </c>
      <c r="G188" s="69"/>
      <c r="H188" s="69">
        <f>reportTbl[[#This Row],[personels]]-reportTbl[[#This Row],[personels]]*2.5/22-0.5</f>
        <v>-0.5</v>
      </c>
      <c r="I188" s="70">
        <f>(reportTbl[[#This Row],[وزن تولید]]*unityCycleTime-reportTbl[[#This Row],[received TimeOut]])/(reportTbl[[#This Row],[available time]]*reportTbl[[#This Row],[تعداد نیرو]])</f>
        <v>0</v>
      </c>
      <c r="J188" s="71"/>
      <c r="K188" s="73"/>
      <c r="L188" s="73"/>
      <c r="M188" s="73"/>
      <c r="N188" s="73"/>
      <c r="O188" s="73">
        <v>0</v>
      </c>
      <c r="P188" s="72" t="s">
        <v>1017</v>
      </c>
      <c r="Q188" s="68">
        <f>_xlfn.XLOOKUP(reportTbl[[#This Row],[date]],IIITbl[date],IIITbl[totalCT],0)</f>
        <v>0</v>
      </c>
      <c r="R188" s="68">
        <v>30000</v>
      </c>
    </row>
    <row r="189" spans="1:18" ht="16.5">
      <c r="A189" s="7" t="s">
        <v>833</v>
      </c>
      <c r="B189" s="67" t="s">
        <v>119</v>
      </c>
      <c r="C189" s="68">
        <f>SUMIF(cutts[date],A189,cutts[num])</f>
        <v>0</v>
      </c>
      <c r="D189" s="68"/>
      <c r="E189" s="69">
        <f>SUMIF(packes[date],A189,packes[num])</f>
        <v>0</v>
      </c>
      <c r="F189" s="69">
        <f>SUMIF(packes[date],A189,packes[wPacked])</f>
        <v>0</v>
      </c>
      <c r="G189" s="69"/>
      <c r="H189" s="69">
        <f>reportTbl[[#This Row],[personels]]-reportTbl[[#This Row],[personels]]*2.5/22-0.5</f>
        <v>-0.5</v>
      </c>
      <c r="I189" s="70">
        <f>(reportTbl[[#This Row],[وزن تولید]]*unityCycleTime-reportTbl[[#This Row],[received TimeOut]])/(reportTbl[[#This Row],[available time]]*reportTbl[[#This Row],[تعداد نیرو]])</f>
        <v>0</v>
      </c>
      <c r="J189" s="71"/>
      <c r="K189" s="73"/>
      <c r="L189" s="73"/>
      <c r="M189" s="73"/>
      <c r="N189" s="73"/>
      <c r="O189" s="73">
        <v>0</v>
      </c>
      <c r="P189" s="72" t="s">
        <v>1017</v>
      </c>
      <c r="Q189" s="68">
        <f>_xlfn.XLOOKUP(reportTbl[[#This Row],[date]],IIITbl[date],IIITbl[totalCT],0)</f>
        <v>0</v>
      </c>
      <c r="R189" s="68">
        <v>30000</v>
      </c>
    </row>
    <row r="190" spans="1:18" ht="16.5">
      <c r="A190" s="7" t="s">
        <v>834</v>
      </c>
      <c r="B190" s="67" t="s">
        <v>120</v>
      </c>
      <c r="C190" s="68">
        <f>SUMIF(cutts[date],A190,cutts[num])</f>
        <v>0</v>
      </c>
      <c r="D190" s="68"/>
      <c r="E190" s="69">
        <f>SUMIF(packes[date],A190,packes[num])</f>
        <v>0</v>
      </c>
      <c r="F190" s="69">
        <f>SUMIF(packes[date],A190,packes[wPacked])</f>
        <v>0</v>
      </c>
      <c r="G190" s="69"/>
      <c r="H190" s="69">
        <f>reportTbl[[#This Row],[personels]]-reportTbl[[#This Row],[personels]]*2.5/22-0.5</f>
        <v>-0.5</v>
      </c>
      <c r="I190" s="70">
        <f>(reportTbl[[#This Row],[وزن تولید]]*unityCycleTime-reportTbl[[#This Row],[received TimeOut]])/(reportTbl[[#This Row],[available time]]*reportTbl[[#This Row],[تعداد نیرو]])</f>
        <v>0</v>
      </c>
      <c r="J190" s="71"/>
      <c r="K190" s="73"/>
      <c r="L190" s="73"/>
      <c r="M190" s="73"/>
      <c r="N190" s="73"/>
      <c r="O190" s="73">
        <v>0</v>
      </c>
      <c r="P190" s="72" t="s">
        <v>1017</v>
      </c>
      <c r="Q190" s="68">
        <f>_xlfn.XLOOKUP(reportTbl[[#This Row],[date]],IIITbl[date],IIITbl[totalCT],0)</f>
        <v>0</v>
      </c>
      <c r="R190" s="68">
        <v>30000</v>
      </c>
    </row>
    <row r="191" spans="1:18" ht="16.5">
      <c r="A191" s="7" t="s">
        <v>835</v>
      </c>
      <c r="B191" s="67" t="s">
        <v>121</v>
      </c>
      <c r="C191" s="68">
        <f>SUMIF(cutts[date],A191,cutts[num])</f>
        <v>0</v>
      </c>
      <c r="D191" s="68"/>
      <c r="E191" s="69">
        <f>SUMIF(packes[date],A191,packes[num])</f>
        <v>0</v>
      </c>
      <c r="F191" s="69">
        <f>SUMIF(packes[date],A191,packes[wPacked])</f>
        <v>0</v>
      </c>
      <c r="G191" s="69"/>
      <c r="H191" s="69">
        <f>reportTbl[[#This Row],[personels]]-reportTbl[[#This Row],[personels]]*2.5/22-0.5</f>
        <v>-0.5</v>
      </c>
      <c r="I191" s="70">
        <f>(reportTbl[[#This Row],[وزن تولید]]*unityCycleTime-reportTbl[[#This Row],[received TimeOut]])/(reportTbl[[#This Row],[available time]]*reportTbl[[#This Row],[تعداد نیرو]])</f>
        <v>0</v>
      </c>
      <c r="J191" s="71"/>
      <c r="K191" s="73"/>
      <c r="L191" s="73"/>
      <c r="M191" s="73"/>
      <c r="N191" s="73"/>
      <c r="O191" s="73">
        <v>0</v>
      </c>
      <c r="P191" s="72" t="s">
        <v>1017</v>
      </c>
      <c r="Q191" s="68">
        <f>_xlfn.XLOOKUP(reportTbl[[#This Row],[date]],IIITbl[date],IIITbl[totalCT],0)</f>
        <v>0</v>
      </c>
      <c r="R191" s="68">
        <v>30000</v>
      </c>
    </row>
    <row r="192" spans="1:18" ht="16.5">
      <c r="A192" s="7" t="s">
        <v>836</v>
      </c>
      <c r="B192" s="67" t="s">
        <v>115</v>
      </c>
      <c r="C192" s="68">
        <f>SUMIF(cutts[date],A192,cutts[num])</f>
        <v>0</v>
      </c>
      <c r="D192" s="68"/>
      <c r="E192" s="69">
        <f>SUMIF(packes[date],A192,packes[num])</f>
        <v>0</v>
      </c>
      <c r="F192" s="69">
        <f>SUMIF(packes[date],A192,packes[wPacked])</f>
        <v>0</v>
      </c>
      <c r="G192" s="69"/>
      <c r="H192" s="69">
        <f>reportTbl[[#This Row],[personels]]-reportTbl[[#This Row],[personels]]*2.5/22-0.5</f>
        <v>-0.5</v>
      </c>
      <c r="I192" s="70">
        <f>(reportTbl[[#This Row],[وزن تولید]]*unityCycleTime-reportTbl[[#This Row],[received TimeOut]])/(reportTbl[[#This Row],[available time]]*reportTbl[[#This Row],[تعداد نیرو]])</f>
        <v>0</v>
      </c>
      <c r="J192" s="71"/>
      <c r="K192" s="73"/>
      <c r="L192" s="73"/>
      <c r="M192" s="73"/>
      <c r="N192" s="73"/>
      <c r="O192" s="73">
        <v>0</v>
      </c>
      <c r="P192" s="72" t="s">
        <v>1017</v>
      </c>
      <c r="Q192" s="68">
        <f>_xlfn.XLOOKUP(reportTbl[[#This Row],[date]],IIITbl[date],IIITbl[totalCT],0)</f>
        <v>0</v>
      </c>
      <c r="R192" s="68">
        <v>30000</v>
      </c>
    </row>
    <row r="193" spans="1:18" ht="16.5">
      <c r="A193" s="7" t="s">
        <v>837</v>
      </c>
      <c r="B193" s="67" t="s">
        <v>116</v>
      </c>
      <c r="C193" s="68">
        <f>SUMIF(cutts[date],A193,cutts[num])</f>
        <v>0</v>
      </c>
      <c r="D193" s="68"/>
      <c r="E193" s="69">
        <f>SUMIF(packes[date],A193,packes[num])</f>
        <v>0</v>
      </c>
      <c r="F193" s="69">
        <f>SUMIF(packes[date],A193,packes[wPacked])</f>
        <v>0</v>
      </c>
      <c r="G193" s="69"/>
      <c r="H193" s="69">
        <f>reportTbl[[#This Row],[personels]]-reportTbl[[#This Row],[personels]]*2.5/22-0.5</f>
        <v>-0.5</v>
      </c>
      <c r="I193" s="70">
        <f>(reportTbl[[#This Row],[وزن تولید]]*unityCycleTime-reportTbl[[#This Row],[received TimeOut]])/(reportTbl[[#This Row],[available time]]*reportTbl[[#This Row],[تعداد نیرو]])</f>
        <v>0</v>
      </c>
      <c r="J193" s="71"/>
      <c r="K193" s="73"/>
      <c r="L193" s="73"/>
      <c r="M193" s="73"/>
      <c r="N193" s="73"/>
      <c r="O193" s="73">
        <v>0</v>
      </c>
      <c r="P193" s="72" t="s">
        <v>1017</v>
      </c>
      <c r="Q193" s="68">
        <f>_xlfn.XLOOKUP(reportTbl[[#This Row],[date]],IIITbl[date],IIITbl[totalCT],0)</f>
        <v>0</v>
      </c>
      <c r="R193" s="68">
        <v>30000</v>
      </c>
    </row>
    <row r="194" spans="1:18" ht="16.5">
      <c r="A194" s="7" t="s">
        <v>838</v>
      </c>
      <c r="B194" s="67" t="s">
        <v>117</v>
      </c>
      <c r="C194" s="68">
        <f>SUMIF(cutts[date],A194,cutts[num])</f>
        <v>0</v>
      </c>
      <c r="D194" s="68"/>
      <c r="E194" s="69">
        <f>SUMIF(packes[date],A194,packes[num])</f>
        <v>0</v>
      </c>
      <c r="F194" s="69">
        <f>SUMIF(packes[date],A194,packes[wPacked])</f>
        <v>0</v>
      </c>
      <c r="G194" s="69"/>
      <c r="H194" s="69">
        <f>reportTbl[[#This Row],[personels]]-reportTbl[[#This Row],[personels]]*2.5/22-0.5</f>
        <v>-0.5</v>
      </c>
      <c r="I194" s="70">
        <f>(reportTbl[[#This Row],[وزن تولید]]*unityCycleTime-reportTbl[[#This Row],[received TimeOut]])/(reportTbl[[#This Row],[available time]]*reportTbl[[#This Row],[تعداد نیرو]])</f>
        <v>0</v>
      </c>
      <c r="J194" s="71"/>
      <c r="K194" s="73"/>
      <c r="L194" s="73"/>
      <c r="M194" s="73"/>
      <c r="N194" s="73"/>
      <c r="O194" s="73">
        <v>0</v>
      </c>
      <c r="P194" s="72" t="s">
        <v>1017</v>
      </c>
      <c r="Q194" s="68">
        <f>_xlfn.XLOOKUP(reportTbl[[#This Row],[date]],IIITbl[date],IIITbl[totalCT],0)</f>
        <v>0</v>
      </c>
      <c r="R194" s="68">
        <v>30000</v>
      </c>
    </row>
    <row r="195" spans="1:18" ht="16.5">
      <c r="A195" s="7" t="s">
        <v>839</v>
      </c>
      <c r="B195" s="67" t="s">
        <v>118</v>
      </c>
      <c r="C195" s="68">
        <f>SUMIF(cutts[date],A195,cutts[num])</f>
        <v>0</v>
      </c>
      <c r="D195" s="68"/>
      <c r="E195" s="69">
        <f>SUMIF(packes[date],A195,packes[num])</f>
        <v>0</v>
      </c>
      <c r="F195" s="69">
        <f>SUMIF(packes[date],A195,packes[wPacked])</f>
        <v>0</v>
      </c>
      <c r="G195" s="69"/>
      <c r="H195" s="69">
        <f>reportTbl[[#This Row],[personels]]-reportTbl[[#This Row],[personels]]*2.5/22-0.5</f>
        <v>-0.5</v>
      </c>
      <c r="I195" s="70">
        <f>(reportTbl[[#This Row],[وزن تولید]]*unityCycleTime-reportTbl[[#This Row],[received TimeOut]])/(reportTbl[[#This Row],[available time]]*reportTbl[[#This Row],[تعداد نیرو]])</f>
        <v>0</v>
      </c>
      <c r="J195" s="71"/>
      <c r="K195" s="73"/>
      <c r="L195" s="73"/>
      <c r="M195" s="73"/>
      <c r="N195" s="73"/>
      <c r="O195" s="73">
        <v>0</v>
      </c>
      <c r="P195" s="72" t="s">
        <v>1017</v>
      </c>
      <c r="Q195" s="68">
        <f>_xlfn.XLOOKUP(reportTbl[[#This Row],[date]],IIITbl[date],IIITbl[totalCT],0)</f>
        <v>0</v>
      </c>
      <c r="R195" s="68">
        <v>30000</v>
      </c>
    </row>
    <row r="196" spans="1:18" ht="16.5">
      <c r="A196" s="7" t="s">
        <v>840</v>
      </c>
      <c r="B196" s="67" t="s">
        <v>119</v>
      </c>
      <c r="C196" s="68">
        <f>SUMIF(cutts[date],A196,cutts[num])</f>
        <v>0</v>
      </c>
      <c r="D196" s="68"/>
      <c r="E196" s="69">
        <f>SUMIF(packes[date],A196,packes[num])</f>
        <v>0</v>
      </c>
      <c r="F196" s="69">
        <f>SUMIF(packes[date],A196,packes[wPacked])</f>
        <v>0</v>
      </c>
      <c r="G196" s="69"/>
      <c r="H196" s="69">
        <f>reportTbl[[#This Row],[personels]]-reportTbl[[#This Row],[personels]]*2.5/22-0.5</f>
        <v>-0.5</v>
      </c>
      <c r="I196" s="70">
        <f>(reportTbl[[#This Row],[وزن تولید]]*unityCycleTime-reportTbl[[#This Row],[received TimeOut]])/(reportTbl[[#This Row],[available time]]*reportTbl[[#This Row],[تعداد نیرو]])</f>
        <v>0</v>
      </c>
      <c r="J196" s="71"/>
      <c r="K196" s="73"/>
      <c r="L196" s="73"/>
      <c r="M196" s="73"/>
      <c r="N196" s="73"/>
      <c r="O196" s="73">
        <v>0</v>
      </c>
      <c r="P196" s="72" t="s">
        <v>1017</v>
      </c>
      <c r="Q196" s="68">
        <f>_xlfn.XLOOKUP(reportTbl[[#This Row],[date]],IIITbl[date],IIITbl[totalCT],0)</f>
        <v>0</v>
      </c>
      <c r="R196" s="68">
        <v>30000</v>
      </c>
    </row>
    <row r="197" spans="1:18" ht="16.5">
      <c r="A197" s="7" t="s">
        <v>841</v>
      </c>
      <c r="B197" s="67" t="s">
        <v>120</v>
      </c>
      <c r="C197" s="68">
        <f>SUMIF(cutts[date],A197,cutts[num])</f>
        <v>0</v>
      </c>
      <c r="D197" s="68"/>
      <c r="E197" s="69">
        <f>SUMIF(packes[date],A197,packes[num])</f>
        <v>0</v>
      </c>
      <c r="F197" s="69">
        <f>SUMIF(packes[date],A197,packes[wPacked])</f>
        <v>0</v>
      </c>
      <c r="G197" s="69"/>
      <c r="H197" s="69">
        <f>reportTbl[[#This Row],[personels]]-reportTbl[[#This Row],[personels]]*2.5/22-0.5</f>
        <v>-0.5</v>
      </c>
      <c r="I197" s="70">
        <f>(reportTbl[[#This Row],[وزن تولید]]*unityCycleTime-reportTbl[[#This Row],[received TimeOut]])/(reportTbl[[#This Row],[available time]]*reportTbl[[#This Row],[تعداد نیرو]])</f>
        <v>0</v>
      </c>
      <c r="J197" s="71"/>
      <c r="K197" s="73"/>
      <c r="L197" s="73"/>
      <c r="M197" s="73"/>
      <c r="N197" s="73"/>
      <c r="O197" s="73">
        <v>0</v>
      </c>
      <c r="P197" s="72" t="s">
        <v>1017</v>
      </c>
      <c r="Q197" s="68">
        <f>_xlfn.XLOOKUP(reportTbl[[#This Row],[date]],IIITbl[date],IIITbl[totalCT],0)</f>
        <v>0</v>
      </c>
      <c r="R197" s="68">
        <v>30000</v>
      </c>
    </row>
    <row r="198" spans="1:18" ht="16.5">
      <c r="A198" s="7" t="s">
        <v>842</v>
      </c>
      <c r="B198" s="67" t="s">
        <v>121</v>
      </c>
      <c r="C198" s="68">
        <f>SUMIF(cutts[date],A198,cutts[num])</f>
        <v>0</v>
      </c>
      <c r="D198" s="68"/>
      <c r="E198" s="69">
        <f>SUMIF(packes[date],A198,packes[num])</f>
        <v>0</v>
      </c>
      <c r="F198" s="69">
        <f>SUMIF(packes[date],A198,packes[wPacked])</f>
        <v>0</v>
      </c>
      <c r="G198" s="69"/>
      <c r="H198" s="69">
        <f>reportTbl[[#This Row],[personels]]-reportTbl[[#This Row],[personels]]*2.5/22-0.5</f>
        <v>-0.5</v>
      </c>
      <c r="I198" s="70">
        <f>(reportTbl[[#This Row],[وزن تولید]]*unityCycleTime-reportTbl[[#This Row],[received TimeOut]])/(reportTbl[[#This Row],[available time]]*reportTbl[[#This Row],[تعداد نیرو]])</f>
        <v>0</v>
      </c>
      <c r="J198" s="71"/>
      <c r="K198" s="73"/>
      <c r="L198" s="73"/>
      <c r="M198" s="73"/>
      <c r="N198" s="73"/>
      <c r="O198" s="73">
        <v>0</v>
      </c>
      <c r="P198" s="72" t="s">
        <v>1017</v>
      </c>
      <c r="Q198" s="68">
        <f>_xlfn.XLOOKUP(reportTbl[[#This Row],[date]],IIITbl[date],IIITbl[totalCT],0)</f>
        <v>0</v>
      </c>
      <c r="R198" s="68">
        <v>30000</v>
      </c>
    </row>
    <row r="199" spans="1:18" ht="16.5">
      <c r="A199" s="7" t="s">
        <v>843</v>
      </c>
      <c r="B199" s="67" t="s">
        <v>115</v>
      </c>
      <c r="C199" s="68">
        <f>SUMIF(cutts[date],A199,cutts[num])</f>
        <v>0</v>
      </c>
      <c r="D199" s="68"/>
      <c r="E199" s="69">
        <f>SUMIF(packes[date],A199,packes[num])</f>
        <v>0</v>
      </c>
      <c r="F199" s="69">
        <f>SUMIF(packes[date],A199,packes[wPacked])</f>
        <v>0</v>
      </c>
      <c r="G199" s="69"/>
      <c r="H199" s="69">
        <f>reportTbl[[#This Row],[personels]]-reportTbl[[#This Row],[personels]]*2.5/22-0.5</f>
        <v>-0.5</v>
      </c>
      <c r="I199" s="70">
        <f>(reportTbl[[#This Row],[وزن تولید]]*unityCycleTime-reportTbl[[#This Row],[received TimeOut]])/(reportTbl[[#This Row],[available time]]*reportTbl[[#This Row],[تعداد نیرو]])</f>
        <v>0</v>
      </c>
      <c r="J199" s="71"/>
      <c r="K199" s="73"/>
      <c r="L199" s="73"/>
      <c r="M199" s="73"/>
      <c r="N199" s="73"/>
      <c r="O199" s="73">
        <v>0</v>
      </c>
      <c r="P199" s="72" t="s">
        <v>1017</v>
      </c>
      <c r="Q199" s="68">
        <f>_xlfn.XLOOKUP(reportTbl[[#This Row],[date]],IIITbl[date],IIITbl[totalCT],0)</f>
        <v>0</v>
      </c>
      <c r="R199" s="68">
        <v>30000</v>
      </c>
    </row>
    <row r="200" spans="1:18" ht="16.5">
      <c r="A200" s="7" t="s">
        <v>844</v>
      </c>
      <c r="B200" s="67" t="s">
        <v>116</v>
      </c>
      <c r="C200" s="68">
        <f>SUMIF(cutts[date],A200,cutts[num])</f>
        <v>0</v>
      </c>
      <c r="D200" s="68"/>
      <c r="E200" s="69">
        <f>SUMIF(packes[date],A200,packes[num])</f>
        <v>0</v>
      </c>
      <c r="F200" s="69">
        <f>SUMIF(packes[date],A200,packes[wPacked])</f>
        <v>0</v>
      </c>
      <c r="G200" s="69"/>
      <c r="H200" s="69">
        <f>reportTbl[[#This Row],[personels]]-reportTbl[[#This Row],[personels]]*2.5/22-0.5</f>
        <v>-0.5</v>
      </c>
      <c r="I200" s="70">
        <f>(reportTbl[[#This Row],[وزن تولید]]*unityCycleTime-reportTbl[[#This Row],[received TimeOut]])/(reportTbl[[#This Row],[available time]]*reportTbl[[#This Row],[تعداد نیرو]])</f>
        <v>0</v>
      </c>
      <c r="J200" s="71"/>
      <c r="K200" s="73"/>
      <c r="L200" s="73"/>
      <c r="M200" s="73"/>
      <c r="N200" s="73"/>
      <c r="O200" s="73">
        <v>0</v>
      </c>
      <c r="P200" s="72" t="s">
        <v>1017</v>
      </c>
      <c r="Q200" s="68">
        <f>_xlfn.XLOOKUP(reportTbl[[#This Row],[date]],IIITbl[date],IIITbl[totalCT],0)</f>
        <v>0</v>
      </c>
      <c r="R200" s="68">
        <v>30000</v>
      </c>
    </row>
    <row r="201" spans="1:18" ht="16.5">
      <c r="A201" s="7" t="s">
        <v>845</v>
      </c>
      <c r="B201" s="67" t="s">
        <v>117</v>
      </c>
      <c r="C201" s="68">
        <f>SUMIF(cutts[date],A201,cutts[num])</f>
        <v>0</v>
      </c>
      <c r="D201" s="68"/>
      <c r="E201" s="69">
        <f>SUMIF(packes[date],A201,packes[num])</f>
        <v>0</v>
      </c>
      <c r="F201" s="69">
        <f>SUMIF(packes[date],A201,packes[wPacked])</f>
        <v>0</v>
      </c>
      <c r="G201" s="69"/>
      <c r="H201" s="69">
        <f>reportTbl[[#This Row],[personels]]-reportTbl[[#This Row],[personels]]*2.5/22-0.5</f>
        <v>-0.5</v>
      </c>
      <c r="I201" s="70">
        <f>(reportTbl[[#This Row],[وزن تولید]]*unityCycleTime-reportTbl[[#This Row],[received TimeOut]])/(reportTbl[[#This Row],[available time]]*reportTbl[[#This Row],[تعداد نیرو]])</f>
        <v>0</v>
      </c>
      <c r="J201" s="71"/>
      <c r="K201" s="73"/>
      <c r="L201" s="73"/>
      <c r="M201" s="73"/>
      <c r="N201" s="73"/>
      <c r="O201" s="73">
        <v>0</v>
      </c>
      <c r="P201" s="72" t="s">
        <v>1017</v>
      </c>
      <c r="Q201" s="68">
        <f>_xlfn.XLOOKUP(reportTbl[[#This Row],[date]],IIITbl[date],IIITbl[totalCT],0)</f>
        <v>0</v>
      </c>
      <c r="R201" s="68">
        <v>30000</v>
      </c>
    </row>
    <row r="202" spans="1:18" ht="16.5">
      <c r="A202" s="7" t="s">
        <v>846</v>
      </c>
      <c r="B202" s="67" t="s">
        <v>118</v>
      </c>
      <c r="C202" s="68">
        <f>SUMIF(cutts[date],A202,cutts[num])</f>
        <v>0</v>
      </c>
      <c r="D202" s="68"/>
      <c r="E202" s="69">
        <f>SUMIF(packes[date],A202,packes[num])</f>
        <v>0</v>
      </c>
      <c r="F202" s="69">
        <f>SUMIF(packes[date],A202,packes[wPacked])</f>
        <v>0</v>
      </c>
      <c r="G202" s="69"/>
      <c r="H202" s="69">
        <f>reportTbl[[#This Row],[personels]]-reportTbl[[#This Row],[personels]]*2.5/22-0.5</f>
        <v>-0.5</v>
      </c>
      <c r="I202" s="70">
        <f>(reportTbl[[#This Row],[وزن تولید]]*unityCycleTime-reportTbl[[#This Row],[received TimeOut]])/(reportTbl[[#This Row],[available time]]*reportTbl[[#This Row],[تعداد نیرو]])</f>
        <v>0</v>
      </c>
      <c r="J202" s="71"/>
      <c r="K202" s="73"/>
      <c r="L202" s="73"/>
      <c r="M202" s="73"/>
      <c r="N202" s="73"/>
      <c r="O202" s="73">
        <v>0</v>
      </c>
      <c r="P202" s="72" t="s">
        <v>1017</v>
      </c>
      <c r="Q202" s="68">
        <f>_xlfn.XLOOKUP(reportTbl[[#This Row],[date]],IIITbl[date],IIITbl[totalCT],0)</f>
        <v>0</v>
      </c>
      <c r="R202" s="68">
        <v>30000</v>
      </c>
    </row>
    <row r="203" spans="1:18" ht="16.5">
      <c r="A203" s="7" t="s">
        <v>847</v>
      </c>
      <c r="B203" s="67" t="s">
        <v>119</v>
      </c>
      <c r="C203" s="68">
        <f>SUMIF(cutts[date],A203,cutts[num])</f>
        <v>0</v>
      </c>
      <c r="D203" s="68"/>
      <c r="E203" s="69">
        <f>SUMIF(packes[date],A203,packes[num])</f>
        <v>0</v>
      </c>
      <c r="F203" s="69">
        <f>SUMIF(packes[date],A203,packes[wPacked])</f>
        <v>0</v>
      </c>
      <c r="G203" s="69"/>
      <c r="H203" s="69">
        <f>reportTbl[[#This Row],[personels]]-reportTbl[[#This Row],[personels]]*2.5/22-0.5</f>
        <v>-0.5</v>
      </c>
      <c r="I203" s="70">
        <f>(reportTbl[[#This Row],[وزن تولید]]*unityCycleTime-reportTbl[[#This Row],[received TimeOut]])/(reportTbl[[#This Row],[available time]]*reportTbl[[#This Row],[تعداد نیرو]])</f>
        <v>0</v>
      </c>
      <c r="J203" s="71"/>
      <c r="K203" s="73"/>
      <c r="L203" s="73"/>
      <c r="M203" s="73"/>
      <c r="N203" s="73"/>
      <c r="O203" s="73">
        <v>0</v>
      </c>
      <c r="P203" s="72" t="s">
        <v>1017</v>
      </c>
      <c r="Q203" s="68">
        <f>_xlfn.XLOOKUP(reportTbl[[#This Row],[date]],IIITbl[date],IIITbl[totalCT],0)</f>
        <v>0</v>
      </c>
      <c r="R203" s="68">
        <v>30000</v>
      </c>
    </row>
    <row r="204" spans="1:18" ht="16.5">
      <c r="A204" s="7" t="s">
        <v>848</v>
      </c>
      <c r="B204" s="67" t="s">
        <v>120</v>
      </c>
      <c r="C204" s="68">
        <f>SUMIF(cutts[date],A204,cutts[num])</f>
        <v>0</v>
      </c>
      <c r="D204" s="68"/>
      <c r="E204" s="69">
        <f>SUMIF(packes[date],A204,packes[num])</f>
        <v>0</v>
      </c>
      <c r="F204" s="69">
        <f>SUMIF(packes[date],A204,packes[wPacked])</f>
        <v>0</v>
      </c>
      <c r="G204" s="69"/>
      <c r="H204" s="69">
        <f>reportTbl[[#This Row],[personels]]-reportTbl[[#This Row],[personels]]*2.5/22-0.5</f>
        <v>-0.5</v>
      </c>
      <c r="I204" s="70">
        <f>(reportTbl[[#This Row],[وزن تولید]]*unityCycleTime-reportTbl[[#This Row],[received TimeOut]])/(reportTbl[[#This Row],[available time]]*reportTbl[[#This Row],[تعداد نیرو]])</f>
        <v>0</v>
      </c>
      <c r="J204" s="71"/>
      <c r="K204" s="73"/>
      <c r="L204" s="73"/>
      <c r="M204" s="73"/>
      <c r="N204" s="73"/>
      <c r="O204" s="73">
        <v>0</v>
      </c>
      <c r="P204" s="72" t="s">
        <v>1017</v>
      </c>
      <c r="Q204" s="68">
        <f>_xlfn.XLOOKUP(reportTbl[[#This Row],[date]],IIITbl[date],IIITbl[totalCT],0)</f>
        <v>0</v>
      </c>
      <c r="R204" s="68">
        <v>30000</v>
      </c>
    </row>
    <row r="205" spans="1:18" ht="16.5">
      <c r="A205" s="7" t="s">
        <v>849</v>
      </c>
      <c r="B205" s="67" t="s">
        <v>121</v>
      </c>
      <c r="C205" s="68">
        <f>SUMIF(cutts[date],A205,cutts[num])</f>
        <v>0</v>
      </c>
      <c r="D205" s="68"/>
      <c r="E205" s="69">
        <f>SUMIF(packes[date],A205,packes[num])</f>
        <v>0</v>
      </c>
      <c r="F205" s="69">
        <f>SUMIF(packes[date],A205,packes[wPacked])</f>
        <v>0</v>
      </c>
      <c r="G205" s="69"/>
      <c r="H205" s="69">
        <f>reportTbl[[#This Row],[personels]]-reportTbl[[#This Row],[personels]]*2.5/22-0.5</f>
        <v>-0.5</v>
      </c>
      <c r="I205" s="70">
        <f>(reportTbl[[#This Row],[وزن تولید]]*unityCycleTime-reportTbl[[#This Row],[received TimeOut]])/(reportTbl[[#This Row],[available time]]*reportTbl[[#This Row],[تعداد نیرو]])</f>
        <v>0</v>
      </c>
      <c r="J205" s="71"/>
      <c r="K205" s="73"/>
      <c r="L205" s="73"/>
      <c r="M205" s="73"/>
      <c r="N205" s="73"/>
      <c r="O205" s="73">
        <v>0</v>
      </c>
      <c r="P205" s="72" t="s">
        <v>1017</v>
      </c>
      <c r="Q205" s="68">
        <f>_xlfn.XLOOKUP(reportTbl[[#This Row],[date]],IIITbl[date],IIITbl[totalCT],0)</f>
        <v>0</v>
      </c>
      <c r="R205" s="68">
        <v>30000</v>
      </c>
    </row>
    <row r="206" spans="1:18" ht="16.5">
      <c r="A206" s="7" t="s">
        <v>850</v>
      </c>
      <c r="B206" s="67" t="s">
        <v>115</v>
      </c>
      <c r="C206" s="68">
        <f>SUMIF(cutts[date],A206,cutts[num])</f>
        <v>0</v>
      </c>
      <c r="D206" s="68"/>
      <c r="E206" s="69">
        <f>SUMIF(packes[date],A206,packes[num])</f>
        <v>0</v>
      </c>
      <c r="F206" s="69">
        <f>SUMIF(packes[date],A206,packes[wPacked])</f>
        <v>0</v>
      </c>
      <c r="G206" s="69"/>
      <c r="H206" s="69">
        <f>reportTbl[[#This Row],[personels]]-reportTbl[[#This Row],[personels]]*2.5/22-0.5</f>
        <v>-0.5</v>
      </c>
      <c r="I206" s="70">
        <f>(reportTbl[[#This Row],[وزن تولید]]*unityCycleTime-reportTbl[[#This Row],[received TimeOut]])/(reportTbl[[#This Row],[available time]]*reportTbl[[#This Row],[تعداد نیرو]])</f>
        <v>0</v>
      </c>
      <c r="J206" s="71"/>
      <c r="K206" s="73"/>
      <c r="L206" s="73"/>
      <c r="M206" s="73"/>
      <c r="N206" s="73"/>
      <c r="O206" s="73">
        <v>0</v>
      </c>
      <c r="P206" s="72" t="s">
        <v>1017</v>
      </c>
      <c r="Q206" s="68">
        <f>_xlfn.XLOOKUP(reportTbl[[#This Row],[date]],IIITbl[date],IIITbl[totalCT],0)</f>
        <v>0</v>
      </c>
      <c r="R206" s="68">
        <v>30000</v>
      </c>
    </row>
    <row r="207" spans="1:18" ht="16.5">
      <c r="A207" s="7" t="s">
        <v>851</v>
      </c>
      <c r="B207" s="67" t="s">
        <v>116</v>
      </c>
      <c r="C207" s="68">
        <f>SUMIF(cutts[date],A207,cutts[num])</f>
        <v>0</v>
      </c>
      <c r="D207" s="68"/>
      <c r="E207" s="69">
        <f>SUMIF(packes[date],A207,packes[num])</f>
        <v>0</v>
      </c>
      <c r="F207" s="69">
        <f>SUMIF(packes[date],A207,packes[wPacked])</f>
        <v>0</v>
      </c>
      <c r="G207" s="69"/>
      <c r="H207" s="69">
        <f>reportTbl[[#This Row],[personels]]-reportTbl[[#This Row],[personels]]*2.5/22-0.5</f>
        <v>-0.5</v>
      </c>
      <c r="I207" s="70">
        <f>(reportTbl[[#This Row],[وزن تولید]]*unityCycleTime-reportTbl[[#This Row],[received TimeOut]])/(reportTbl[[#This Row],[available time]]*reportTbl[[#This Row],[تعداد نیرو]])</f>
        <v>0</v>
      </c>
      <c r="J207" s="71"/>
      <c r="K207" s="73"/>
      <c r="L207" s="73"/>
      <c r="M207" s="73"/>
      <c r="N207" s="73"/>
      <c r="O207" s="73">
        <v>0</v>
      </c>
      <c r="P207" s="72" t="s">
        <v>1017</v>
      </c>
      <c r="Q207" s="68">
        <f>_xlfn.XLOOKUP(reportTbl[[#This Row],[date]],IIITbl[date],IIITbl[totalCT],0)</f>
        <v>0</v>
      </c>
      <c r="R207" s="68">
        <v>30000</v>
      </c>
    </row>
    <row r="208" spans="1:18" ht="16.5">
      <c r="A208" s="7" t="s">
        <v>852</v>
      </c>
      <c r="B208" s="67" t="s">
        <v>117</v>
      </c>
      <c r="C208" s="68">
        <f>SUMIF(cutts[date],A208,cutts[num])</f>
        <v>0</v>
      </c>
      <c r="D208" s="68"/>
      <c r="E208" s="69">
        <f>SUMIF(packes[date],A208,packes[num])</f>
        <v>0</v>
      </c>
      <c r="F208" s="69">
        <f>SUMIF(packes[date],A208,packes[wPacked])</f>
        <v>0</v>
      </c>
      <c r="G208" s="69"/>
      <c r="H208" s="69">
        <f>reportTbl[[#This Row],[personels]]-reportTbl[[#This Row],[personels]]*2.5/22-0.5</f>
        <v>-0.5</v>
      </c>
      <c r="I208" s="70">
        <f>(reportTbl[[#This Row],[وزن تولید]]*unityCycleTime-reportTbl[[#This Row],[received TimeOut]])/(reportTbl[[#This Row],[available time]]*reportTbl[[#This Row],[تعداد نیرو]])</f>
        <v>0</v>
      </c>
      <c r="J208" s="71"/>
      <c r="K208" s="73"/>
      <c r="L208" s="73"/>
      <c r="M208" s="73"/>
      <c r="N208" s="73"/>
      <c r="O208" s="73">
        <v>0</v>
      </c>
      <c r="P208" s="72" t="s">
        <v>1017</v>
      </c>
      <c r="Q208" s="68">
        <f>_xlfn.XLOOKUP(reportTbl[[#This Row],[date]],IIITbl[date],IIITbl[totalCT],0)</f>
        <v>0</v>
      </c>
      <c r="R208" s="68">
        <v>30000</v>
      </c>
    </row>
    <row r="209" spans="1:18" ht="16.5">
      <c r="A209" s="7" t="s">
        <v>853</v>
      </c>
      <c r="B209" s="67" t="s">
        <v>118</v>
      </c>
      <c r="C209" s="68">
        <f>SUMIF(cutts[date],A209,cutts[num])</f>
        <v>0</v>
      </c>
      <c r="D209" s="68"/>
      <c r="E209" s="69">
        <f>SUMIF(packes[date],A209,packes[num])</f>
        <v>0</v>
      </c>
      <c r="F209" s="69">
        <f>SUMIF(packes[date],A209,packes[wPacked])</f>
        <v>0</v>
      </c>
      <c r="G209" s="69"/>
      <c r="H209" s="69">
        <f>reportTbl[[#This Row],[personels]]-reportTbl[[#This Row],[personels]]*2.5/22-0.5</f>
        <v>-0.5</v>
      </c>
      <c r="I209" s="70">
        <f>(reportTbl[[#This Row],[وزن تولید]]*unityCycleTime-reportTbl[[#This Row],[received TimeOut]])/(reportTbl[[#This Row],[available time]]*reportTbl[[#This Row],[تعداد نیرو]])</f>
        <v>0</v>
      </c>
      <c r="J209" s="71"/>
      <c r="K209" s="73"/>
      <c r="L209" s="73"/>
      <c r="M209" s="73"/>
      <c r="N209" s="73"/>
      <c r="O209" s="73">
        <v>0</v>
      </c>
      <c r="P209" s="72" t="s">
        <v>1017</v>
      </c>
      <c r="Q209" s="68">
        <f>_xlfn.XLOOKUP(reportTbl[[#This Row],[date]],IIITbl[date],IIITbl[totalCT],0)</f>
        <v>0</v>
      </c>
      <c r="R209" s="68">
        <v>30000</v>
      </c>
    </row>
    <row r="210" spans="1:18" ht="16.5">
      <c r="A210" s="7" t="s">
        <v>854</v>
      </c>
      <c r="B210" s="67" t="s">
        <v>119</v>
      </c>
      <c r="C210" s="68">
        <f>SUMIF(cutts[date],A210,cutts[num])</f>
        <v>0</v>
      </c>
      <c r="D210" s="68"/>
      <c r="E210" s="69">
        <f>SUMIF(packes[date],A210,packes[num])</f>
        <v>0</v>
      </c>
      <c r="F210" s="69">
        <f>SUMIF(packes[date],A210,packes[wPacked])</f>
        <v>0</v>
      </c>
      <c r="G210" s="69"/>
      <c r="H210" s="69">
        <f>reportTbl[[#This Row],[personels]]-reportTbl[[#This Row],[personels]]*2.5/22-0.5</f>
        <v>-0.5</v>
      </c>
      <c r="I210" s="70">
        <f>(reportTbl[[#This Row],[وزن تولید]]*unityCycleTime-reportTbl[[#This Row],[received TimeOut]])/(reportTbl[[#This Row],[available time]]*reportTbl[[#This Row],[تعداد نیرو]])</f>
        <v>0</v>
      </c>
      <c r="J210" s="71"/>
      <c r="K210" s="73"/>
      <c r="L210" s="73"/>
      <c r="M210" s="73"/>
      <c r="N210" s="73"/>
      <c r="O210" s="73">
        <v>0</v>
      </c>
      <c r="P210" s="72" t="s">
        <v>1017</v>
      </c>
      <c r="Q210" s="68">
        <f>_xlfn.XLOOKUP(reportTbl[[#This Row],[date]],IIITbl[date],IIITbl[totalCT],0)</f>
        <v>0</v>
      </c>
      <c r="R210" s="68">
        <v>30000</v>
      </c>
    </row>
    <row r="211" spans="1:18" ht="16.5">
      <c r="A211" s="7" t="s">
        <v>855</v>
      </c>
      <c r="B211" s="67" t="s">
        <v>120</v>
      </c>
      <c r="C211" s="68">
        <f>SUMIF(cutts[date],A211,cutts[num])</f>
        <v>0</v>
      </c>
      <c r="D211" s="68"/>
      <c r="E211" s="69">
        <f>SUMIF(packes[date],A211,packes[num])</f>
        <v>0</v>
      </c>
      <c r="F211" s="69">
        <f>SUMIF(packes[date],A211,packes[wPacked])</f>
        <v>0</v>
      </c>
      <c r="G211" s="69"/>
      <c r="H211" s="69">
        <f>reportTbl[[#This Row],[personels]]-reportTbl[[#This Row],[personels]]*2.5/22-0.5</f>
        <v>-0.5</v>
      </c>
      <c r="I211" s="70">
        <f>(reportTbl[[#This Row],[وزن تولید]]*unityCycleTime-reportTbl[[#This Row],[received TimeOut]])/(reportTbl[[#This Row],[available time]]*reportTbl[[#This Row],[تعداد نیرو]])</f>
        <v>0</v>
      </c>
      <c r="J211" s="71"/>
      <c r="K211" s="73"/>
      <c r="L211" s="73"/>
      <c r="M211" s="73"/>
      <c r="N211" s="73"/>
      <c r="O211" s="73">
        <v>0</v>
      </c>
      <c r="P211" s="72" t="s">
        <v>1017</v>
      </c>
      <c r="Q211" s="68">
        <f>_xlfn.XLOOKUP(reportTbl[[#This Row],[date]],IIITbl[date],IIITbl[totalCT],0)</f>
        <v>0</v>
      </c>
      <c r="R211" s="68">
        <v>30000</v>
      </c>
    </row>
    <row r="212" spans="1:18" ht="16.5">
      <c r="A212" s="7" t="s">
        <v>856</v>
      </c>
      <c r="B212" s="67" t="s">
        <v>121</v>
      </c>
      <c r="C212" s="68">
        <f>SUMIF(cutts[date],A212,cutts[num])</f>
        <v>0</v>
      </c>
      <c r="D212" s="68"/>
      <c r="E212" s="69">
        <f>SUMIF(packes[date],A212,packes[num])</f>
        <v>0</v>
      </c>
      <c r="F212" s="69">
        <f>SUMIF(packes[date],A212,packes[wPacked])</f>
        <v>0</v>
      </c>
      <c r="G212" s="69"/>
      <c r="H212" s="69">
        <f>reportTbl[[#This Row],[personels]]-reportTbl[[#This Row],[personels]]*2.5/22-0.5</f>
        <v>-0.5</v>
      </c>
      <c r="I212" s="70">
        <f>(reportTbl[[#This Row],[وزن تولید]]*unityCycleTime-reportTbl[[#This Row],[received TimeOut]])/(reportTbl[[#This Row],[available time]]*reportTbl[[#This Row],[تعداد نیرو]])</f>
        <v>0</v>
      </c>
      <c r="J212" s="71"/>
      <c r="K212" s="73"/>
      <c r="L212" s="73"/>
      <c r="M212" s="73"/>
      <c r="N212" s="73"/>
      <c r="O212" s="73">
        <v>0</v>
      </c>
      <c r="P212" s="72" t="s">
        <v>1017</v>
      </c>
      <c r="Q212" s="68">
        <f>_xlfn.XLOOKUP(reportTbl[[#This Row],[date]],IIITbl[date],IIITbl[totalCT],0)</f>
        <v>0</v>
      </c>
      <c r="R212" s="68">
        <v>30000</v>
      </c>
    </row>
    <row r="213" spans="1:18" ht="16.5">
      <c r="A213" s="7" t="s">
        <v>857</v>
      </c>
      <c r="B213" s="67" t="s">
        <v>115</v>
      </c>
      <c r="C213" s="68">
        <f>SUMIF(cutts[date],A213,cutts[num])</f>
        <v>0</v>
      </c>
      <c r="D213" s="68"/>
      <c r="E213" s="69">
        <f>SUMIF(packes[date],A213,packes[num])</f>
        <v>0</v>
      </c>
      <c r="F213" s="69">
        <f>SUMIF(packes[date],A213,packes[wPacked])</f>
        <v>0</v>
      </c>
      <c r="G213" s="69"/>
      <c r="H213" s="69">
        <f>reportTbl[[#This Row],[personels]]-reportTbl[[#This Row],[personels]]*2.5/22-0.5</f>
        <v>-0.5</v>
      </c>
      <c r="I213" s="70">
        <f>(reportTbl[[#This Row],[وزن تولید]]*unityCycleTime-reportTbl[[#This Row],[received TimeOut]])/(reportTbl[[#This Row],[available time]]*reportTbl[[#This Row],[تعداد نیرو]])</f>
        <v>0</v>
      </c>
      <c r="J213" s="71"/>
      <c r="K213" s="73"/>
      <c r="L213" s="73"/>
      <c r="M213" s="73"/>
      <c r="N213" s="73"/>
      <c r="O213" s="73">
        <v>0</v>
      </c>
      <c r="P213" s="72" t="s">
        <v>1017</v>
      </c>
      <c r="Q213" s="68">
        <f>_xlfn.XLOOKUP(reportTbl[[#This Row],[date]],IIITbl[date],IIITbl[totalCT],0)</f>
        <v>0</v>
      </c>
      <c r="R213" s="68">
        <v>30000</v>
      </c>
    </row>
    <row r="214" spans="1:18" ht="16.5">
      <c r="A214" s="7" t="s">
        <v>858</v>
      </c>
      <c r="B214" s="67" t="s">
        <v>116</v>
      </c>
      <c r="C214" s="68">
        <f>SUMIF(cutts[date],A214,cutts[num])</f>
        <v>0</v>
      </c>
      <c r="D214" s="68"/>
      <c r="E214" s="69">
        <f>SUMIF(packes[date],A214,packes[num])</f>
        <v>0</v>
      </c>
      <c r="F214" s="69">
        <f>SUMIF(packes[date],A214,packes[wPacked])</f>
        <v>0</v>
      </c>
      <c r="G214" s="69"/>
      <c r="H214" s="69">
        <f>reportTbl[[#This Row],[personels]]-reportTbl[[#This Row],[personels]]*2.5/22-0.5</f>
        <v>-0.5</v>
      </c>
      <c r="I214" s="70">
        <f>(reportTbl[[#This Row],[وزن تولید]]*unityCycleTime-reportTbl[[#This Row],[received TimeOut]])/(reportTbl[[#This Row],[available time]]*reportTbl[[#This Row],[تعداد نیرو]])</f>
        <v>0</v>
      </c>
      <c r="J214" s="71"/>
      <c r="K214" s="73"/>
      <c r="L214" s="73"/>
      <c r="M214" s="73"/>
      <c r="N214" s="73"/>
      <c r="O214" s="73">
        <v>0</v>
      </c>
      <c r="P214" s="72" t="s">
        <v>1017</v>
      </c>
      <c r="Q214" s="68">
        <f>_xlfn.XLOOKUP(reportTbl[[#This Row],[date]],IIITbl[date],IIITbl[totalCT],0)</f>
        <v>0</v>
      </c>
      <c r="R214" s="68">
        <v>30000</v>
      </c>
    </row>
    <row r="215" spans="1:18" ht="16.5">
      <c r="A215" s="7" t="s">
        <v>859</v>
      </c>
      <c r="B215" s="67" t="s">
        <v>117</v>
      </c>
      <c r="C215" s="68">
        <f>SUMIF(cutts[date],A215,cutts[num])</f>
        <v>0</v>
      </c>
      <c r="D215" s="68"/>
      <c r="E215" s="69">
        <f>SUMIF(packes[date],A215,packes[num])</f>
        <v>0</v>
      </c>
      <c r="F215" s="69">
        <f>SUMIF(packes[date],A215,packes[wPacked])</f>
        <v>0</v>
      </c>
      <c r="G215" s="69"/>
      <c r="H215" s="69">
        <f>reportTbl[[#This Row],[personels]]-reportTbl[[#This Row],[personels]]*2.5/22-0.5</f>
        <v>-0.5</v>
      </c>
      <c r="I215" s="70">
        <f>(reportTbl[[#This Row],[وزن تولید]]*unityCycleTime-reportTbl[[#This Row],[received TimeOut]])/(reportTbl[[#This Row],[available time]]*reportTbl[[#This Row],[تعداد نیرو]])</f>
        <v>0</v>
      </c>
      <c r="J215" s="71"/>
      <c r="K215" s="73"/>
      <c r="L215" s="73"/>
      <c r="M215" s="73"/>
      <c r="N215" s="73"/>
      <c r="O215" s="73">
        <v>0</v>
      </c>
      <c r="P215" s="72" t="s">
        <v>1017</v>
      </c>
      <c r="Q215" s="68">
        <f>_xlfn.XLOOKUP(reportTbl[[#This Row],[date]],IIITbl[date],IIITbl[totalCT],0)</f>
        <v>0</v>
      </c>
      <c r="R215" s="68">
        <v>30000</v>
      </c>
    </row>
    <row r="216" spans="1:18" ht="16.5">
      <c r="A216" s="7" t="s">
        <v>860</v>
      </c>
      <c r="B216" s="67" t="s">
        <v>118</v>
      </c>
      <c r="C216" s="68">
        <f>SUMIF(cutts[date],A216,cutts[num])</f>
        <v>0</v>
      </c>
      <c r="D216" s="68"/>
      <c r="E216" s="69">
        <f>SUMIF(packes[date],A216,packes[num])</f>
        <v>0</v>
      </c>
      <c r="F216" s="69">
        <f>SUMIF(packes[date],A216,packes[wPacked])</f>
        <v>0</v>
      </c>
      <c r="G216" s="69"/>
      <c r="H216" s="69">
        <f>reportTbl[[#This Row],[personels]]-reportTbl[[#This Row],[personels]]*2.5/22-0.5</f>
        <v>-0.5</v>
      </c>
      <c r="I216" s="70">
        <f>(reportTbl[[#This Row],[وزن تولید]]*unityCycleTime-reportTbl[[#This Row],[received TimeOut]])/(reportTbl[[#This Row],[available time]]*reportTbl[[#This Row],[تعداد نیرو]])</f>
        <v>0</v>
      </c>
      <c r="J216" s="71"/>
      <c r="K216" s="73"/>
      <c r="L216" s="73"/>
      <c r="M216" s="73"/>
      <c r="N216" s="73"/>
      <c r="O216" s="73">
        <v>0</v>
      </c>
      <c r="P216" s="72" t="s">
        <v>1017</v>
      </c>
      <c r="Q216" s="68">
        <f>_xlfn.XLOOKUP(reportTbl[[#This Row],[date]],IIITbl[date],IIITbl[totalCT],0)</f>
        <v>0</v>
      </c>
      <c r="R216" s="68">
        <v>30000</v>
      </c>
    </row>
    <row r="217" spans="1:18" ht="16.5">
      <c r="A217" s="7" t="s">
        <v>861</v>
      </c>
      <c r="B217" s="67" t="s">
        <v>119</v>
      </c>
      <c r="C217" s="68">
        <f>SUMIF(cutts[date],A217,cutts[num])</f>
        <v>0</v>
      </c>
      <c r="D217" s="68"/>
      <c r="E217" s="69">
        <f>SUMIF(packes[date],A217,packes[num])</f>
        <v>0</v>
      </c>
      <c r="F217" s="69">
        <f>SUMIF(packes[date],A217,packes[wPacked])</f>
        <v>0</v>
      </c>
      <c r="G217" s="69"/>
      <c r="H217" s="69">
        <f>reportTbl[[#This Row],[personels]]-reportTbl[[#This Row],[personels]]*2.5/22-0.5</f>
        <v>-0.5</v>
      </c>
      <c r="I217" s="70">
        <f>(reportTbl[[#This Row],[وزن تولید]]*unityCycleTime-reportTbl[[#This Row],[received TimeOut]])/(reportTbl[[#This Row],[available time]]*reportTbl[[#This Row],[تعداد نیرو]])</f>
        <v>0</v>
      </c>
      <c r="J217" s="71"/>
      <c r="K217" s="73"/>
      <c r="L217" s="73"/>
      <c r="M217" s="73"/>
      <c r="N217" s="73"/>
      <c r="O217" s="73">
        <v>0</v>
      </c>
      <c r="P217" s="72" t="s">
        <v>1017</v>
      </c>
      <c r="Q217" s="68">
        <f>_xlfn.XLOOKUP(reportTbl[[#This Row],[date]],IIITbl[date],IIITbl[totalCT],0)</f>
        <v>0</v>
      </c>
      <c r="R217" s="68">
        <v>30000</v>
      </c>
    </row>
    <row r="218" spans="1:18" ht="16.5">
      <c r="A218" s="7" t="s">
        <v>862</v>
      </c>
      <c r="B218" s="67" t="s">
        <v>120</v>
      </c>
      <c r="C218" s="68">
        <f>SUMIF(cutts[date],A218,cutts[num])</f>
        <v>0</v>
      </c>
      <c r="D218" s="68"/>
      <c r="E218" s="69">
        <f>SUMIF(packes[date],A218,packes[num])</f>
        <v>0</v>
      </c>
      <c r="F218" s="69">
        <f>SUMIF(packes[date],A218,packes[wPacked])</f>
        <v>0</v>
      </c>
      <c r="G218" s="69"/>
      <c r="H218" s="69">
        <f>reportTbl[[#This Row],[personels]]-reportTbl[[#This Row],[personels]]*2.5/22-0.5</f>
        <v>-0.5</v>
      </c>
      <c r="I218" s="70">
        <f>(reportTbl[[#This Row],[وزن تولید]]*unityCycleTime-reportTbl[[#This Row],[received TimeOut]])/(reportTbl[[#This Row],[available time]]*reportTbl[[#This Row],[تعداد نیرو]])</f>
        <v>0</v>
      </c>
      <c r="J218" s="71"/>
      <c r="K218" s="73"/>
      <c r="L218" s="73"/>
      <c r="M218" s="73"/>
      <c r="N218" s="73"/>
      <c r="O218" s="73">
        <v>0</v>
      </c>
      <c r="P218" s="72" t="s">
        <v>1018</v>
      </c>
      <c r="Q218" s="68">
        <f>_xlfn.XLOOKUP(reportTbl[[#This Row],[date]],IIITbl[date],IIITbl[totalCT],0)</f>
        <v>0</v>
      </c>
      <c r="R218" s="68">
        <v>30000</v>
      </c>
    </row>
    <row r="219" spans="1:18" ht="16.5">
      <c r="A219" s="7" t="s">
        <v>863</v>
      </c>
      <c r="B219" s="67" t="s">
        <v>121</v>
      </c>
      <c r="C219" s="68">
        <f>SUMIF(cutts[date],A219,cutts[num])</f>
        <v>0</v>
      </c>
      <c r="D219" s="68"/>
      <c r="E219" s="69">
        <f>SUMIF(packes[date],A219,packes[num])</f>
        <v>0</v>
      </c>
      <c r="F219" s="69">
        <f>SUMIF(packes[date],A219,packes[wPacked])</f>
        <v>0</v>
      </c>
      <c r="G219" s="69"/>
      <c r="H219" s="69">
        <f>reportTbl[[#This Row],[personels]]-reportTbl[[#This Row],[personels]]*2.5/22-0.5</f>
        <v>-0.5</v>
      </c>
      <c r="I219" s="70">
        <f>(reportTbl[[#This Row],[وزن تولید]]*unityCycleTime-reportTbl[[#This Row],[received TimeOut]])/(reportTbl[[#This Row],[available time]]*reportTbl[[#This Row],[تعداد نیرو]])</f>
        <v>0</v>
      </c>
      <c r="J219" s="71"/>
      <c r="K219" s="73"/>
      <c r="L219" s="73"/>
      <c r="M219" s="73"/>
      <c r="N219" s="73"/>
      <c r="O219" s="73">
        <v>0</v>
      </c>
      <c r="P219" s="72" t="s">
        <v>1018</v>
      </c>
      <c r="Q219" s="68">
        <f>_xlfn.XLOOKUP(reportTbl[[#This Row],[date]],IIITbl[date],IIITbl[totalCT],0)</f>
        <v>0</v>
      </c>
      <c r="R219" s="68">
        <v>30000</v>
      </c>
    </row>
    <row r="220" spans="1:18" ht="16.5">
      <c r="A220" s="7" t="s">
        <v>864</v>
      </c>
      <c r="B220" s="67" t="s">
        <v>115</v>
      </c>
      <c r="C220" s="68">
        <f>SUMIF(cutts[date],A220,cutts[num])</f>
        <v>0</v>
      </c>
      <c r="D220" s="68"/>
      <c r="E220" s="69">
        <f>SUMIF(packes[date],A220,packes[num])</f>
        <v>0</v>
      </c>
      <c r="F220" s="69">
        <f>SUMIF(packes[date],A220,packes[wPacked])</f>
        <v>0</v>
      </c>
      <c r="G220" s="69"/>
      <c r="H220" s="69">
        <f>reportTbl[[#This Row],[personels]]-reportTbl[[#This Row],[personels]]*2.5/22-0.5</f>
        <v>-0.5</v>
      </c>
      <c r="I220" s="70">
        <f>(reportTbl[[#This Row],[وزن تولید]]*unityCycleTime-reportTbl[[#This Row],[received TimeOut]])/(reportTbl[[#This Row],[available time]]*reportTbl[[#This Row],[تعداد نیرو]])</f>
        <v>0</v>
      </c>
      <c r="J220" s="71"/>
      <c r="K220" s="73"/>
      <c r="L220" s="73"/>
      <c r="M220" s="73"/>
      <c r="N220" s="73"/>
      <c r="O220" s="73">
        <v>0</v>
      </c>
      <c r="P220" s="72" t="s">
        <v>1018</v>
      </c>
      <c r="Q220" s="68">
        <f>_xlfn.XLOOKUP(reportTbl[[#This Row],[date]],IIITbl[date],IIITbl[totalCT],0)</f>
        <v>0</v>
      </c>
      <c r="R220" s="68">
        <v>30000</v>
      </c>
    </row>
    <row r="221" spans="1:18" ht="16.5">
      <c r="A221" s="7" t="s">
        <v>865</v>
      </c>
      <c r="B221" s="67" t="s">
        <v>116</v>
      </c>
      <c r="C221" s="68">
        <f>SUMIF(cutts[date],A221,cutts[num])</f>
        <v>0</v>
      </c>
      <c r="D221" s="68"/>
      <c r="E221" s="69">
        <f>SUMIF(packes[date],A221,packes[num])</f>
        <v>0</v>
      </c>
      <c r="F221" s="69">
        <f>SUMIF(packes[date],A221,packes[wPacked])</f>
        <v>0</v>
      </c>
      <c r="G221" s="69"/>
      <c r="H221" s="69">
        <f>reportTbl[[#This Row],[personels]]-reportTbl[[#This Row],[personels]]*2.5/22-0.5</f>
        <v>-0.5</v>
      </c>
      <c r="I221" s="70">
        <f>(reportTbl[[#This Row],[وزن تولید]]*unityCycleTime-reportTbl[[#This Row],[received TimeOut]])/(reportTbl[[#This Row],[available time]]*reportTbl[[#This Row],[تعداد نیرو]])</f>
        <v>0</v>
      </c>
      <c r="J221" s="71"/>
      <c r="K221" s="73"/>
      <c r="L221" s="73"/>
      <c r="M221" s="73"/>
      <c r="N221" s="73"/>
      <c r="O221" s="73">
        <v>0</v>
      </c>
      <c r="P221" s="72" t="s">
        <v>1018</v>
      </c>
      <c r="Q221" s="68">
        <f>_xlfn.XLOOKUP(reportTbl[[#This Row],[date]],IIITbl[date],IIITbl[totalCT],0)</f>
        <v>0</v>
      </c>
      <c r="R221" s="68">
        <v>30000</v>
      </c>
    </row>
    <row r="222" spans="1:18" ht="16.5">
      <c r="A222" s="7" t="s">
        <v>866</v>
      </c>
      <c r="B222" s="67" t="s">
        <v>117</v>
      </c>
      <c r="C222" s="68">
        <f>SUMIF(cutts[date],A222,cutts[num])</f>
        <v>0</v>
      </c>
      <c r="D222" s="68"/>
      <c r="E222" s="69">
        <f>SUMIF(packes[date],A222,packes[num])</f>
        <v>0</v>
      </c>
      <c r="F222" s="69">
        <f>SUMIF(packes[date],A222,packes[wPacked])</f>
        <v>0</v>
      </c>
      <c r="G222" s="69"/>
      <c r="H222" s="69">
        <f>reportTbl[[#This Row],[personels]]-reportTbl[[#This Row],[personels]]*2.5/22-0.5</f>
        <v>-0.5</v>
      </c>
      <c r="I222" s="70">
        <f>(reportTbl[[#This Row],[وزن تولید]]*unityCycleTime-reportTbl[[#This Row],[received TimeOut]])/(reportTbl[[#This Row],[available time]]*reportTbl[[#This Row],[تعداد نیرو]])</f>
        <v>0</v>
      </c>
      <c r="J222" s="71"/>
      <c r="K222" s="73"/>
      <c r="L222" s="73"/>
      <c r="M222" s="73"/>
      <c r="N222" s="73"/>
      <c r="O222" s="73">
        <v>0</v>
      </c>
      <c r="P222" s="72" t="s">
        <v>1018</v>
      </c>
      <c r="Q222" s="68">
        <f>_xlfn.XLOOKUP(reportTbl[[#This Row],[date]],IIITbl[date],IIITbl[totalCT],0)</f>
        <v>0</v>
      </c>
      <c r="R222" s="68">
        <v>30000</v>
      </c>
    </row>
    <row r="223" spans="1:18" ht="16.5">
      <c r="A223" s="7" t="s">
        <v>867</v>
      </c>
      <c r="B223" s="67" t="s">
        <v>118</v>
      </c>
      <c r="C223" s="68">
        <f>SUMIF(cutts[date],A223,cutts[num])</f>
        <v>0</v>
      </c>
      <c r="D223" s="68"/>
      <c r="E223" s="69">
        <f>SUMIF(packes[date],A223,packes[num])</f>
        <v>0</v>
      </c>
      <c r="F223" s="69">
        <f>SUMIF(packes[date],A223,packes[wPacked])</f>
        <v>0</v>
      </c>
      <c r="G223" s="69"/>
      <c r="H223" s="69">
        <f>reportTbl[[#This Row],[personels]]-reportTbl[[#This Row],[personels]]*2.5/22-0.5</f>
        <v>-0.5</v>
      </c>
      <c r="I223" s="70">
        <f>(reportTbl[[#This Row],[وزن تولید]]*unityCycleTime-reportTbl[[#This Row],[received TimeOut]])/(reportTbl[[#This Row],[available time]]*reportTbl[[#This Row],[تعداد نیرو]])</f>
        <v>0</v>
      </c>
      <c r="J223" s="71"/>
      <c r="K223" s="73"/>
      <c r="L223" s="73"/>
      <c r="M223" s="73"/>
      <c r="N223" s="73"/>
      <c r="O223" s="73">
        <v>0</v>
      </c>
      <c r="P223" s="72" t="s">
        <v>1018</v>
      </c>
      <c r="Q223" s="68">
        <f>_xlfn.XLOOKUP(reportTbl[[#This Row],[date]],IIITbl[date],IIITbl[totalCT],0)</f>
        <v>0</v>
      </c>
      <c r="R223" s="68">
        <v>30000</v>
      </c>
    </row>
    <row r="224" spans="1:18" ht="16.5">
      <c r="A224" s="7" t="s">
        <v>868</v>
      </c>
      <c r="B224" s="67" t="s">
        <v>119</v>
      </c>
      <c r="C224" s="68">
        <f>SUMIF(cutts[date],A224,cutts[num])</f>
        <v>0</v>
      </c>
      <c r="D224" s="68"/>
      <c r="E224" s="69">
        <f>SUMIF(packes[date],A224,packes[num])</f>
        <v>0</v>
      </c>
      <c r="F224" s="69">
        <f>SUMIF(packes[date],A224,packes[wPacked])</f>
        <v>0</v>
      </c>
      <c r="G224" s="69"/>
      <c r="H224" s="69">
        <f>reportTbl[[#This Row],[personels]]-reportTbl[[#This Row],[personels]]*2.5/22-0.5</f>
        <v>-0.5</v>
      </c>
      <c r="I224" s="70">
        <f>(reportTbl[[#This Row],[وزن تولید]]*unityCycleTime-reportTbl[[#This Row],[received TimeOut]])/(reportTbl[[#This Row],[available time]]*reportTbl[[#This Row],[تعداد نیرو]])</f>
        <v>0</v>
      </c>
      <c r="J224" s="71"/>
      <c r="K224" s="73"/>
      <c r="L224" s="73"/>
      <c r="M224" s="73"/>
      <c r="N224" s="73"/>
      <c r="O224" s="73">
        <v>0</v>
      </c>
      <c r="P224" s="72" t="s">
        <v>1018</v>
      </c>
      <c r="Q224" s="68">
        <f>_xlfn.XLOOKUP(reportTbl[[#This Row],[date]],IIITbl[date],IIITbl[totalCT],0)</f>
        <v>0</v>
      </c>
      <c r="R224" s="68">
        <v>30000</v>
      </c>
    </row>
    <row r="225" spans="1:18" ht="16.5">
      <c r="A225" s="7" t="s">
        <v>869</v>
      </c>
      <c r="B225" s="67" t="s">
        <v>120</v>
      </c>
      <c r="C225" s="68">
        <f>SUMIF(cutts[date],A225,cutts[num])</f>
        <v>0</v>
      </c>
      <c r="D225" s="68"/>
      <c r="E225" s="69">
        <f>SUMIF(packes[date],A225,packes[num])</f>
        <v>0</v>
      </c>
      <c r="F225" s="69">
        <f>SUMIF(packes[date],A225,packes[wPacked])</f>
        <v>0</v>
      </c>
      <c r="G225" s="69"/>
      <c r="H225" s="69">
        <f>reportTbl[[#This Row],[personels]]-reportTbl[[#This Row],[personels]]*2.5/22-0.5</f>
        <v>-0.5</v>
      </c>
      <c r="I225" s="70">
        <f>(reportTbl[[#This Row],[وزن تولید]]*unityCycleTime-reportTbl[[#This Row],[received TimeOut]])/(reportTbl[[#This Row],[available time]]*reportTbl[[#This Row],[تعداد نیرو]])</f>
        <v>0</v>
      </c>
      <c r="J225" s="71"/>
      <c r="K225" s="73"/>
      <c r="L225" s="73"/>
      <c r="M225" s="73"/>
      <c r="N225" s="73"/>
      <c r="O225" s="73">
        <v>0</v>
      </c>
      <c r="P225" s="72" t="s">
        <v>1018</v>
      </c>
      <c r="Q225" s="68">
        <f>_xlfn.XLOOKUP(reportTbl[[#This Row],[date]],IIITbl[date],IIITbl[totalCT],0)</f>
        <v>0</v>
      </c>
      <c r="R225" s="68">
        <v>30000</v>
      </c>
    </row>
    <row r="226" spans="1:18" ht="16.5">
      <c r="A226" s="7" t="s">
        <v>870</v>
      </c>
      <c r="B226" s="67" t="s">
        <v>121</v>
      </c>
      <c r="C226" s="68">
        <f>SUMIF(cutts[date],A226,cutts[num])</f>
        <v>0</v>
      </c>
      <c r="D226" s="68"/>
      <c r="E226" s="69">
        <f>SUMIF(packes[date],A226,packes[num])</f>
        <v>0</v>
      </c>
      <c r="F226" s="69">
        <f>SUMIF(packes[date],A226,packes[wPacked])</f>
        <v>0</v>
      </c>
      <c r="G226" s="69"/>
      <c r="H226" s="69">
        <f>reportTbl[[#This Row],[personels]]-reportTbl[[#This Row],[personels]]*2.5/22-0.5</f>
        <v>-0.5</v>
      </c>
      <c r="I226" s="70">
        <f>(reportTbl[[#This Row],[وزن تولید]]*unityCycleTime-reportTbl[[#This Row],[received TimeOut]])/(reportTbl[[#This Row],[available time]]*reportTbl[[#This Row],[تعداد نیرو]])</f>
        <v>0</v>
      </c>
      <c r="J226" s="71"/>
      <c r="K226" s="73"/>
      <c r="L226" s="73"/>
      <c r="M226" s="73"/>
      <c r="N226" s="73"/>
      <c r="O226" s="73">
        <v>0</v>
      </c>
      <c r="P226" s="72" t="s">
        <v>1018</v>
      </c>
      <c r="Q226" s="68">
        <f>_xlfn.XLOOKUP(reportTbl[[#This Row],[date]],IIITbl[date],IIITbl[totalCT],0)</f>
        <v>0</v>
      </c>
      <c r="R226" s="68">
        <v>30000</v>
      </c>
    </row>
    <row r="227" spans="1:18" ht="16.5">
      <c r="A227" s="7" t="s">
        <v>871</v>
      </c>
      <c r="B227" s="67" t="s">
        <v>115</v>
      </c>
      <c r="C227" s="68">
        <f>SUMIF(cutts[date],A227,cutts[num])</f>
        <v>0</v>
      </c>
      <c r="D227" s="68"/>
      <c r="E227" s="69">
        <f>SUMIF(packes[date],A227,packes[num])</f>
        <v>0</v>
      </c>
      <c r="F227" s="69">
        <f>SUMIF(packes[date],A227,packes[wPacked])</f>
        <v>0</v>
      </c>
      <c r="G227" s="69"/>
      <c r="H227" s="69">
        <f>reportTbl[[#This Row],[personels]]-reportTbl[[#This Row],[personels]]*2.5/22-0.5</f>
        <v>-0.5</v>
      </c>
      <c r="I227" s="70">
        <f>(reportTbl[[#This Row],[وزن تولید]]*unityCycleTime-reportTbl[[#This Row],[received TimeOut]])/(reportTbl[[#This Row],[available time]]*reportTbl[[#This Row],[تعداد نیرو]])</f>
        <v>0</v>
      </c>
      <c r="J227" s="71"/>
      <c r="K227" s="73"/>
      <c r="L227" s="73"/>
      <c r="M227" s="73"/>
      <c r="N227" s="73"/>
      <c r="O227" s="73">
        <v>0</v>
      </c>
      <c r="P227" s="72" t="s">
        <v>1018</v>
      </c>
      <c r="Q227" s="68">
        <f>_xlfn.XLOOKUP(reportTbl[[#This Row],[date]],IIITbl[date],IIITbl[totalCT],0)</f>
        <v>0</v>
      </c>
      <c r="R227" s="68">
        <v>30000</v>
      </c>
    </row>
    <row r="228" spans="1:18" ht="16.5">
      <c r="A228" s="7" t="s">
        <v>872</v>
      </c>
      <c r="B228" s="67" t="s">
        <v>116</v>
      </c>
      <c r="C228" s="68">
        <f>SUMIF(cutts[date],A228,cutts[num])</f>
        <v>0</v>
      </c>
      <c r="D228" s="68"/>
      <c r="E228" s="69">
        <f>SUMIF(packes[date],A228,packes[num])</f>
        <v>0</v>
      </c>
      <c r="F228" s="69">
        <f>SUMIF(packes[date],A228,packes[wPacked])</f>
        <v>0</v>
      </c>
      <c r="G228" s="69"/>
      <c r="H228" s="69">
        <f>reportTbl[[#This Row],[personels]]-reportTbl[[#This Row],[personels]]*2.5/22-0.5</f>
        <v>-0.5</v>
      </c>
      <c r="I228" s="70">
        <f>(reportTbl[[#This Row],[وزن تولید]]*unityCycleTime-reportTbl[[#This Row],[received TimeOut]])/(reportTbl[[#This Row],[available time]]*reportTbl[[#This Row],[تعداد نیرو]])</f>
        <v>0</v>
      </c>
      <c r="J228" s="71"/>
      <c r="K228" s="73"/>
      <c r="L228" s="73"/>
      <c r="M228" s="73"/>
      <c r="N228" s="73"/>
      <c r="O228" s="73">
        <v>0</v>
      </c>
      <c r="P228" s="72" t="s">
        <v>1018</v>
      </c>
      <c r="Q228" s="68">
        <f>_xlfn.XLOOKUP(reportTbl[[#This Row],[date]],IIITbl[date],IIITbl[totalCT],0)</f>
        <v>0</v>
      </c>
      <c r="R228" s="68">
        <v>30000</v>
      </c>
    </row>
    <row r="229" spans="1:18" ht="16.5">
      <c r="A229" s="7" t="s">
        <v>873</v>
      </c>
      <c r="B229" s="67" t="s">
        <v>117</v>
      </c>
      <c r="C229" s="68">
        <f>SUMIF(cutts[date],A229,cutts[num])</f>
        <v>0</v>
      </c>
      <c r="D229" s="68"/>
      <c r="E229" s="69">
        <f>SUMIF(packes[date],A229,packes[num])</f>
        <v>0</v>
      </c>
      <c r="F229" s="69">
        <f>SUMIF(packes[date],A229,packes[wPacked])</f>
        <v>0</v>
      </c>
      <c r="G229" s="69"/>
      <c r="H229" s="69">
        <f>reportTbl[[#This Row],[personels]]-reportTbl[[#This Row],[personels]]*2.5/22-0.5</f>
        <v>-0.5</v>
      </c>
      <c r="I229" s="70">
        <f>(reportTbl[[#This Row],[وزن تولید]]*unityCycleTime-reportTbl[[#This Row],[received TimeOut]])/(reportTbl[[#This Row],[available time]]*reportTbl[[#This Row],[تعداد نیرو]])</f>
        <v>0</v>
      </c>
      <c r="J229" s="71"/>
      <c r="K229" s="73"/>
      <c r="L229" s="73"/>
      <c r="M229" s="73"/>
      <c r="N229" s="73"/>
      <c r="O229" s="73">
        <v>0</v>
      </c>
      <c r="P229" s="72" t="s">
        <v>1018</v>
      </c>
      <c r="Q229" s="68">
        <f>_xlfn.XLOOKUP(reportTbl[[#This Row],[date]],IIITbl[date],IIITbl[totalCT],0)</f>
        <v>0</v>
      </c>
      <c r="R229" s="68">
        <v>30000</v>
      </c>
    </row>
    <row r="230" spans="1:18" ht="16.5">
      <c r="A230" s="7" t="s">
        <v>874</v>
      </c>
      <c r="B230" s="67" t="s">
        <v>118</v>
      </c>
      <c r="C230" s="68">
        <f>SUMIF(cutts[date],A230,cutts[num])</f>
        <v>0</v>
      </c>
      <c r="D230" s="68"/>
      <c r="E230" s="69">
        <f>SUMIF(packes[date],A230,packes[num])</f>
        <v>0</v>
      </c>
      <c r="F230" s="69">
        <f>SUMIF(packes[date],A230,packes[wPacked])</f>
        <v>0</v>
      </c>
      <c r="G230" s="69"/>
      <c r="H230" s="69">
        <f>reportTbl[[#This Row],[personels]]-reportTbl[[#This Row],[personels]]*2.5/22-0.5</f>
        <v>-0.5</v>
      </c>
      <c r="I230" s="70">
        <f>(reportTbl[[#This Row],[وزن تولید]]*unityCycleTime-reportTbl[[#This Row],[received TimeOut]])/(reportTbl[[#This Row],[available time]]*reportTbl[[#This Row],[تعداد نیرو]])</f>
        <v>0</v>
      </c>
      <c r="J230" s="71"/>
      <c r="K230" s="73"/>
      <c r="L230" s="73"/>
      <c r="M230" s="73"/>
      <c r="N230" s="73"/>
      <c r="O230" s="73">
        <v>0</v>
      </c>
      <c r="P230" s="72" t="s">
        <v>1018</v>
      </c>
      <c r="Q230" s="68">
        <f>_xlfn.XLOOKUP(reportTbl[[#This Row],[date]],IIITbl[date],IIITbl[totalCT],0)</f>
        <v>0</v>
      </c>
      <c r="R230" s="68">
        <v>30000</v>
      </c>
    </row>
    <row r="231" spans="1:18" ht="16.5">
      <c r="A231" s="7" t="s">
        <v>875</v>
      </c>
      <c r="B231" s="67" t="s">
        <v>119</v>
      </c>
      <c r="C231" s="68">
        <f>SUMIF(cutts[date],A231,cutts[num])</f>
        <v>0</v>
      </c>
      <c r="D231" s="68"/>
      <c r="E231" s="69">
        <f>SUMIF(packes[date],A231,packes[num])</f>
        <v>0</v>
      </c>
      <c r="F231" s="69">
        <f>SUMIF(packes[date],A231,packes[wPacked])</f>
        <v>0</v>
      </c>
      <c r="G231" s="69"/>
      <c r="H231" s="69">
        <f>reportTbl[[#This Row],[personels]]-reportTbl[[#This Row],[personels]]*2.5/22-0.5</f>
        <v>-0.5</v>
      </c>
      <c r="I231" s="70">
        <f>(reportTbl[[#This Row],[وزن تولید]]*unityCycleTime-reportTbl[[#This Row],[received TimeOut]])/(reportTbl[[#This Row],[available time]]*reportTbl[[#This Row],[تعداد نیرو]])</f>
        <v>0</v>
      </c>
      <c r="J231" s="71"/>
      <c r="K231" s="73"/>
      <c r="L231" s="73"/>
      <c r="M231" s="73"/>
      <c r="N231" s="73"/>
      <c r="O231" s="73">
        <v>0</v>
      </c>
      <c r="P231" s="72" t="s">
        <v>1018</v>
      </c>
      <c r="Q231" s="68">
        <f>_xlfn.XLOOKUP(reportTbl[[#This Row],[date]],IIITbl[date],IIITbl[totalCT],0)</f>
        <v>0</v>
      </c>
      <c r="R231" s="68">
        <v>30000</v>
      </c>
    </row>
    <row r="232" spans="1:18" ht="16.5">
      <c r="A232" s="7" t="s">
        <v>876</v>
      </c>
      <c r="B232" s="67" t="s">
        <v>120</v>
      </c>
      <c r="C232" s="68">
        <f>SUMIF(cutts[date],A232,cutts[num])</f>
        <v>0</v>
      </c>
      <c r="D232" s="68"/>
      <c r="E232" s="69">
        <f>SUMIF(packes[date],A232,packes[num])</f>
        <v>0</v>
      </c>
      <c r="F232" s="69">
        <f>SUMIF(packes[date],A232,packes[wPacked])</f>
        <v>0</v>
      </c>
      <c r="G232" s="69"/>
      <c r="H232" s="69">
        <f>reportTbl[[#This Row],[personels]]-reportTbl[[#This Row],[personels]]*2.5/22-0.5</f>
        <v>-0.5</v>
      </c>
      <c r="I232" s="70">
        <f>(reportTbl[[#This Row],[وزن تولید]]*unityCycleTime-reportTbl[[#This Row],[received TimeOut]])/(reportTbl[[#This Row],[available time]]*reportTbl[[#This Row],[تعداد نیرو]])</f>
        <v>0</v>
      </c>
      <c r="J232" s="71"/>
      <c r="K232" s="73"/>
      <c r="L232" s="73"/>
      <c r="M232" s="73"/>
      <c r="N232" s="73"/>
      <c r="O232" s="73">
        <v>0</v>
      </c>
      <c r="P232" s="72" t="s">
        <v>1018</v>
      </c>
      <c r="Q232" s="68">
        <f>_xlfn.XLOOKUP(reportTbl[[#This Row],[date]],IIITbl[date],IIITbl[totalCT],0)</f>
        <v>0</v>
      </c>
      <c r="R232" s="68">
        <v>30000</v>
      </c>
    </row>
    <row r="233" spans="1:18" ht="16.5">
      <c r="A233" s="7" t="s">
        <v>877</v>
      </c>
      <c r="B233" s="67" t="s">
        <v>121</v>
      </c>
      <c r="C233" s="68">
        <f>SUMIF(cutts[date],A233,cutts[num])</f>
        <v>0</v>
      </c>
      <c r="D233" s="68"/>
      <c r="E233" s="69">
        <f>SUMIF(packes[date],A233,packes[num])</f>
        <v>0</v>
      </c>
      <c r="F233" s="69">
        <f>SUMIF(packes[date],A233,packes[wPacked])</f>
        <v>0</v>
      </c>
      <c r="G233" s="69"/>
      <c r="H233" s="69">
        <f>reportTbl[[#This Row],[personels]]-reportTbl[[#This Row],[personels]]*2.5/22-0.5</f>
        <v>-0.5</v>
      </c>
      <c r="I233" s="70">
        <f>(reportTbl[[#This Row],[وزن تولید]]*unityCycleTime-reportTbl[[#This Row],[received TimeOut]])/(reportTbl[[#This Row],[available time]]*reportTbl[[#This Row],[تعداد نیرو]])</f>
        <v>0</v>
      </c>
      <c r="J233" s="71"/>
      <c r="K233" s="73"/>
      <c r="L233" s="73"/>
      <c r="M233" s="73"/>
      <c r="N233" s="73"/>
      <c r="O233" s="73">
        <v>0</v>
      </c>
      <c r="P233" s="72" t="s">
        <v>1018</v>
      </c>
      <c r="Q233" s="68">
        <f>_xlfn.XLOOKUP(reportTbl[[#This Row],[date]],IIITbl[date],IIITbl[totalCT],0)</f>
        <v>0</v>
      </c>
      <c r="R233" s="68">
        <v>30000</v>
      </c>
    </row>
    <row r="234" spans="1:18" ht="16.5">
      <c r="A234" s="7" t="s">
        <v>878</v>
      </c>
      <c r="B234" s="67" t="s">
        <v>115</v>
      </c>
      <c r="C234" s="68">
        <f>SUMIF(cutts[date],A234,cutts[num])</f>
        <v>0</v>
      </c>
      <c r="D234" s="68"/>
      <c r="E234" s="69">
        <f>SUMIF(packes[date],A234,packes[num])</f>
        <v>0</v>
      </c>
      <c r="F234" s="69">
        <f>SUMIF(packes[date],A234,packes[wPacked])</f>
        <v>0</v>
      </c>
      <c r="G234" s="69"/>
      <c r="H234" s="69">
        <f>reportTbl[[#This Row],[personels]]-reportTbl[[#This Row],[personels]]*2.5/22-0.5</f>
        <v>-0.5</v>
      </c>
      <c r="I234" s="70">
        <f>(reportTbl[[#This Row],[وزن تولید]]*unityCycleTime-reportTbl[[#This Row],[received TimeOut]])/(reportTbl[[#This Row],[available time]]*reportTbl[[#This Row],[تعداد نیرو]])</f>
        <v>0</v>
      </c>
      <c r="J234" s="71"/>
      <c r="K234" s="73"/>
      <c r="L234" s="73"/>
      <c r="M234" s="73"/>
      <c r="N234" s="73"/>
      <c r="O234" s="73">
        <v>0</v>
      </c>
      <c r="P234" s="72" t="s">
        <v>1018</v>
      </c>
      <c r="Q234" s="68">
        <f>_xlfn.XLOOKUP(reportTbl[[#This Row],[date]],IIITbl[date],IIITbl[totalCT],0)</f>
        <v>0</v>
      </c>
      <c r="R234" s="68">
        <v>30000</v>
      </c>
    </row>
    <row r="235" spans="1:18" ht="16.5">
      <c r="A235" s="7" t="s">
        <v>879</v>
      </c>
      <c r="B235" s="67" t="s">
        <v>116</v>
      </c>
      <c r="C235" s="68">
        <f>SUMIF(cutts[date],A235,cutts[num])</f>
        <v>0</v>
      </c>
      <c r="D235" s="68"/>
      <c r="E235" s="69">
        <f>SUMIF(packes[date],A235,packes[num])</f>
        <v>0</v>
      </c>
      <c r="F235" s="69">
        <f>SUMIF(packes[date],A235,packes[wPacked])</f>
        <v>0</v>
      </c>
      <c r="G235" s="69"/>
      <c r="H235" s="69">
        <f>reportTbl[[#This Row],[personels]]-reportTbl[[#This Row],[personels]]*2.5/22-0.5</f>
        <v>-0.5</v>
      </c>
      <c r="I235" s="70">
        <f>(reportTbl[[#This Row],[وزن تولید]]*unityCycleTime-reportTbl[[#This Row],[received TimeOut]])/(reportTbl[[#This Row],[available time]]*reportTbl[[#This Row],[تعداد نیرو]])</f>
        <v>0</v>
      </c>
      <c r="J235" s="71"/>
      <c r="K235" s="73"/>
      <c r="L235" s="73"/>
      <c r="M235" s="73"/>
      <c r="N235" s="73"/>
      <c r="O235" s="73">
        <v>0</v>
      </c>
      <c r="P235" s="72" t="s">
        <v>1018</v>
      </c>
      <c r="Q235" s="68">
        <f>_xlfn.XLOOKUP(reportTbl[[#This Row],[date]],IIITbl[date],IIITbl[totalCT],0)</f>
        <v>0</v>
      </c>
      <c r="R235" s="68">
        <v>30000</v>
      </c>
    </row>
    <row r="236" spans="1:18" ht="16.5">
      <c r="A236" s="7" t="s">
        <v>880</v>
      </c>
      <c r="B236" s="67" t="s">
        <v>117</v>
      </c>
      <c r="C236" s="68">
        <f>SUMIF(cutts[date],A236,cutts[num])</f>
        <v>0</v>
      </c>
      <c r="D236" s="68"/>
      <c r="E236" s="69">
        <f>SUMIF(packes[date],A236,packes[num])</f>
        <v>0</v>
      </c>
      <c r="F236" s="69">
        <f>SUMIF(packes[date],A236,packes[wPacked])</f>
        <v>0</v>
      </c>
      <c r="G236" s="69"/>
      <c r="H236" s="69">
        <f>reportTbl[[#This Row],[personels]]-reportTbl[[#This Row],[personels]]*2.5/22-0.5</f>
        <v>-0.5</v>
      </c>
      <c r="I236" s="70">
        <f>(reportTbl[[#This Row],[وزن تولید]]*unityCycleTime-reportTbl[[#This Row],[received TimeOut]])/(reportTbl[[#This Row],[available time]]*reportTbl[[#This Row],[تعداد نیرو]])</f>
        <v>0</v>
      </c>
      <c r="J236" s="71"/>
      <c r="K236" s="73"/>
      <c r="L236" s="73"/>
      <c r="M236" s="73"/>
      <c r="N236" s="73"/>
      <c r="O236" s="73">
        <v>0</v>
      </c>
      <c r="P236" s="72" t="s">
        <v>1018</v>
      </c>
      <c r="Q236" s="68">
        <f>_xlfn.XLOOKUP(reportTbl[[#This Row],[date]],IIITbl[date],IIITbl[totalCT],0)</f>
        <v>0</v>
      </c>
      <c r="R236" s="68">
        <v>30000</v>
      </c>
    </row>
    <row r="237" spans="1:18" ht="16.5">
      <c r="A237" s="7" t="s">
        <v>881</v>
      </c>
      <c r="B237" s="67" t="s">
        <v>118</v>
      </c>
      <c r="C237" s="68">
        <f>SUMIF(cutts[date],A237,cutts[num])</f>
        <v>0</v>
      </c>
      <c r="D237" s="68"/>
      <c r="E237" s="69">
        <f>SUMIF(packes[date],A237,packes[num])</f>
        <v>0</v>
      </c>
      <c r="F237" s="69">
        <f>SUMIF(packes[date],A237,packes[wPacked])</f>
        <v>0</v>
      </c>
      <c r="G237" s="69"/>
      <c r="H237" s="69">
        <f>reportTbl[[#This Row],[personels]]-reportTbl[[#This Row],[personels]]*2.5/22-0.5</f>
        <v>-0.5</v>
      </c>
      <c r="I237" s="70">
        <f>(reportTbl[[#This Row],[وزن تولید]]*unityCycleTime-reportTbl[[#This Row],[received TimeOut]])/(reportTbl[[#This Row],[available time]]*reportTbl[[#This Row],[تعداد نیرو]])</f>
        <v>0</v>
      </c>
      <c r="J237" s="71"/>
      <c r="K237" s="73"/>
      <c r="L237" s="73"/>
      <c r="M237" s="73"/>
      <c r="N237" s="73"/>
      <c r="O237" s="73">
        <v>0</v>
      </c>
      <c r="P237" s="72" t="s">
        <v>1018</v>
      </c>
      <c r="Q237" s="68">
        <f>_xlfn.XLOOKUP(reportTbl[[#This Row],[date]],IIITbl[date],IIITbl[totalCT],0)</f>
        <v>0</v>
      </c>
      <c r="R237" s="68">
        <v>30000</v>
      </c>
    </row>
    <row r="238" spans="1:18" ht="16.5">
      <c r="A238" s="7" t="s">
        <v>882</v>
      </c>
      <c r="B238" s="67" t="s">
        <v>119</v>
      </c>
      <c r="C238" s="68">
        <f>SUMIF(cutts[date],A238,cutts[num])</f>
        <v>0</v>
      </c>
      <c r="D238" s="68"/>
      <c r="E238" s="69">
        <f>SUMIF(packes[date],A238,packes[num])</f>
        <v>0</v>
      </c>
      <c r="F238" s="69">
        <f>SUMIF(packes[date],A238,packes[wPacked])</f>
        <v>0</v>
      </c>
      <c r="G238" s="69"/>
      <c r="H238" s="69">
        <f>reportTbl[[#This Row],[personels]]-reportTbl[[#This Row],[personels]]*2.5/22-0.5</f>
        <v>-0.5</v>
      </c>
      <c r="I238" s="70">
        <f>(reportTbl[[#This Row],[وزن تولید]]*unityCycleTime-reportTbl[[#This Row],[received TimeOut]])/(reportTbl[[#This Row],[available time]]*reportTbl[[#This Row],[تعداد نیرو]])</f>
        <v>0</v>
      </c>
      <c r="J238" s="71"/>
      <c r="K238" s="73"/>
      <c r="L238" s="73"/>
      <c r="M238" s="73"/>
      <c r="N238" s="73"/>
      <c r="O238" s="73">
        <v>0</v>
      </c>
      <c r="P238" s="72" t="s">
        <v>1018</v>
      </c>
      <c r="Q238" s="68">
        <f>_xlfn.XLOOKUP(reportTbl[[#This Row],[date]],IIITbl[date],IIITbl[totalCT],0)</f>
        <v>0</v>
      </c>
      <c r="R238" s="68">
        <v>30000</v>
      </c>
    </row>
    <row r="239" spans="1:18" ht="16.5">
      <c r="A239" s="7" t="s">
        <v>883</v>
      </c>
      <c r="B239" s="67" t="s">
        <v>120</v>
      </c>
      <c r="C239" s="68">
        <f>SUMIF(cutts[date],A239,cutts[num])</f>
        <v>0</v>
      </c>
      <c r="D239" s="68"/>
      <c r="E239" s="69">
        <f>SUMIF(packes[date],A239,packes[num])</f>
        <v>0</v>
      </c>
      <c r="F239" s="69">
        <f>SUMIF(packes[date],A239,packes[wPacked])</f>
        <v>0</v>
      </c>
      <c r="G239" s="69"/>
      <c r="H239" s="69">
        <f>reportTbl[[#This Row],[personels]]-reportTbl[[#This Row],[personels]]*2.5/22-0.5</f>
        <v>-0.5</v>
      </c>
      <c r="I239" s="70">
        <f>(reportTbl[[#This Row],[وزن تولید]]*unityCycleTime-reportTbl[[#This Row],[received TimeOut]])/(reportTbl[[#This Row],[available time]]*reportTbl[[#This Row],[تعداد نیرو]])</f>
        <v>0</v>
      </c>
      <c r="J239" s="71"/>
      <c r="K239" s="73"/>
      <c r="L239" s="73"/>
      <c r="M239" s="73"/>
      <c r="N239" s="73"/>
      <c r="O239" s="73">
        <v>0</v>
      </c>
      <c r="P239" s="72" t="s">
        <v>1018</v>
      </c>
      <c r="Q239" s="68">
        <f>_xlfn.XLOOKUP(reportTbl[[#This Row],[date]],IIITbl[date],IIITbl[totalCT],0)</f>
        <v>0</v>
      </c>
      <c r="R239" s="68">
        <v>30000</v>
      </c>
    </row>
    <row r="240" spans="1:18" ht="16.5">
      <c r="A240" s="7" t="s">
        <v>884</v>
      </c>
      <c r="B240" s="67" t="s">
        <v>121</v>
      </c>
      <c r="C240" s="68">
        <f>SUMIF(cutts[date],A240,cutts[num])</f>
        <v>0</v>
      </c>
      <c r="D240" s="68"/>
      <c r="E240" s="69">
        <f>SUMIF(packes[date],A240,packes[num])</f>
        <v>0</v>
      </c>
      <c r="F240" s="69">
        <f>SUMIF(packes[date],A240,packes[wPacked])</f>
        <v>0</v>
      </c>
      <c r="G240" s="69"/>
      <c r="H240" s="69">
        <f>reportTbl[[#This Row],[personels]]-reportTbl[[#This Row],[personels]]*2.5/22-0.5</f>
        <v>-0.5</v>
      </c>
      <c r="I240" s="70">
        <f>(reportTbl[[#This Row],[وزن تولید]]*unityCycleTime-reportTbl[[#This Row],[received TimeOut]])/(reportTbl[[#This Row],[available time]]*reportTbl[[#This Row],[تعداد نیرو]])</f>
        <v>0</v>
      </c>
      <c r="J240" s="71"/>
      <c r="K240" s="73"/>
      <c r="L240" s="73"/>
      <c r="M240" s="73"/>
      <c r="N240" s="73"/>
      <c r="O240" s="73">
        <v>0</v>
      </c>
      <c r="P240" s="72" t="s">
        <v>1018</v>
      </c>
      <c r="Q240" s="68">
        <f>_xlfn.XLOOKUP(reportTbl[[#This Row],[date]],IIITbl[date],IIITbl[totalCT],0)</f>
        <v>0</v>
      </c>
      <c r="R240" s="68">
        <v>30000</v>
      </c>
    </row>
    <row r="241" spans="1:18" ht="16.5">
      <c r="A241" s="7" t="s">
        <v>885</v>
      </c>
      <c r="B241" s="67" t="s">
        <v>115</v>
      </c>
      <c r="C241" s="68">
        <f>SUMIF(cutts[date],A241,cutts[num])</f>
        <v>0</v>
      </c>
      <c r="D241" s="68"/>
      <c r="E241" s="69">
        <f>SUMIF(packes[date],A241,packes[num])</f>
        <v>0</v>
      </c>
      <c r="F241" s="69">
        <f>SUMIF(packes[date],A241,packes[wPacked])</f>
        <v>0</v>
      </c>
      <c r="G241" s="69"/>
      <c r="H241" s="69">
        <f>reportTbl[[#This Row],[personels]]-reportTbl[[#This Row],[personels]]*2.5/22-0.5</f>
        <v>-0.5</v>
      </c>
      <c r="I241" s="70">
        <f>(reportTbl[[#This Row],[وزن تولید]]*unityCycleTime-reportTbl[[#This Row],[received TimeOut]])/(reportTbl[[#This Row],[available time]]*reportTbl[[#This Row],[تعداد نیرو]])</f>
        <v>0</v>
      </c>
      <c r="J241" s="71"/>
      <c r="K241" s="73"/>
      <c r="L241" s="73"/>
      <c r="M241" s="73"/>
      <c r="N241" s="73"/>
      <c r="O241" s="73">
        <v>0</v>
      </c>
      <c r="P241" s="72" t="s">
        <v>1018</v>
      </c>
      <c r="Q241" s="68">
        <f>_xlfn.XLOOKUP(reportTbl[[#This Row],[date]],IIITbl[date],IIITbl[totalCT],0)</f>
        <v>0</v>
      </c>
      <c r="R241" s="68">
        <v>30000</v>
      </c>
    </row>
    <row r="242" spans="1:18" ht="16.5">
      <c r="A242" s="7" t="s">
        <v>886</v>
      </c>
      <c r="B242" s="67" t="s">
        <v>116</v>
      </c>
      <c r="C242" s="68">
        <f>SUMIF(cutts[date],A242,cutts[num])</f>
        <v>0</v>
      </c>
      <c r="D242" s="68"/>
      <c r="E242" s="69">
        <f>SUMIF(packes[date],A242,packes[num])</f>
        <v>0</v>
      </c>
      <c r="F242" s="69">
        <f>SUMIF(packes[date],A242,packes[wPacked])</f>
        <v>0</v>
      </c>
      <c r="G242" s="69"/>
      <c r="H242" s="69">
        <f>reportTbl[[#This Row],[personels]]-reportTbl[[#This Row],[personels]]*2.5/22-0.5</f>
        <v>-0.5</v>
      </c>
      <c r="I242" s="70">
        <f>(reportTbl[[#This Row],[وزن تولید]]*unityCycleTime-reportTbl[[#This Row],[received TimeOut]])/(reportTbl[[#This Row],[available time]]*reportTbl[[#This Row],[تعداد نیرو]])</f>
        <v>0</v>
      </c>
      <c r="J242" s="71"/>
      <c r="K242" s="73"/>
      <c r="L242" s="73"/>
      <c r="M242" s="73"/>
      <c r="N242" s="73"/>
      <c r="O242" s="73">
        <v>0</v>
      </c>
      <c r="P242" s="72" t="s">
        <v>1018</v>
      </c>
      <c r="Q242" s="68">
        <f>_xlfn.XLOOKUP(reportTbl[[#This Row],[date]],IIITbl[date],IIITbl[totalCT],0)</f>
        <v>0</v>
      </c>
      <c r="R242" s="68">
        <v>30000</v>
      </c>
    </row>
    <row r="243" spans="1:18" ht="16.5">
      <c r="A243" s="7" t="s">
        <v>887</v>
      </c>
      <c r="B243" s="67" t="s">
        <v>117</v>
      </c>
      <c r="C243" s="68">
        <f>SUMIF(cutts[date],A243,cutts[num])</f>
        <v>0</v>
      </c>
      <c r="D243" s="68"/>
      <c r="E243" s="69">
        <f>SUMIF(packes[date],A243,packes[num])</f>
        <v>0</v>
      </c>
      <c r="F243" s="69">
        <f>SUMIF(packes[date],A243,packes[wPacked])</f>
        <v>0</v>
      </c>
      <c r="G243" s="69"/>
      <c r="H243" s="69">
        <f>reportTbl[[#This Row],[personels]]-reportTbl[[#This Row],[personels]]*2.5/22-0.5</f>
        <v>-0.5</v>
      </c>
      <c r="I243" s="70">
        <f>(reportTbl[[#This Row],[وزن تولید]]*unityCycleTime-reportTbl[[#This Row],[received TimeOut]])/(reportTbl[[#This Row],[available time]]*reportTbl[[#This Row],[تعداد نیرو]])</f>
        <v>0</v>
      </c>
      <c r="J243" s="71"/>
      <c r="K243" s="73"/>
      <c r="L243" s="73"/>
      <c r="M243" s="73"/>
      <c r="N243" s="73"/>
      <c r="O243" s="73">
        <v>0</v>
      </c>
      <c r="P243" s="72" t="s">
        <v>1018</v>
      </c>
      <c r="Q243" s="68">
        <f>_xlfn.XLOOKUP(reportTbl[[#This Row],[date]],IIITbl[date],IIITbl[totalCT],0)</f>
        <v>0</v>
      </c>
      <c r="R243" s="68">
        <v>30000</v>
      </c>
    </row>
    <row r="244" spans="1:18" ht="16.5">
      <c r="A244" s="7" t="s">
        <v>888</v>
      </c>
      <c r="B244" s="67" t="s">
        <v>118</v>
      </c>
      <c r="C244" s="68">
        <f>SUMIF(cutts[date],A244,cutts[num])</f>
        <v>0</v>
      </c>
      <c r="D244" s="68"/>
      <c r="E244" s="69">
        <f>SUMIF(packes[date],A244,packes[num])</f>
        <v>0</v>
      </c>
      <c r="F244" s="69">
        <f>SUMIF(packes[date],A244,packes[wPacked])</f>
        <v>0</v>
      </c>
      <c r="G244" s="69"/>
      <c r="H244" s="69">
        <f>reportTbl[[#This Row],[personels]]-reportTbl[[#This Row],[personels]]*2.5/22-0.5</f>
        <v>-0.5</v>
      </c>
      <c r="I244" s="70">
        <f>(reportTbl[[#This Row],[وزن تولید]]*unityCycleTime-reportTbl[[#This Row],[received TimeOut]])/(reportTbl[[#This Row],[available time]]*reportTbl[[#This Row],[تعداد نیرو]])</f>
        <v>0</v>
      </c>
      <c r="J244" s="71"/>
      <c r="K244" s="73"/>
      <c r="L244" s="73"/>
      <c r="M244" s="73"/>
      <c r="N244" s="73"/>
      <c r="O244" s="73">
        <v>0</v>
      </c>
      <c r="P244" s="72" t="s">
        <v>1018</v>
      </c>
      <c r="Q244" s="68">
        <f>_xlfn.XLOOKUP(reportTbl[[#This Row],[date]],IIITbl[date],IIITbl[totalCT],0)</f>
        <v>0</v>
      </c>
      <c r="R244" s="68">
        <v>30000</v>
      </c>
    </row>
    <row r="245" spans="1:18" ht="16.5">
      <c r="A245" s="7" t="s">
        <v>889</v>
      </c>
      <c r="B245" s="67" t="s">
        <v>119</v>
      </c>
      <c r="C245" s="68">
        <f>SUMIF(cutts[date],A245,cutts[num])</f>
        <v>0</v>
      </c>
      <c r="D245" s="68"/>
      <c r="E245" s="69">
        <f>SUMIF(packes[date],A245,packes[num])</f>
        <v>0</v>
      </c>
      <c r="F245" s="69">
        <f>SUMIF(packes[date],A245,packes[wPacked])</f>
        <v>0</v>
      </c>
      <c r="G245" s="69"/>
      <c r="H245" s="69">
        <f>reportTbl[[#This Row],[personels]]-reportTbl[[#This Row],[personels]]*2.5/22-0.5</f>
        <v>-0.5</v>
      </c>
      <c r="I245" s="70">
        <f>(reportTbl[[#This Row],[وزن تولید]]*unityCycleTime-reportTbl[[#This Row],[received TimeOut]])/(reportTbl[[#This Row],[available time]]*reportTbl[[#This Row],[تعداد نیرو]])</f>
        <v>0</v>
      </c>
      <c r="J245" s="71"/>
      <c r="K245" s="73"/>
      <c r="L245" s="73"/>
      <c r="M245" s="73"/>
      <c r="N245" s="73"/>
      <c r="O245" s="73">
        <v>0</v>
      </c>
      <c r="P245" s="72" t="s">
        <v>1018</v>
      </c>
      <c r="Q245" s="68">
        <f>_xlfn.XLOOKUP(reportTbl[[#This Row],[date]],IIITbl[date],IIITbl[totalCT],0)</f>
        <v>0</v>
      </c>
      <c r="R245" s="68">
        <v>30000</v>
      </c>
    </row>
    <row r="246" spans="1:18" ht="16.5">
      <c r="A246" s="7" t="s">
        <v>890</v>
      </c>
      <c r="B246" s="67" t="s">
        <v>120</v>
      </c>
      <c r="C246" s="68">
        <f>SUMIF(cutts[date],A246,cutts[num])</f>
        <v>0</v>
      </c>
      <c r="D246" s="68"/>
      <c r="E246" s="69">
        <f>SUMIF(packes[date],A246,packes[num])</f>
        <v>0</v>
      </c>
      <c r="F246" s="69">
        <f>SUMIF(packes[date],A246,packes[wPacked])</f>
        <v>0</v>
      </c>
      <c r="G246" s="69"/>
      <c r="H246" s="69">
        <f>reportTbl[[#This Row],[personels]]-reportTbl[[#This Row],[personels]]*2.5/22-0.5</f>
        <v>-0.5</v>
      </c>
      <c r="I246" s="70">
        <f>(reportTbl[[#This Row],[وزن تولید]]*unityCycleTime-reportTbl[[#This Row],[received TimeOut]])/(reportTbl[[#This Row],[available time]]*reportTbl[[#This Row],[تعداد نیرو]])</f>
        <v>0</v>
      </c>
      <c r="J246" s="71"/>
      <c r="K246" s="73"/>
      <c r="L246" s="73"/>
      <c r="M246" s="73"/>
      <c r="N246" s="73"/>
      <c r="O246" s="73">
        <v>0</v>
      </c>
      <c r="P246" s="72" t="s">
        <v>1018</v>
      </c>
      <c r="Q246" s="68">
        <f>_xlfn.XLOOKUP(reportTbl[[#This Row],[date]],IIITbl[date],IIITbl[totalCT],0)</f>
        <v>0</v>
      </c>
      <c r="R246" s="68">
        <v>30000</v>
      </c>
    </row>
    <row r="247" spans="1:18" ht="16.5">
      <c r="A247" s="7" t="s">
        <v>891</v>
      </c>
      <c r="B247" s="67" t="s">
        <v>121</v>
      </c>
      <c r="C247" s="68">
        <f>SUMIF(cutts[date],A247,cutts[num])</f>
        <v>0</v>
      </c>
      <c r="D247" s="68"/>
      <c r="E247" s="69">
        <f>SUMIF(packes[date],A247,packes[num])</f>
        <v>0</v>
      </c>
      <c r="F247" s="69">
        <f>SUMIF(packes[date],A247,packes[wPacked])</f>
        <v>0</v>
      </c>
      <c r="G247" s="69"/>
      <c r="H247" s="69">
        <f>reportTbl[[#This Row],[personels]]-reportTbl[[#This Row],[personels]]*2.5/22-0.5</f>
        <v>-0.5</v>
      </c>
      <c r="I247" s="70">
        <f>(reportTbl[[#This Row],[وزن تولید]]*unityCycleTime-reportTbl[[#This Row],[received TimeOut]])/(reportTbl[[#This Row],[available time]]*reportTbl[[#This Row],[تعداد نیرو]])</f>
        <v>0</v>
      </c>
      <c r="J247" s="71"/>
      <c r="K247" s="73"/>
      <c r="L247" s="73"/>
      <c r="M247" s="73"/>
      <c r="N247" s="73"/>
      <c r="O247" s="73">
        <v>0</v>
      </c>
      <c r="P247" s="72" t="s">
        <v>1018</v>
      </c>
      <c r="Q247" s="68">
        <f>_xlfn.XLOOKUP(reportTbl[[#This Row],[date]],IIITbl[date],IIITbl[totalCT],0)</f>
        <v>0</v>
      </c>
      <c r="R247" s="68">
        <v>30000</v>
      </c>
    </row>
    <row r="248" spans="1:18" ht="16.5">
      <c r="A248" s="7" t="s">
        <v>892</v>
      </c>
      <c r="B248" s="67" t="s">
        <v>115</v>
      </c>
      <c r="C248" s="68">
        <f>SUMIF(cutts[date],A248,cutts[num])</f>
        <v>0</v>
      </c>
      <c r="D248" s="68"/>
      <c r="E248" s="69">
        <f>SUMIF(packes[date],A248,packes[num])</f>
        <v>0</v>
      </c>
      <c r="F248" s="69">
        <f>SUMIF(packes[date],A248,packes[wPacked])</f>
        <v>0</v>
      </c>
      <c r="G248" s="69"/>
      <c r="H248" s="69">
        <f>reportTbl[[#This Row],[personels]]-reportTbl[[#This Row],[personels]]*2.5/22-0.5</f>
        <v>-0.5</v>
      </c>
      <c r="I248" s="70">
        <f>(reportTbl[[#This Row],[وزن تولید]]*unityCycleTime-reportTbl[[#This Row],[received TimeOut]])/(reportTbl[[#This Row],[available time]]*reportTbl[[#This Row],[تعداد نیرو]])</f>
        <v>0</v>
      </c>
      <c r="J248" s="71"/>
      <c r="K248" s="73"/>
      <c r="L248" s="73"/>
      <c r="M248" s="73"/>
      <c r="N248" s="73"/>
      <c r="O248" s="73">
        <v>0</v>
      </c>
      <c r="P248" s="72" t="s">
        <v>1019</v>
      </c>
      <c r="Q248" s="68">
        <f>_xlfn.XLOOKUP(reportTbl[[#This Row],[date]],IIITbl[date],IIITbl[totalCT],0)</f>
        <v>0</v>
      </c>
      <c r="R248" s="68">
        <v>30000</v>
      </c>
    </row>
    <row r="249" spans="1:18" ht="16.5">
      <c r="A249" s="7" t="s">
        <v>893</v>
      </c>
      <c r="B249" s="67" t="s">
        <v>116</v>
      </c>
      <c r="C249" s="68">
        <f>SUMIF(cutts[date],A249,cutts[num])</f>
        <v>0</v>
      </c>
      <c r="D249" s="68"/>
      <c r="E249" s="69">
        <f>SUMIF(packes[date],A249,packes[num])</f>
        <v>0</v>
      </c>
      <c r="F249" s="69">
        <f>SUMIF(packes[date],A249,packes[wPacked])</f>
        <v>0</v>
      </c>
      <c r="G249" s="69"/>
      <c r="H249" s="69">
        <f>reportTbl[[#This Row],[personels]]-reportTbl[[#This Row],[personels]]*2.5/22-0.5</f>
        <v>-0.5</v>
      </c>
      <c r="I249" s="70">
        <f>(reportTbl[[#This Row],[وزن تولید]]*unityCycleTime-reportTbl[[#This Row],[received TimeOut]])/(reportTbl[[#This Row],[available time]]*reportTbl[[#This Row],[تعداد نیرو]])</f>
        <v>0</v>
      </c>
      <c r="J249" s="71"/>
      <c r="K249" s="73"/>
      <c r="L249" s="73"/>
      <c r="M249" s="73"/>
      <c r="N249" s="73"/>
      <c r="O249" s="73">
        <v>0</v>
      </c>
      <c r="P249" s="72" t="s">
        <v>1019</v>
      </c>
      <c r="Q249" s="68">
        <f>_xlfn.XLOOKUP(reportTbl[[#This Row],[date]],IIITbl[date],IIITbl[totalCT],0)</f>
        <v>0</v>
      </c>
      <c r="R249" s="68">
        <v>30000</v>
      </c>
    </row>
    <row r="250" spans="1:18" ht="16.5">
      <c r="A250" s="7" t="s">
        <v>894</v>
      </c>
      <c r="B250" s="67" t="s">
        <v>117</v>
      </c>
      <c r="C250" s="68">
        <f>SUMIF(cutts[date],A250,cutts[num])</f>
        <v>0</v>
      </c>
      <c r="D250" s="68"/>
      <c r="E250" s="69">
        <f>SUMIF(packes[date],A250,packes[num])</f>
        <v>0</v>
      </c>
      <c r="F250" s="69">
        <f>SUMIF(packes[date],A250,packes[wPacked])</f>
        <v>0</v>
      </c>
      <c r="G250" s="69"/>
      <c r="H250" s="69">
        <f>reportTbl[[#This Row],[personels]]-reportTbl[[#This Row],[personels]]*2.5/22-0.5</f>
        <v>-0.5</v>
      </c>
      <c r="I250" s="70">
        <f>(reportTbl[[#This Row],[وزن تولید]]*unityCycleTime-reportTbl[[#This Row],[received TimeOut]])/(reportTbl[[#This Row],[available time]]*reportTbl[[#This Row],[تعداد نیرو]])</f>
        <v>0</v>
      </c>
      <c r="J250" s="71"/>
      <c r="K250" s="73"/>
      <c r="L250" s="73"/>
      <c r="M250" s="73"/>
      <c r="N250" s="73"/>
      <c r="O250" s="73">
        <v>0</v>
      </c>
      <c r="P250" s="72" t="s">
        <v>1019</v>
      </c>
      <c r="Q250" s="68">
        <f>_xlfn.XLOOKUP(reportTbl[[#This Row],[date]],IIITbl[date],IIITbl[totalCT],0)</f>
        <v>0</v>
      </c>
      <c r="R250" s="68">
        <v>30000</v>
      </c>
    </row>
    <row r="251" spans="1:18" ht="16.5">
      <c r="A251" s="7" t="s">
        <v>895</v>
      </c>
      <c r="B251" s="67" t="s">
        <v>118</v>
      </c>
      <c r="C251" s="68">
        <f>SUMIF(cutts[date],A251,cutts[num])</f>
        <v>0</v>
      </c>
      <c r="D251" s="68"/>
      <c r="E251" s="69">
        <f>SUMIF(packes[date],A251,packes[num])</f>
        <v>0</v>
      </c>
      <c r="F251" s="69">
        <f>SUMIF(packes[date],A251,packes[wPacked])</f>
        <v>0</v>
      </c>
      <c r="G251" s="69"/>
      <c r="H251" s="69">
        <f>reportTbl[[#This Row],[personels]]-reportTbl[[#This Row],[personels]]*2.5/22-0.5</f>
        <v>-0.5</v>
      </c>
      <c r="I251" s="70">
        <f>(reportTbl[[#This Row],[وزن تولید]]*unityCycleTime-reportTbl[[#This Row],[received TimeOut]])/(reportTbl[[#This Row],[available time]]*reportTbl[[#This Row],[تعداد نیرو]])</f>
        <v>0</v>
      </c>
      <c r="J251" s="71"/>
      <c r="K251" s="73"/>
      <c r="L251" s="73"/>
      <c r="M251" s="73"/>
      <c r="N251" s="73"/>
      <c r="O251" s="73">
        <v>0</v>
      </c>
      <c r="P251" s="72" t="s">
        <v>1019</v>
      </c>
      <c r="Q251" s="68">
        <f>_xlfn.XLOOKUP(reportTbl[[#This Row],[date]],IIITbl[date],IIITbl[totalCT],0)</f>
        <v>0</v>
      </c>
      <c r="R251" s="68">
        <v>30000</v>
      </c>
    </row>
    <row r="252" spans="1:18" ht="16.5">
      <c r="A252" s="7" t="s">
        <v>896</v>
      </c>
      <c r="B252" s="67" t="s">
        <v>119</v>
      </c>
      <c r="C252" s="68">
        <f>SUMIF(cutts[date],A252,cutts[num])</f>
        <v>0</v>
      </c>
      <c r="D252" s="68"/>
      <c r="E252" s="69">
        <f>SUMIF(packes[date],A252,packes[num])</f>
        <v>0</v>
      </c>
      <c r="F252" s="69">
        <f>SUMIF(packes[date],A252,packes[wPacked])</f>
        <v>0</v>
      </c>
      <c r="G252" s="69"/>
      <c r="H252" s="69">
        <f>reportTbl[[#This Row],[personels]]-reportTbl[[#This Row],[personels]]*2.5/22-0.5</f>
        <v>-0.5</v>
      </c>
      <c r="I252" s="70">
        <f>(reportTbl[[#This Row],[وزن تولید]]*unityCycleTime-reportTbl[[#This Row],[received TimeOut]])/(reportTbl[[#This Row],[available time]]*reportTbl[[#This Row],[تعداد نیرو]])</f>
        <v>0</v>
      </c>
      <c r="J252" s="71"/>
      <c r="K252" s="73"/>
      <c r="L252" s="73"/>
      <c r="M252" s="73"/>
      <c r="N252" s="73"/>
      <c r="O252" s="73">
        <v>0</v>
      </c>
      <c r="P252" s="72" t="s">
        <v>1019</v>
      </c>
      <c r="Q252" s="68">
        <f>_xlfn.XLOOKUP(reportTbl[[#This Row],[date]],IIITbl[date],IIITbl[totalCT],0)</f>
        <v>0</v>
      </c>
      <c r="R252" s="68">
        <v>30000</v>
      </c>
    </row>
    <row r="253" spans="1:18" ht="16.5">
      <c r="A253" s="7" t="s">
        <v>897</v>
      </c>
      <c r="B253" s="67" t="s">
        <v>120</v>
      </c>
      <c r="C253" s="68">
        <f>SUMIF(cutts[date],A253,cutts[num])</f>
        <v>0</v>
      </c>
      <c r="D253" s="68"/>
      <c r="E253" s="69">
        <f>SUMIF(packes[date],A253,packes[num])</f>
        <v>0</v>
      </c>
      <c r="F253" s="69">
        <f>SUMIF(packes[date],A253,packes[wPacked])</f>
        <v>0</v>
      </c>
      <c r="G253" s="69"/>
      <c r="H253" s="69">
        <f>reportTbl[[#This Row],[personels]]-reportTbl[[#This Row],[personels]]*2.5/22-0.5</f>
        <v>-0.5</v>
      </c>
      <c r="I253" s="70">
        <f>(reportTbl[[#This Row],[وزن تولید]]*unityCycleTime-reportTbl[[#This Row],[received TimeOut]])/(reportTbl[[#This Row],[available time]]*reportTbl[[#This Row],[تعداد نیرو]])</f>
        <v>0</v>
      </c>
      <c r="J253" s="71"/>
      <c r="K253" s="73"/>
      <c r="L253" s="73"/>
      <c r="M253" s="73"/>
      <c r="N253" s="73"/>
      <c r="O253" s="73">
        <v>0</v>
      </c>
      <c r="P253" s="72" t="s">
        <v>1019</v>
      </c>
      <c r="Q253" s="68">
        <f>_xlfn.XLOOKUP(reportTbl[[#This Row],[date]],IIITbl[date],IIITbl[totalCT],0)</f>
        <v>0</v>
      </c>
      <c r="R253" s="68">
        <v>30000</v>
      </c>
    </row>
    <row r="254" spans="1:18" ht="16.5">
      <c r="A254" s="7" t="s">
        <v>898</v>
      </c>
      <c r="B254" s="67" t="s">
        <v>121</v>
      </c>
      <c r="C254" s="68">
        <f>SUMIF(cutts[date],A254,cutts[num])</f>
        <v>0</v>
      </c>
      <c r="D254" s="68"/>
      <c r="E254" s="69">
        <f>SUMIF(packes[date],A254,packes[num])</f>
        <v>0</v>
      </c>
      <c r="F254" s="69">
        <f>SUMIF(packes[date],A254,packes[wPacked])</f>
        <v>0</v>
      </c>
      <c r="G254" s="69"/>
      <c r="H254" s="69">
        <f>reportTbl[[#This Row],[personels]]-reportTbl[[#This Row],[personels]]*2.5/22-0.5</f>
        <v>-0.5</v>
      </c>
      <c r="I254" s="70">
        <f>(reportTbl[[#This Row],[وزن تولید]]*unityCycleTime-reportTbl[[#This Row],[received TimeOut]])/(reportTbl[[#This Row],[available time]]*reportTbl[[#This Row],[تعداد نیرو]])</f>
        <v>0</v>
      </c>
      <c r="J254" s="71"/>
      <c r="K254" s="73"/>
      <c r="L254" s="73"/>
      <c r="M254" s="73"/>
      <c r="N254" s="73"/>
      <c r="O254" s="73">
        <v>0</v>
      </c>
      <c r="P254" s="72" t="s">
        <v>1019</v>
      </c>
      <c r="Q254" s="68">
        <f>_xlfn.XLOOKUP(reportTbl[[#This Row],[date]],IIITbl[date],IIITbl[totalCT],0)</f>
        <v>0</v>
      </c>
      <c r="R254" s="68">
        <v>30000</v>
      </c>
    </row>
    <row r="255" spans="1:18" ht="16.5">
      <c r="A255" s="7" t="s">
        <v>899</v>
      </c>
      <c r="B255" s="67" t="s">
        <v>115</v>
      </c>
      <c r="C255" s="68">
        <f>SUMIF(cutts[date],A255,cutts[num])</f>
        <v>0</v>
      </c>
      <c r="D255" s="68"/>
      <c r="E255" s="69">
        <f>SUMIF(packes[date],A255,packes[num])</f>
        <v>0</v>
      </c>
      <c r="F255" s="69">
        <f>SUMIF(packes[date],A255,packes[wPacked])</f>
        <v>0</v>
      </c>
      <c r="G255" s="69"/>
      <c r="H255" s="69">
        <f>reportTbl[[#This Row],[personels]]-reportTbl[[#This Row],[personels]]*2.5/22-0.5</f>
        <v>-0.5</v>
      </c>
      <c r="I255" s="70">
        <f>(reportTbl[[#This Row],[وزن تولید]]*unityCycleTime-reportTbl[[#This Row],[received TimeOut]])/(reportTbl[[#This Row],[available time]]*reportTbl[[#This Row],[تعداد نیرو]])</f>
        <v>0</v>
      </c>
      <c r="J255" s="71"/>
      <c r="K255" s="73"/>
      <c r="L255" s="73"/>
      <c r="M255" s="73"/>
      <c r="N255" s="73"/>
      <c r="O255" s="73">
        <v>0</v>
      </c>
      <c r="P255" s="72" t="s">
        <v>1019</v>
      </c>
      <c r="Q255" s="68">
        <f>_xlfn.XLOOKUP(reportTbl[[#This Row],[date]],IIITbl[date],IIITbl[totalCT],0)</f>
        <v>0</v>
      </c>
      <c r="R255" s="68">
        <v>30000</v>
      </c>
    </row>
    <row r="256" spans="1:18" ht="16.5">
      <c r="A256" s="7" t="s">
        <v>900</v>
      </c>
      <c r="B256" s="67" t="s">
        <v>116</v>
      </c>
      <c r="C256" s="68">
        <f>SUMIF(cutts[date],A256,cutts[num])</f>
        <v>0</v>
      </c>
      <c r="D256" s="68"/>
      <c r="E256" s="69">
        <f>SUMIF(packes[date],A256,packes[num])</f>
        <v>0</v>
      </c>
      <c r="F256" s="69">
        <f>SUMIF(packes[date],A256,packes[wPacked])</f>
        <v>0</v>
      </c>
      <c r="G256" s="69"/>
      <c r="H256" s="69">
        <f>reportTbl[[#This Row],[personels]]-reportTbl[[#This Row],[personels]]*2.5/22-0.5</f>
        <v>-0.5</v>
      </c>
      <c r="I256" s="70">
        <f>(reportTbl[[#This Row],[وزن تولید]]*unityCycleTime-reportTbl[[#This Row],[received TimeOut]])/(reportTbl[[#This Row],[available time]]*reportTbl[[#This Row],[تعداد نیرو]])</f>
        <v>0</v>
      </c>
      <c r="J256" s="71"/>
      <c r="K256" s="73"/>
      <c r="L256" s="73"/>
      <c r="M256" s="73"/>
      <c r="N256" s="73"/>
      <c r="O256" s="73">
        <v>0</v>
      </c>
      <c r="P256" s="72" t="s">
        <v>1019</v>
      </c>
      <c r="Q256" s="68">
        <f>_xlfn.XLOOKUP(reportTbl[[#This Row],[date]],IIITbl[date],IIITbl[totalCT],0)</f>
        <v>0</v>
      </c>
      <c r="R256" s="68">
        <v>30000</v>
      </c>
    </row>
    <row r="257" spans="1:18" ht="16.5">
      <c r="A257" s="7" t="s">
        <v>901</v>
      </c>
      <c r="B257" s="67" t="s">
        <v>117</v>
      </c>
      <c r="C257" s="68">
        <f>SUMIF(cutts[date],A257,cutts[num])</f>
        <v>0</v>
      </c>
      <c r="D257" s="68"/>
      <c r="E257" s="69">
        <f>SUMIF(packes[date],A257,packes[num])</f>
        <v>0</v>
      </c>
      <c r="F257" s="69">
        <f>SUMIF(packes[date],A257,packes[wPacked])</f>
        <v>0</v>
      </c>
      <c r="G257" s="69"/>
      <c r="H257" s="69">
        <f>reportTbl[[#This Row],[personels]]-reportTbl[[#This Row],[personels]]*2.5/22-0.5</f>
        <v>-0.5</v>
      </c>
      <c r="I257" s="70">
        <f>(reportTbl[[#This Row],[وزن تولید]]*unityCycleTime-reportTbl[[#This Row],[received TimeOut]])/(reportTbl[[#This Row],[available time]]*reportTbl[[#This Row],[تعداد نیرو]])</f>
        <v>0</v>
      </c>
      <c r="J257" s="71"/>
      <c r="K257" s="73"/>
      <c r="L257" s="73"/>
      <c r="M257" s="73"/>
      <c r="N257" s="73"/>
      <c r="O257" s="73">
        <v>0</v>
      </c>
      <c r="P257" s="72" t="s">
        <v>1019</v>
      </c>
      <c r="Q257" s="68">
        <f>_xlfn.XLOOKUP(reportTbl[[#This Row],[date]],IIITbl[date],IIITbl[totalCT],0)</f>
        <v>0</v>
      </c>
      <c r="R257" s="68">
        <v>30000</v>
      </c>
    </row>
    <row r="258" spans="1:18" ht="16.5">
      <c r="A258" s="7" t="s">
        <v>902</v>
      </c>
      <c r="B258" s="67" t="s">
        <v>118</v>
      </c>
      <c r="C258" s="68">
        <f>SUMIF(cutts[date],A258,cutts[num])</f>
        <v>0</v>
      </c>
      <c r="D258" s="68"/>
      <c r="E258" s="69">
        <f>SUMIF(packes[date],A258,packes[num])</f>
        <v>0</v>
      </c>
      <c r="F258" s="69">
        <f>SUMIF(packes[date],A258,packes[wPacked])</f>
        <v>0</v>
      </c>
      <c r="G258" s="69"/>
      <c r="H258" s="69">
        <f>reportTbl[[#This Row],[personels]]-reportTbl[[#This Row],[personels]]*2.5/22-0.5</f>
        <v>-0.5</v>
      </c>
      <c r="I258" s="70">
        <f>(reportTbl[[#This Row],[وزن تولید]]*unityCycleTime-reportTbl[[#This Row],[received TimeOut]])/(reportTbl[[#This Row],[available time]]*reportTbl[[#This Row],[تعداد نیرو]])</f>
        <v>0</v>
      </c>
      <c r="J258" s="71"/>
      <c r="K258" s="73"/>
      <c r="L258" s="73"/>
      <c r="M258" s="73"/>
      <c r="N258" s="73"/>
      <c r="O258" s="73">
        <v>0</v>
      </c>
      <c r="P258" s="72" t="s">
        <v>1019</v>
      </c>
      <c r="Q258" s="68">
        <f>_xlfn.XLOOKUP(reportTbl[[#This Row],[date]],IIITbl[date],IIITbl[totalCT],0)</f>
        <v>0</v>
      </c>
      <c r="R258" s="68">
        <v>30000</v>
      </c>
    </row>
    <row r="259" spans="1:18" ht="16.5">
      <c r="A259" s="7" t="s">
        <v>903</v>
      </c>
      <c r="B259" s="67" t="s">
        <v>119</v>
      </c>
      <c r="C259" s="68">
        <f>SUMIF(cutts[date],A259,cutts[num])</f>
        <v>0</v>
      </c>
      <c r="D259" s="68"/>
      <c r="E259" s="69">
        <f>SUMIF(packes[date],A259,packes[num])</f>
        <v>0</v>
      </c>
      <c r="F259" s="69">
        <f>SUMIF(packes[date],A259,packes[wPacked])</f>
        <v>0</v>
      </c>
      <c r="G259" s="69"/>
      <c r="H259" s="69">
        <f>reportTbl[[#This Row],[personels]]-reportTbl[[#This Row],[personels]]*2.5/22-0.5</f>
        <v>-0.5</v>
      </c>
      <c r="I259" s="70">
        <f>(reportTbl[[#This Row],[وزن تولید]]*unityCycleTime-reportTbl[[#This Row],[received TimeOut]])/(reportTbl[[#This Row],[available time]]*reportTbl[[#This Row],[تعداد نیرو]])</f>
        <v>0</v>
      </c>
      <c r="J259" s="71"/>
      <c r="K259" s="73"/>
      <c r="L259" s="73"/>
      <c r="M259" s="73"/>
      <c r="N259" s="73"/>
      <c r="O259" s="73">
        <v>0</v>
      </c>
      <c r="P259" s="72" t="s">
        <v>1019</v>
      </c>
      <c r="Q259" s="68">
        <f>_xlfn.XLOOKUP(reportTbl[[#This Row],[date]],IIITbl[date],IIITbl[totalCT],0)</f>
        <v>0</v>
      </c>
      <c r="R259" s="68">
        <v>30000</v>
      </c>
    </row>
    <row r="260" spans="1:18" ht="16.5">
      <c r="A260" s="7" t="s">
        <v>904</v>
      </c>
      <c r="B260" s="67" t="s">
        <v>120</v>
      </c>
      <c r="C260" s="68">
        <f>SUMIF(cutts[date],A260,cutts[num])</f>
        <v>0</v>
      </c>
      <c r="D260" s="68"/>
      <c r="E260" s="69">
        <f>SUMIF(packes[date],A260,packes[num])</f>
        <v>0</v>
      </c>
      <c r="F260" s="69">
        <f>SUMIF(packes[date],A260,packes[wPacked])</f>
        <v>0</v>
      </c>
      <c r="G260" s="69"/>
      <c r="H260" s="69">
        <f>reportTbl[[#This Row],[personels]]-reportTbl[[#This Row],[personels]]*2.5/22-0.5</f>
        <v>-0.5</v>
      </c>
      <c r="I260" s="70">
        <f>(reportTbl[[#This Row],[وزن تولید]]*unityCycleTime-reportTbl[[#This Row],[received TimeOut]])/(reportTbl[[#This Row],[available time]]*reportTbl[[#This Row],[تعداد نیرو]])</f>
        <v>0</v>
      </c>
      <c r="J260" s="71"/>
      <c r="K260" s="73"/>
      <c r="L260" s="73"/>
      <c r="M260" s="73"/>
      <c r="N260" s="73"/>
      <c r="O260" s="73">
        <v>0</v>
      </c>
      <c r="P260" s="72" t="s">
        <v>1019</v>
      </c>
      <c r="Q260" s="68">
        <f>_xlfn.XLOOKUP(reportTbl[[#This Row],[date]],IIITbl[date],IIITbl[totalCT],0)</f>
        <v>0</v>
      </c>
      <c r="R260" s="68">
        <v>30000</v>
      </c>
    </row>
    <row r="261" spans="1:18" ht="16.5">
      <c r="A261" s="7" t="s">
        <v>905</v>
      </c>
      <c r="B261" s="67" t="s">
        <v>121</v>
      </c>
      <c r="C261" s="68">
        <f>SUMIF(cutts[date],A261,cutts[num])</f>
        <v>0</v>
      </c>
      <c r="D261" s="68"/>
      <c r="E261" s="69">
        <f>SUMIF(packes[date],A261,packes[num])</f>
        <v>0</v>
      </c>
      <c r="F261" s="69">
        <f>SUMIF(packes[date],A261,packes[wPacked])</f>
        <v>0</v>
      </c>
      <c r="G261" s="69"/>
      <c r="H261" s="69">
        <f>reportTbl[[#This Row],[personels]]-reportTbl[[#This Row],[personels]]*2.5/22-0.5</f>
        <v>-0.5</v>
      </c>
      <c r="I261" s="70">
        <f>(reportTbl[[#This Row],[وزن تولید]]*unityCycleTime-reportTbl[[#This Row],[received TimeOut]])/(reportTbl[[#This Row],[available time]]*reportTbl[[#This Row],[تعداد نیرو]])</f>
        <v>0</v>
      </c>
      <c r="J261" s="71"/>
      <c r="K261" s="73"/>
      <c r="L261" s="73"/>
      <c r="M261" s="73"/>
      <c r="N261" s="73"/>
      <c r="O261" s="73">
        <v>0</v>
      </c>
      <c r="P261" s="72" t="s">
        <v>1019</v>
      </c>
      <c r="Q261" s="68">
        <f>_xlfn.XLOOKUP(reportTbl[[#This Row],[date]],IIITbl[date],IIITbl[totalCT],0)</f>
        <v>0</v>
      </c>
      <c r="R261" s="68">
        <v>30000</v>
      </c>
    </row>
    <row r="262" spans="1:18" ht="16.5">
      <c r="A262" s="7" t="s">
        <v>906</v>
      </c>
      <c r="B262" s="67" t="s">
        <v>115</v>
      </c>
      <c r="C262" s="68">
        <f>SUMIF(cutts[date],A262,cutts[num])</f>
        <v>0</v>
      </c>
      <c r="D262" s="68"/>
      <c r="E262" s="69">
        <f>SUMIF(packes[date],A262,packes[num])</f>
        <v>0</v>
      </c>
      <c r="F262" s="69">
        <f>SUMIF(packes[date],A262,packes[wPacked])</f>
        <v>0</v>
      </c>
      <c r="G262" s="69"/>
      <c r="H262" s="69">
        <f>reportTbl[[#This Row],[personels]]-reportTbl[[#This Row],[personels]]*2.5/22-0.5</f>
        <v>-0.5</v>
      </c>
      <c r="I262" s="70">
        <f>(reportTbl[[#This Row],[وزن تولید]]*unityCycleTime-reportTbl[[#This Row],[received TimeOut]])/(reportTbl[[#This Row],[available time]]*reportTbl[[#This Row],[تعداد نیرو]])</f>
        <v>0</v>
      </c>
      <c r="J262" s="71"/>
      <c r="K262" s="73"/>
      <c r="L262" s="73"/>
      <c r="M262" s="73"/>
      <c r="N262" s="73"/>
      <c r="O262" s="73">
        <v>0</v>
      </c>
      <c r="P262" s="72" t="s">
        <v>1019</v>
      </c>
      <c r="Q262" s="68">
        <f>_xlfn.XLOOKUP(reportTbl[[#This Row],[date]],IIITbl[date],IIITbl[totalCT],0)</f>
        <v>0</v>
      </c>
      <c r="R262" s="68">
        <v>30000</v>
      </c>
    </row>
    <row r="263" spans="1:18" ht="16.5">
      <c r="A263" s="7" t="s">
        <v>907</v>
      </c>
      <c r="B263" s="67" t="s">
        <v>116</v>
      </c>
      <c r="C263" s="68">
        <f>SUMIF(cutts[date],A263,cutts[num])</f>
        <v>0</v>
      </c>
      <c r="D263" s="68"/>
      <c r="E263" s="69">
        <f>SUMIF(packes[date],A263,packes[num])</f>
        <v>0</v>
      </c>
      <c r="F263" s="69">
        <f>SUMIF(packes[date],A263,packes[wPacked])</f>
        <v>0</v>
      </c>
      <c r="G263" s="69"/>
      <c r="H263" s="69">
        <f>reportTbl[[#This Row],[personels]]-reportTbl[[#This Row],[personels]]*2.5/22-0.5</f>
        <v>-0.5</v>
      </c>
      <c r="I263" s="70">
        <f>(reportTbl[[#This Row],[وزن تولید]]*unityCycleTime-reportTbl[[#This Row],[received TimeOut]])/(reportTbl[[#This Row],[available time]]*reportTbl[[#This Row],[تعداد نیرو]])</f>
        <v>0</v>
      </c>
      <c r="J263" s="71"/>
      <c r="K263" s="73"/>
      <c r="L263" s="73"/>
      <c r="M263" s="73"/>
      <c r="N263" s="73"/>
      <c r="O263" s="73">
        <v>0</v>
      </c>
      <c r="P263" s="72" t="s">
        <v>1019</v>
      </c>
      <c r="Q263" s="68">
        <f>_xlfn.XLOOKUP(reportTbl[[#This Row],[date]],IIITbl[date],IIITbl[totalCT],0)</f>
        <v>0</v>
      </c>
      <c r="R263" s="68">
        <v>30000</v>
      </c>
    </row>
    <row r="264" spans="1:18" ht="16.5">
      <c r="A264" s="7" t="s">
        <v>908</v>
      </c>
      <c r="B264" s="67" t="s">
        <v>117</v>
      </c>
      <c r="C264" s="68">
        <f>SUMIF(cutts[date],A264,cutts[num])</f>
        <v>0</v>
      </c>
      <c r="D264" s="68"/>
      <c r="E264" s="69">
        <f>SUMIF(packes[date],A264,packes[num])</f>
        <v>0</v>
      </c>
      <c r="F264" s="69">
        <f>SUMIF(packes[date],A264,packes[wPacked])</f>
        <v>0</v>
      </c>
      <c r="G264" s="69"/>
      <c r="H264" s="69">
        <f>reportTbl[[#This Row],[personels]]-reportTbl[[#This Row],[personels]]*2.5/22-0.5</f>
        <v>-0.5</v>
      </c>
      <c r="I264" s="70">
        <f>(reportTbl[[#This Row],[وزن تولید]]*unityCycleTime-reportTbl[[#This Row],[received TimeOut]])/(reportTbl[[#This Row],[available time]]*reportTbl[[#This Row],[تعداد نیرو]])</f>
        <v>0</v>
      </c>
      <c r="J264" s="71"/>
      <c r="K264" s="73"/>
      <c r="L264" s="73"/>
      <c r="M264" s="73"/>
      <c r="N264" s="73"/>
      <c r="O264" s="73">
        <v>0</v>
      </c>
      <c r="P264" s="72" t="s">
        <v>1019</v>
      </c>
      <c r="Q264" s="68">
        <f>_xlfn.XLOOKUP(reportTbl[[#This Row],[date]],IIITbl[date],IIITbl[totalCT],0)</f>
        <v>0</v>
      </c>
      <c r="R264" s="68">
        <v>30000</v>
      </c>
    </row>
    <row r="265" spans="1:18" ht="16.5">
      <c r="A265" s="7" t="s">
        <v>909</v>
      </c>
      <c r="B265" s="67" t="s">
        <v>118</v>
      </c>
      <c r="C265" s="68">
        <f>SUMIF(cutts[date],A265,cutts[num])</f>
        <v>0</v>
      </c>
      <c r="D265" s="68"/>
      <c r="E265" s="69">
        <f>SUMIF(packes[date],A265,packes[num])</f>
        <v>0</v>
      </c>
      <c r="F265" s="69">
        <f>SUMIF(packes[date],A265,packes[wPacked])</f>
        <v>0</v>
      </c>
      <c r="G265" s="69"/>
      <c r="H265" s="69">
        <f>reportTbl[[#This Row],[personels]]-reportTbl[[#This Row],[personels]]*2.5/22-0.5</f>
        <v>-0.5</v>
      </c>
      <c r="I265" s="70">
        <f>(reportTbl[[#This Row],[وزن تولید]]*unityCycleTime-reportTbl[[#This Row],[received TimeOut]])/(reportTbl[[#This Row],[available time]]*reportTbl[[#This Row],[تعداد نیرو]])</f>
        <v>0</v>
      </c>
      <c r="J265" s="71"/>
      <c r="K265" s="73"/>
      <c r="L265" s="73"/>
      <c r="M265" s="73"/>
      <c r="N265" s="73"/>
      <c r="O265" s="73">
        <v>0</v>
      </c>
      <c r="P265" s="72" t="s">
        <v>1019</v>
      </c>
      <c r="Q265" s="68">
        <f>_xlfn.XLOOKUP(reportTbl[[#This Row],[date]],IIITbl[date],IIITbl[totalCT],0)</f>
        <v>0</v>
      </c>
      <c r="R265" s="68">
        <v>30000</v>
      </c>
    </row>
    <row r="266" spans="1:18" ht="16.5">
      <c r="A266" s="7" t="s">
        <v>910</v>
      </c>
      <c r="B266" s="67" t="s">
        <v>119</v>
      </c>
      <c r="C266" s="68">
        <f>SUMIF(cutts[date],A266,cutts[num])</f>
        <v>0</v>
      </c>
      <c r="D266" s="68"/>
      <c r="E266" s="69">
        <f>SUMIF(packes[date],A266,packes[num])</f>
        <v>0</v>
      </c>
      <c r="F266" s="69">
        <f>SUMIF(packes[date],A266,packes[wPacked])</f>
        <v>0</v>
      </c>
      <c r="G266" s="69"/>
      <c r="H266" s="69">
        <f>reportTbl[[#This Row],[personels]]-reportTbl[[#This Row],[personels]]*2.5/22-0.5</f>
        <v>-0.5</v>
      </c>
      <c r="I266" s="70">
        <f>(reportTbl[[#This Row],[وزن تولید]]*unityCycleTime-reportTbl[[#This Row],[received TimeOut]])/(reportTbl[[#This Row],[available time]]*reportTbl[[#This Row],[تعداد نیرو]])</f>
        <v>0</v>
      </c>
      <c r="J266" s="71"/>
      <c r="K266" s="73"/>
      <c r="L266" s="73"/>
      <c r="M266" s="73"/>
      <c r="N266" s="73"/>
      <c r="O266" s="73">
        <v>0</v>
      </c>
      <c r="P266" s="72" t="s">
        <v>1019</v>
      </c>
      <c r="Q266" s="68">
        <f>_xlfn.XLOOKUP(reportTbl[[#This Row],[date]],IIITbl[date],IIITbl[totalCT],0)</f>
        <v>0</v>
      </c>
      <c r="R266" s="68">
        <v>30000</v>
      </c>
    </row>
    <row r="267" spans="1:18" ht="16.5">
      <c r="A267" s="7" t="s">
        <v>911</v>
      </c>
      <c r="B267" s="67" t="s">
        <v>120</v>
      </c>
      <c r="C267" s="68">
        <f>SUMIF(cutts[date],A267,cutts[num])</f>
        <v>0</v>
      </c>
      <c r="D267" s="68"/>
      <c r="E267" s="69">
        <f>SUMIF(packes[date],A267,packes[num])</f>
        <v>0</v>
      </c>
      <c r="F267" s="69">
        <f>SUMIF(packes[date],A267,packes[wPacked])</f>
        <v>0</v>
      </c>
      <c r="G267" s="69"/>
      <c r="H267" s="69">
        <f>reportTbl[[#This Row],[personels]]-reportTbl[[#This Row],[personels]]*2.5/22-0.5</f>
        <v>-0.5</v>
      </c>
      <c r="I267" s="70">
        <f>(reportTbl[[#This Row],[وزن تولید]]*unityCycleTime-reportTbl[[#This Row],[received TimeOut]])/(reportTbl[[#This Row],[available time]]*reportTbl[[#This Row],[تعداد نیرو]])</f>
        <v>0</v>
      </c>
      <c r="J267" s="71"/>
      <c r="K267" s="73"/>
      <c r="L267" s="73"/>
      <c r="M267" s="73"/>
      <c r="N267" s="73"/>
      <c r="O267" s="73">
        <v>0</v>
      </c>
      <c r="P267" s="72" t="s">
        <v>1019</v>
      </c>
      <c r="Q267" s="68">
        <f>_xlfn.XLOOKUP(reportTbl[[#This Row],[date]],IIITbl[date],IIITbl[totalCT],0)</f>
        <v>0</v>
      </c>
      <c r="R267" s="68">
        <v>30000</v>
      </c>
    </row>
    <row r="268" spans="1:18" ht="16.5">
      <c r="A268" s="7" t="s">
        <v>912</v>
      </c>
      <c r="B268" s="67" t="s">
        <v>121</v>
      </c>
      <c r="C268" s="68">
        <f>SUMIF(cutts[date],A268,cutts[num])</f>
        <v>0</v>
      </c>
      <c r="D268" s="68"/>
      <c r="E268" s="69">
        <f>SUMIF(packes[date],A268,packes[num])</f>
        <v>0</v>
      </c>
      <c r="F268" s="69">
        <f>SUMIF(packes[date],A268,packes[wPacked])</f>
        <v>0</v>
      </c>
      <c r="G268" s="69"/>
      <c r="H268" s="69">
        <f>reportTbl[[#This Row],[personels]]-reportTbl[[#This Row],[personels]]*2.5/22-0.5</f>
        <v>-0.5</v>
      </c>
      <c r="I268" s="70">
        <f>(reportTbl[[#This Row],[وزن تولید]]*unityCycleTime-reportTbl[[#This Row],[received TimeOut]])/(reportTbl[[#This Row],[available time]]*reportTbl[[#This Row],[تعداد نیرو]])</f>
        <v>0</v>
      </c>
      <c r="J268" s="71"/>
      <c r="K268" s="73"/>
      <c r="L268" s="73"/>
      <c r="M268" s="73"/>
      <c r="N268" s="73"/>
      <c r="O268" s="73">
        <v>0</v>
      </c>
      <c r="P268" s="72" t="s">
        <v>1019</v>
      </c>
      <c r="Q268" s="68">
        <f>_xlfn.XLOOKUP(reportTbl[[#This Row],[date]],IIITbl[date],IIITbl[totalCT],0)</f>
        <v>0</v>
      </c>
      <c r="R268" s="68">
        <v>30000</v>
      </c>
    </row>
    <row r="269" spans="1:18" ht="16.5">
      <c r="A269" s="7" t="s">
        <v>913</v>
      </c>
      <c r="B269" s="67" t="s">
        <v>115</v>
      </c>
      <c r="C269" s="68">
        <f>SUMIF(cutts[date],A269,cutts[num])</f>
        <v>0</v>
      </c>
      <c r="D269" s="68"/>
      <c r="E269" s="69">
        <f>SUMIF(packes[date],A269,packes[num])</f>
        <v>0</v>
      </c>
      <c r="F269" s="69">
        <f>SUMIF(packes[date],A269,packes[wPacked])</f>
        <v>0</v>
      </c>
      <c r="G269" s="69"/>
      <c r="H269" s="69">
        <f>reportTbl[[#This Row],[personels]]-reportTbl[[#This Row],[personels]]*2.5/22-0.5</f>
        <v>-0.5</v>
      </c>
      <c r="I269" s="70">
        <f>(reportTbl[[#This Row],[وزن تولید]]*unityCycleTime-reportTbl[[#This Row],[received TimeOut]])/(reportTbl[[#This Row],[available time]]*reportTbl[[#This Row],[تعداد نیرو]])</f>
        <v>0</v>
      </c>
      <c r="J269" s="71"/>
      <c r="K269" s="73"/>
      <c r="L269" s="73"/>
      <c r="M269" s="73"/>
      <c r="N269" s="73"/>
      <c r="O269" s="73">
        <v>0</v>
      </c>
      <c r="P269" s="72" t="s">
        <v>1019</v>
      </c>
      <c r="Q269" s="68">
        <f>_xlfn.XLOOKUP(reportTbl[[#This Row],[date]],IIITbl[date],IIITbl[totalCT],0)</f>
        <v>0</v>
      </c>
      <c r="R269" s="68">
        <v>30000</v>
      </c>
    </row>
    <row r="270" spans="1:18" ht="16.5">
      <c r="A270" s="7" t="s">
        <v>914</v>
      </c>
      <c r="B270" s="67" t="s">
        <v>116</v>
      </c>
      <c r="C270" s="68">
        <f>SUMIF(cutts[date],A270,cutts[num])</f>
        <v>0</v>
      </c>
      <c r="D270" s="68"/>
      <c r="E270" s="69">
        <f>SUMIF(packes[date],A270,packes[num])</f>
        <v>0</v>
      </c>
      <c r="F270" s="69">
        <f>SUMIF(packes[date],A270,packes[wPacked])</f>
        <v>0</v>
      </c>
      <c r="G270" s="69"/>
      <c r="H270" s="69">
        <f>reportTbl[[#This Row],[personels]]-reportTbl[[#This Row],[personels]]*2.5/22-0.5</f>
        <v>-0.5</v>
      </c>
      <c r="I270" s="70">
        <f>(reportTbl[[#This Row],[وزن تولید]]*unityCycleTime-reportTbl[[#This Row],[received TimeOut]])/(reportTbl[[#This Row],[available time]]*reportTbl[[#This Row],[تعداد نیرو]])</f>
        <v>0</v>
      </c>
      <c r="J270" s="71"/>
      <c r="K270" s="73"/>
      <c r="L270" s="73"/>
      <c r="M270" s="73"/>
      <c r="N270" s="73"/>
      <c r="O270" s="73">
        <v>0</v>
      </c>
      <c r="P270" s="72" t="s">
        <v>1019</v>
      </c>
      <c r="Q270" s="68">
        <f>_xlfn.XLOOKUP(reportTbl[[#This Row],[date]],IIITbl[date],IIITbl[totalCT],0)</f>
        <v>0</v>
      </c>
      <c r="R270" s="68">
        <v>30000</v>
      </c>
    </row>
    <row r="271" spans="1:18" ht="16.5">
      <c r="A271" s="7" t="s">
        <v>915</v>
      </c>
      <c r="B271" s="67" t="s">
        <v>117</v>
      </c>
      <c r="C271" s="68">
        <f>SUMIF(cutts[date],A271,cutts[num])</f>
        <v>0</v>
      </c>
      <c r="D271" s="68"/>
      <c r="E271" s="69">
        <f>SUMIF(packes[date],A271,packes[num])</f>
        <v>0</v>
      </c>
      <c r="F271" s="69">
        <f>SUMIF(packes[date],A271,packes[wPacked])</f>
        <v>0</v>
      </c>
      <c r="G271" s="69"/>
      <c r="H271" s="69">
        <f>reportTbl[[#This Row],[personels]]-reportTbl[[#This Row],[personels]]*2.5/22-0.5</f>
        <v>-0.5</v>
      </c>
      <c r="I271" s="70">
        <f>(reportTbl[[#This Row],[وزن تولید]]*unityCycleTime-reportTbl[[#This Row],[received TimeOut]])/(reportTbl[[#This Row],[available time]]*reportTbl[[#This Row],[تعداد نیرو]])</f>
        <v>0</v>
      </c>
      <c r="J271" s="71"/>
      <c r="K271" s="73"/>
      <c r="L271" s="73"/>
      <c r="M271" s="73"/>
      <c r="N271" s="73"/>
      <c r="O271" s="73">
        <v>0</v>
      </c>
      <c r="P271" s="72" t="s">
        <v>1019</v>
      </c>
      <c r="Q271" s="68">
        <f>_xlfn.XLOOKUP(reportTbl[[#This Row],[date]],IIITbl[date],IIITbl[totalCT],0)</f>
        <v>0</v>
      </c>
      <c r="R271" s="68">
        <v>30000</v>
      </c>
    </row>
    <row r="272" spans="1:18" ht="16.5">
      <c r="A272" s="7" t="s">
        <v>916</v>
      </c>
      <c r="B272" s="67" t="s">
        <v>118</v>
      </c>
      <c r="C272" s="68">
        <f>SUMIF(cutts[date],A272,cutts[num])</f>
        <v>0</v>
      </c>
      <c r="D272" s="68"/>
      <c r="E272" s="69">
        <f>SUMIF(packes[date],A272,packes[num])</f>
        <v>0</v>
      </c>
      <c r="F272" s="69">
        <f>SUMIF(packes[date],A272,packes[wPacked])</f>
        <v>0</v>
      </c>
      <c r="G272" s="69"/>
      <c r="H272" s="69">
        <f>reportTbl[[#This Row],[personels]]-reportTbl[[#This Row],[personels]]*2.5/22-0.5</f>
        <v>-0.5</v>
      </c>
      <c r="I272" s="70">
        <f>(reportTbl[[#This Row],[وزن تولید]]*unityCycleTime-reportTbl[[#This Row],[received TimeOut]])/(reportTbl[[#This Row],[available time]]*reportTbl[[#This Row],[تعداد نیرو]])</f>
        <v>0</v>
      </c>
      <c r="J272" s="71"/>
      <c r="K272" s="73"/>
      <c r="L272" s="73"/>
      <c r="M272" s="73"/>
      <c r="N272" s="73"/>
      <c r="O272" s="73">
        <v>0</v>
      </c>
      <c r="P272" s="72" t="s">
        <v>1019</v>
      </c>
      <c r="Q272" s="68">
        <f>_xlfn.XLOOKUP(reportTbl[[#This Row],[date]],IIITbl[date],IIITbl[totalCT],0)</f>
        <v>0</v>
      </c>
      <c r="R272" s="68">
        <v>30000</v>
      </c>
    </row>
    <row r="273" spans="1:18" ht="16.5">
      <c r="A273" s="7" t="s">
        <v>917</v>
      </c>
      <c r="B273" s="67" t="s">
        <v>119</v>
      </c>
      <c r="C273" s="68">
        <f>SUMIF(cutts[date],A273,cutts[num])</f>
        <v>0</v>
      </c>
      <c r="D273" s="68"/>
      <c r="E273" s="69">
        <f>SUMIF(packes[date],A273,packes[num])</f>
        <v>0</v>
      </c>
      <c r="F273" s="69">
        <f>SUMIF(packes[date],A273,packes[wPacked])</f>
        <v>0</v>
      </c>
      <c r="G273" s="69"/>
      <c r="H273" s="69">
        <f>reportTbl[[#This Row],[personels]]-reportTbl[[#This Row],[personels]]*2.5/22-0.5</f>
        <v>-0.5</v>
      </c>
      <c r="I273" s="70">
        <f>(reportTbl[[#This Row],[وزن تولید]]*unityCycleTime-reportTbl[[#This Row],[received TimeOut]])/(reportTbl[[#This Row],[available time]]*reportTbl[[#This Row],[تعداد نیرو]])</f>
        <v>0</v>
      </c>
      <c r="J273" s="71"/>
      <c r="K273" s="73"/>
      <c r="L273" s="73"/>
      <c r="M273" s="73"/>
      <c r="N273" s="73"/>
      <c r="O273" s="73">
        <v>0</v>
      </c>
      <c r="P273" s="72" t="s">
        <v>1019</v>
      </c>
      <c r="Q273" s="68">
        <f>_xlfn.XLOOKUP(reportTbl[[#This Row],[date]],IIITbl[date],IIITbl[totalCT],0)</f>
        <v>0</v>
      </c>
      <c r="R273" s="68">
        <v>30000</v>
      </c>
    </row>
    <row r="274" spans="1:18" ht="16.5">
      <c r="A274" s="7" t="s">
        <v>918</v>
      </c>
      <c r="B274" s="67" t="s">
        <v>120</v>
      </c>
      <c r="C274" s="68">
        <f>SUMIF(cutts[date],A274,cutts[num])</f>
        <v>0</v>
      </c>
      <c r="D274" s="68"/>
      <c r="E274" s="69">
        <f>SUMIF(packes[date],A274,packes[num])</f>
        <v>0</v>
      </c>
      <c r="F274" s="69">
        <f>SUMIF(packes[date],A274,packes[wPacked])</f>
        <v>0</v>
      </c>
      <c r="G274" s="69"/>
      <c r="H274" s="69">
        <f>reportTbl[[#This Row],[personels]]-reportTbl[[#This Row],[personels]]*2.5/22-0.5</f>
        <v>-0.5</v>
      </c>
      <c r="I274" s="70">
        <f>(reportTbl[[#This Row],[وزن تولید]]*unityCycleTime-reportTbl[[#This Row],[received TimeOut]])/(reportTbl[[#This Row],[available time]]*reportTbl[[#This Row],[تعداد نیرو]])</f>
        <v>0</v>
      </c>
      <c r="J274" s="71"/>
      <c r="K274" s="73"/>
      <c r="L274" s="73"/>
      <c r="M274" s="73"/>
      <c r="N274" s="73"/>
      <c r="O274" s="73">
        <v>0</v>
      </c>
      <c r="P274" s="72" t="s">
        <v>1019</v>
      </c>
      <c r="Q274" s="68">
        <f>_xlfn.XLOOKUP(reportTbl[[#This Row],[date]],IIITbl[date],IIITbl[totalCT],0)</f>
        <v>0</v>
      </c>
      <c r="R274" s="68">
        <v>30000</v>
      </c>
    </row>
    <row r="275" spans="1:18" ht="16.5">
      <c r="A275" s="7" t="s">
        <v>919</v>
      </c>
      <c r="B275" s="67" t="s">
        <v>121</v>
      </c>
      <c r="C275" s="68">
        <f>SUMIF(cutts[date],A275,cutts[num])</f>
        <v>0</v>
      </c>
      <c r="D275" s="68"/>
      <c r="E275" s="69">
        <f>SUMIF(packes[date],A275,packes[num])</f>
        <v>0</v>
      </c>
      <c r="F275" s="69">
        <f>SUMIF(packes[date],A275,packes[wPacked])</f>
        <v>0</v>
      </c>
      <c r="G275" s="69"/>
      <c r="H275" s="69">
        <f>reportTbl[[#This Row],[personels]]-reportTbl[[#This Row],[personels]]*2.5/22-0.5</f>
        <v>-0.5</v>
      </c>
      <c r="I275" s="70">
        <f>(reportTbl[[#This Row],[وزن تولید]]*unityCycleTime-reportTbl[[#This Row],[received TimeOut]])/(reportTbl[[#This Row],[available time]]*reportTbl[[#This Row],[تعداد نیرو]])</f>
        <v>0</v>
      </c>
      <c r="J275" s="71"/>
      <c r="K275" s="73"/>
      <c r="L275" s="73"/>
      <c r="M275" s="73"/>
      <c r="N275" s="73"/>
      <c r="O275" s="73">
        <v>0</v>
      </c>
      <c r="P275" s="72" t="s">
        <v>1019</v>
      </c>
      <c r="Q275" s="68">
        <f>_xlfn.XLOOKUP(reportTbl[[#This Row],[date]],IIITbl[date],IIITbl[totalCT],0)</f>
        <v>0</v>
      </c>
      <c r="R275" s="68">
        <v>30000</v>
      </c>
    </row>
    <row r="276" spans="1:18" ht="16.5">
      <c r="A276" s="7" t="s">
        <v>920</v>
      </c>
      <c r="B276" s="67" t="s">
        <v>115</v>
      </c>
      <c r="C276" s="68">
        <f>SUMIF(cutts[date],A276,cutts[num])</f>
        <v>0</v>
      </c>
      <c r="D276" s="68"/>
      <c r="E276" s="69">
        <f>SUMIF(packes[date],A276,packes[num])</f>
        <v>0</v>
      </c>
      <c r="F276" s="69">
        <f>SUMIF(packes[date],A276,packes[wPacked])</f>
        <v>0</v>
      </c>
      <c r="G276" s="69"/>
      <c r="H276" s="69">
        <f>reportTbl[[#This Row],[personels]]-reportTbl[[#This Row],[personels]]*2.5/22-0.5</f>
        <v>-0.5</v>
      </c>
      <c r="I276" s="70">
        <f>(reportTbl[[#This Row],[وزن تولید]]*unityCycleTime-reportTbl[[#This Row],[received TimeOut]])/(reportTbl[[#This Row],[available time]]*reportTbl[[#This Row],[تعداد نیرو]])</f>
        <v>0</v>
      </c>
      <c r="J276" s="71"/>
      <c r="K276" s="73"/>
      <c r="L276" s="73"/>
      <c r="M276" s="73"/>
      <c r="N276" s="73"/>
      <c r="O276" s="73">
        <v>0</v>
      </c>
      <c r="P276" s="72" t="s">
        <v>1019</v>
      </c>
      <c r="Q276" s="68">
        <f>_xlfn.XLOOKUP(reportTbl[[#This Row],[date]],IIITbl[date],IIITbl[totalCT],0)</f>
        <v>0</v>
      </c>
      <c r="R276" s="68">
        <v>30000</v>
      </c>
    </row>
    <row r="277" spans="1:18" ht="16.5">
      <c r="A277" s="7" t="s">
        <v>921</v>
      </c>
      <c r="B277" s="67" t="s">
        <v>116</v>
      </c>
      <c r="C277" s="68">
        <f>SUMIF(cutts[date],A277,cutts[num])</f>
        <v>0</v>
      </c>
      <c r="D277" s="68"/>
      <c r="E277" s="69">
        <f>SUMIF(packes[date],A277,packes[num])</f>
        <v>0</v>
      </c>
      <c r="F277" s="69">
        <f>SUMIF(packes[date],A277,packes[wPacked])</f>
        <v>0</v>
      </c>
      <c r="G277" s="69"/>
      <c r="H277" s="69">
        <f>reportTbl[[#This Row],[personels]]-reportTbl[[#This Row],[personels]]*2.5/22-0.5</f>
        <v>-0.5</v>
      </c>
      <c r="I277" s="70">
        <f>(reportTbl[[#This Row],[وزن تولید]]*unityCycleTime-reportTbl[[#This Row],[received TimeOut]])/(reportTbl[[#This Row],[available time]]*reportTbl[[#This Row],[تعداد نیرو]])</f>
        <v>0</v>
      </c>
      <c r="J277" s="71"/>
      <c r="K277" s="73"/>
      <c r="L277" s="73"/>
      <c r="M277" s="73"/>
      <c r="N277" s="73"/>
      <c r="O277" s="73">
        <v>0</v>
      </c>
      <c r="P277" s="72" t="s">
        <v>1019</v>
      </c>
      <c r="Q277" s="68">
        <f>_xlfn.XLOOKUP(reportTbl[[#This Row],[date]],IIITbl[date],IIITbl[totalCT],0)</f>
        <v>0</v>
      </c>
      <c r="R277" s="68">
        <v>30000</v>
      </c>
    </row>
    <row r="278" spans="1:18" ht="16.5">
      <c r="A278" s="7" t="s">
        <v>922</v>
      </c>
      <c r="B278" s="67" t="s">
        <v>117</v>
      </c>
      <c r="C278" s="68">
        <f>SUMIF(cutts[date],A278,cutts[num])</f>
        <v>0</v>
      </c>
      <c r="D278" s="68"/>
      <c r="E278" s="69">
        <f>SUMIF(packes[date],A278,packes[num])</f>
        <v>0</v>
      </c>
      <c r="F278" s="69">
        <f>SUMIF(packes[date],A278,packes[wPacked])</f>
        <v>0</v>
      </c>
      <c r="G278" s="69"/>
      <c r="H278" s="69">
        <f>reportTbl[[#This Row],[personels]]-reportTbl[[#This Row],[personels]]*2.5/22-0.5</f>
        <v>-0.5</v>
      </c>
      <c r="I278" s="70">
        <f>(reportTbl[[#This Row],[وزن تولید]]*unityCycleTime-reportTbl[[#This Row],[received TimeOut]])/(reportTbl[[#This Row],[available time]]*reportTbl[[#This Row],[تعداد نیرو]])</f>
        <v>0</v>
      </c>
      <c r="J278" s="71"/>
      <c r="K278" s="73"/>
      <c r="L278" s="73"/>
      <c r="M278" s="73"/>
      <c r="N278" s="73"/>
      <c r="O278" s="73">
        <v>0</v>
      </c>
      <c r="P278" s="72" t="s">
        <v>304</v>
      </c>
      <c r="Q278" s="68">
        <f>_xlfn.XLOOKUP(reportTbl[[#This Row],[date]],IIITbl[date],IIITbl[totalCT],0)</f>
        <v>0</v>
      </c>
      <c r="R278" s="68">
        <v>30000</v>
      </c>
    </row>
    <row r="279" spans="1:18" ht="16.5">
      <c r="A279" s="7" t="s">
        <v>923</v>
      </c>
      <c r="B279" s="67" t="s">
        <v>118</v>
      </c>
      <c r="C279" s="68">
        <f>SUMIF(cutts[date],A279,cutts[num])</f>
        <v>0</v>
      </c>
      <c r="D279" s="68"/>
      <c r="E279" s="69">
        <f>SUMIF(packes[date],A279,packes[num])</f>
        <v>0</v>
      </c>
      <c r="F279" s="69">
        <f>SUMIF(packes[date],A279,packes[wPacked])</f>
        <v>0</v>
      </c>
      <c r="G279" s="69"/>
      <c r="H279" s="69">
        <f>reportTbl[[#This Row],[personels]]-reportTbl[[#This Row],[personels]]*2.5/22-0.5</f>
        <v>-0.5</v>
      </c>
      <c r="I279" s="70">
        <f>(reportTbl[[#This Row],[وزن تولید]]*unityCycleTime-reportTbl[[#This Row],[received TimeOut]])/(reportTbl[[#This Row],[available time]]*reportTbl[[#This Row],[تعداد نیرو]])</f>
        <v>0</v>
      </c>
      <c r="J279" s="71"/>
      <c r="K279" s="73"/>
      <c r="L279" s="73"/>
      <c r="M279" s="73"/>
      <c r="N279" s="73"/>
      <c r="O279" s="73">
        <v>0</v>
      </c>
      <c r="P279" s="72" t="s">
        <v>304</v>
      </c>
      <c r="Q279" s="68">
        <f>_xlfn.XLOOKUP(reportTbl[[#This Row],[date]],IIITbl[date],IIITbl[totalCT],0)</f>
        <v>0</v>
      </c>
      <c r="R279" s="68">
        <v>30000</v>
      </c>
    </row>
    <row r="280" spans="1:18" ht="16.5">
      <c r="A280" s="7" t="s">
        <v>924</v>
      </c>
      <c r="B280" s="67" t="s">
        <v>119</v>
      </c>
      <c r="C280" s="68">
        <f>SUMIF(cutts[date],A280,cutts[num])</f>
        <v>0</v>
      </c>
      <c r="D280" s="68"/>
      <c r="E280" s="69">
        <f>SUMIF(packes[date],A280,packes[num])</f>
        <v>0</v>
      </c>
      <c r="F280" s="69">
        <f>SUMIF(packes[date],A280,packes[wPacked])</f>
        <v>0</v>
      </c>
      <c r="G280" s="69"/>
      <c r="H280" s="69">
        <f>reportTbl[[#This Row],[personels]]-reportTbl[[#This Row],[personels]]*2.5/22-0.5</f>
        <v>-0.5</v>
      </c>
      <c r="I280" s="70">
        <f>(reportTbl[[#This Row],[وزن تولید]]*unityCycleTime-reportTbl[[#This Row],[received TimeOut]])/(reportTbl[[#This Row],[available time]]*reportTbl[[#This Row],[تعداد نیرو]])</f>
        <v>0</v>
      </c>
      <c r="J280" s="71"/>
      <c r="K280" s="73"/>
      <c r="L280" s="73"/>
      <c r="M280" s="73"/>
      <c r="N280" s="73"/>
      <c r="O280" s="73">
        <v>0</v>
      </c>
      <c r="P280" s="72" t="s">
        <v>304</v>
      </c>
      <c r="Q280" s="68">
        <f>_xlfn.XLOOKUP(reportTbl[[#This Row],[date]],IIITbl[date],IIITbl[totalCT],0)</f>
        <v>0</v>
      </c>
      <c r="R280" s="68">
        <v>30000</v>
      </c>
    </row>
    <row r="281" spans="1:18" ht="16.5">
      <c r="A281" s="7" t="s">
        <v>925</v>
      </c>
      <c r="B281" s="67" t="s">
        <v>120</v>
      </c>
      <c r="C281" s="68">
        <f>SUMIF(cutts[date],A281,cutts[num])</f>
        <v>0</v>
      </c>
      <c r="D281" s="68"/>
      <c r="E281" s="69">
        <f>SUMIF(packes[date],A281,packes[num])</f>
        <v>0</v>
      </c>
      <c r="F281" s="69">
        <f>SUMIF(packes[date],A281,packes[wPacked])</f>
        <v>0</v>
      </c>
      <c r="G281" s="69"/>
      <c r="H281" s="69">
        <f>reportTbl[[#This Row],[personels]]-reportTbl[[#This Row],[personels]]*2.5/22-0.5</f>
        <v>-0.5</v>
      </c>
      <c r="I281" s="70">
        <f>(reportTbl[[#This Row],[وزن تولید]]*unityCycleTime-reportTbl[[#This Row],[received TimeOut]])/(reportTbl[[#This Row],[available time]]*reportTbl[[#This Row],[تعداد نیرو]])</f>
        <v>0</v>
      </c>
      <c r="J281" s="71"/>
      <c r="K281" s="73"/>
      <c r="L281" s="73"/>
      <c r="M281" s="73"/>
      <c r="N281" s="73"/>
      <c r="O281" s="73">
        <v>0</v>
      </c>
      <c r="P281" s="72" t="s">
        <v>304</v>
      </c>
      <c r="Q281" s="68">
        <f>_xlfn.XLOOKUP(reportTbl[[#This Row],[date]],IIITbl[date],IIITbl[totalCT],0)</f>
        <v>0</v>
      </c>
      <c r="R281" s="68">
        <v>30000</v>
      </c>
    </row>
    <row r="282" spans="1:18" ht="16.5">
      <c r="A282" s="7" t="s">
        <v>926</v>
      </c>
      <c r="B282" s="67" t="s">
        <v>121</v>
      </c>
      <c r="C282" s="68">
        <f>SUMIF(cutts[date],A282,cutts[num])</f>
        <v>0</v>
      </c>
      <c r="D282" s="68"/>
      <c r="E282" s="69">
        <f>SUMIF(packes[date],A282,packes[num])</f>
        <v>0</v>
      </c>
      <c r="F282" s="69">
        <f>SUMIF(packes[date],A282,packes[wPacked])</f>
        <v>0</v>
      </c>
      <c r="G282" s="69"/>
      <c r="H282" s="69">
        <f>reportTbl[[#This Row],[personels]]-reportTbl[[#This Row],[personels]]*2.5/22-0.5</f>
        <v>-0.5</v>
      </c>
      <c r="I282" s="70">
        <f>(reportTbl[[#This Row],[وزن تولید]]*unityCycleTime-reportTbl[[#This Row],[received TimeOut]])/(reportTbl[[#This Row],[available time]]*reportTbl[[#This Row],[تعداد نیرو]])</f>
        <v>0</v>
      </c>
      <c r="J282" s="71"/>
      <c r="K282" s="73"/>
      <c r="L282" s="73"/>
      <c r="M282" s="73"/>
      <c r="N282" s="73"/>
      <c r="O282" s="73">
        <v>0</v>
      </c>
      <c r="P282" s="72" t="s">
        <v>304</v>
      </c>
      <c r="Q282" s="68">
        <f>_xlfn.XLOOKUP(reportTbl[[#This Row],[date]],IIITbl[date],IIITbl[totalCT],0)</f>
        <v>0</v>
      </c>
      <c r="R282" s="68">
        <v>30000</v>
      </c>
    </row>
    <row r="283" spans="1:18" ht="16.5">
      <c r="A283" s="7" t="s">
        <v>927</v>
      </c>
      <c r="B283" s="67" t="s">
        <v>115</v>
      </c>
      <c r="C283" s="68">
        <f>SUMIF(cutts[date],A283,cutts[num])</f>
        <v>0</v>
      </c>
      <c r="D283" s="68"/>
      <c r="E283" s="69">
        <f>SUMIF(packes[date],A283,packes[num])</f>
        <v>0</v>
      </c>
      <c r="F283" s="69">
        <f>SUMIF(packes[date],A283,packes[wPacked])</f>
        <v>0</v>
      </c>
      <c r="G283" s="69"/>
      <c r="H283" s="69">
        <f>reportTbl[[#This Row],[personels]]-reportTbl[[#This Row],[personels]]*2.5/22-0.5</f>
        <v>-0.5</v>
      </c>
      <c r="I283" s="70">
        <f>(reportTbl[[#This Row],[وزن تولید]]*unityCycleTime-reportTbl[[#This Row],[received TimeOut]])/(reportTbl[[#This Row],[available time]]*reportTbl[[#This Row],[تعداد نیرو]])</f>
        <v>0</v>
      </c>
      <c r="J283" s="71"/>
      <c r="K283" s="73"/>
      <c r="L283" s="73"/>
      <c r="M283" s="73"/>
      <c r="N283" s="73"/>
      <c r="O283" s="73">
        <v>0</v>
      </c>
      <c r="P283" s="72" t="s">
        <v>304</v>
      </c>
      <c r="Q283" s="68">
        <f>_xlfn.XLOOKUP(reportTbl[[#This Row],[date]],IIITbl[date],IIITbl[totalCT],0)</f>
        <v>0</v>
      </c>
      <c r="R283" s="68">
        <v>30000</v>
      </c>
    </row>
    <row r="284" spans="1:18" ht="16.5">
      <c r="A284" s="7" t="s">
        <v>928</v>
      </c>
      <c r="B284" s="67" t="s">
        <v>116</v>
      </c>
      <c r="C284" s="68">
        <f>SUMIF(cutts[date],A284,cutts[num])</f>
        <v>0</v>
      </c>
      <c r="D284" s="68"/>
      <c r="E284" s="69">
        <f>SUMIF(packes[date],A284,packes[num])</f>
        <v>0</v>
      </c>
      <c r="F284" s="69">
        <f>SUMIF(packes[date],A284,packes[wPacked])</f>
        <v>0</v>
      </c>
      <c r="G284" s="69"/>
      <c r="H284" s="69">
        <f>reportTbl[[#This Row],[personels]]-reportTbl[[#This Row],[personels]]*2.5/22-0.5</f>
        <v>-0.5</v>
      </c>
      <c r="I284" s="70">
        <f>(reportTbl[[#This Row],[وزن تولید]]*unityCycleTime-reportTbl[[#This Row],[received TimeOut]])/(reportTbl[[#This Row],[available time]]*reportTbl[[#This Row],[تعداد نیرو]])</f>
        <v>0</v>
      </c>
      <c r="J284" s="71"/>
      <c r="K284" s="73"/>
      <c r="L284" s="73"/>
      <c r="M284" s="73"/>
      <c r="N284" s="73"/>
      <c r="O284" s="73">
        <v>0</v>
      </c>
      <c r="P284" s="72" t="s">
        <v>304</v>
      </c>
      <c r="Q284" s="68">
        <f>_xlfn.XLOOKUP(reportTbl[[#This Row],[date]],IIITbl[date],IIITbl[totalCT],0)</f>
        <v>0</v>
      </c>
      <c r="R284" s="68">
        <v>30000</v>
      </c>
    </row>
    <row r="285" spans="1:18" ht="16.5">
      <c r="A285" s="7" t="s">
        <v>929</v>
      </c>
      <c r="B285" s="67" t="s">
        <v>117</v>
      </c>
      <c r="C285" s="68">
        <f>SUMIF(cutts[date],A285,cutts[num])</f>
        <v>0</v>
      </c>
      <c r="D285" s="68"/>
      <c r="E285" s="69">
        <f>SUMIF(packes[date],A285,packes[num])</f>
        <v>0</v>
      </c>
      <c r="F285" s="69">
        <f>SUMIF(packes[date],A285,packes[wPacked])</f>
        <v>0</v>
      </c>
      <c r="G285" s="69"/>
      <c r="H285" s="69">
        <f>reportTbl[[#This Row],[personels]]-reportTbl[[#This Row],[personels]]*2.5/22-0.5</f>
        <v>-0.5</v>
      </c>
      <c r="I285" s="70">
        <f>(reportTbl[[#This Row],[وزن تولید]]*unityCycleTime-reportTbl[[#This Row],[received TimeOut]])/(reportTbl[[#This Row],[available time]]*reportTbl[[#This Row],[تعداد نیرو]])</f>
        <v>0</v>
      </c>
      <c r="J285" s="71"/>
      <c r="K285" s="73"/>
      <c r="L285" s="73"/>
      <c r="M285" s="73"/>
      <c r="N285" s="73"/>
      <c r="O285" s="73">
        <v>0</v>
      </c>
      <c r="P285" s="72" t="s">
        <v>304</v>
      </c>
      <c r="Q285" s="68">
        <f>_xlfn.XLOOKUP(reportTbl[[#This Row],[date]],IIITbl[date],IIITbl[totalCT],0)</f>
        <v>0</v>
      </c>
      <c r="R285" s="68">
        <v>30000</v>
      </c>
    </row>
    <row r="286" spans="1:18" ht="16.5">
      <c r="A286" s="7" t="s">
        <v>930</v>
      </c>
      <c r="B286" s="67" t="s">
        <v>118</v>
      </c>
      <c r="C286" s="68">
        <f>SUMIF(cutts[date],A286,cutts[num])</f>
        <v>0</v>
      </c>
      <c r="D286" s="68"/>
      <c r="E286" s="69">
        <f>SUMIF(packes[date],A286,packes[num])</f>
        <v>0</v>
      </c>
      <c r="F286" s="69">
        <f>SUMIF(packes[date],A286,packes[wPacked])</f>
        <v>0</v>
      </c>
      <c r="G286" s="69"/>
      <c r="H286" s="69">
        <f>reportTbl[[#This Row],[personels]]-reportTbl[[#This Row],[personels]]*2.5/22-0.5</f>
        <v>-0.5</v>
      </c>
      <c r="I286" s="70">
        <f>(reportTbl[[#This Row],[وزن تولید]]*unityCycleTime-reportTbl[[#This Row],[received TimeOut]])/(reportTbl[[#This Row],[available time]]*reportTbl[[#This Row],[تعداد نیرو]])</f>
        <v>0</v>
      </c>
      <c r="J286" s="71"/>
      <c r="K286" s="73"/>
      <c r="L286" s="73"/>
      <c r="M286" s="73"/>
      <c r="N286" s="73"/>
      <c r="O286" s="73">
        <v>0</v>
      </c>
      <c r="P286" s="72" t="s">
        <v>304</v>
      </c>
      <c r="Q286" s="68">
        <f>_xlfn.XLOOKUP(reportTbl[[#This Row],[date]],IIITbl[date],IIITbl[totalCT],0)</f>
        <v>0</v>
      </c>
      <c r="R286" s="68">
        <v>30000</v>
      </c>
    </row>
    <row r="287" spans="1:18" ht="16.5">
      <c r="A287" s="7" t="s">
        <v>931</v>
      </c>
      <c r="B287" s="67" t="s">
        <v>119</v>
      </c>
      <c r="C287" s="68">
        <f>SUMIF(cutts[date],A287,cutts[num])</f>
        <v>0</v>
      </c>
      <c r="D287" s="68"/>
      <c r="E287" s="69">
        <f>SUMIF(packes[date],A287,packes[num])</f>
        <v>0</v>
      </c>
      <c r="F287" s="69">
        <f>SUMIF(packes[date],A287,packes[wPacked])</f>
        <v>0</v>
      </c>
      <c r="G287" s="69"/>
      <c r="H287" s="69">
        <f>reportTbl[[#This Row],[personels]]-reportTbl[[#This Row],[personels]]*2.5/22-0.5</f>
        <v>-0.5</v>
      </c>
      <c r="I287" s="70">
        <f>(reportTbl[[#This Row],[وزن تولید]]*unityCycleTime-reportTbl[[#This Row],[received TimeOut]])/(reportTbl[[#This Row],[available time]]*reportTbl[[#This Row],[تعداد نیرو]])</f>
        <v>0</v>
      </c>
      <c r="J287" s="71"/>
      <c r="K287" s="73"/>
      <c r="L287" s="73"/>
      <c r="M287" s="73"/>
      <c r="N287" s="73"/>
      <c r="O287" s="73">
        <v>0</v>
      </c>
      <c r="P287" s="72" t="s">
        <v>304</v>
      </c>
      <c r="Q287" s="68">
        <f>_xlfn.XLOOKUP(reportTbl[[#This Row],[date]],IIITbl[date],IIITbl[totalCT],0)</f>
        <v>0</v>
      </c>
      <c r="R287" s="68">
        <v>30000</v>
      </c>
    </row>
    <row r="288" spans="1:18" ht="16.5">
      <c r="A288" s="7" t="s">
        <v>932</v>
      </c>
      <c r="B288" s="67" t="s">
        <v>120</v>
      </c>
      <c r="C288" s="68">
        <f>SUMIF(cutts[date],A288,cutts[num])</f>
        <v>0</v>
      </c>
      <c r="D288" s="68"/>
      <c r="E288" s="69">
        <f>SUMIF(packes[date],A288,packes[num])</f>
        <v>0</v>
      </c>
      <c r="F288" s="69">
        <f>SUMIF(packes[date],A288,packes[wPacked])</f>
        <v>0</v>
      </c>
      <c r="G288" s="69"/>
      <c r="H288" s="69">
        <f>reportTbl[[#This Row],[personels]]-reportTbl[[#This Row],[personels]]*2.5/22-0.5</f>
        <v>-0.5</v>
      </c>
      <c r="I288" s="70">
        <f>(reportTbl[[#This Row],[وزن تولید]]*unityCycleTime-reportTbl[[#This Row],[received TimeOut]])/(reportTbl[[#This Row],[available time]]*reportTbl[[#This Row],[تعداد نیرو]])</f>
        <v>0</v>
      </c>
      <c r="J288" s="71"/>
      <c r="K288" s="73"/>
      <c r="L288" s="73"/>
      <c r="M288" s="73"/>
      <c r="N288" s="73"/>
      <c r="O288" s="73">
        <v>0</v>
      </c>
      <c r="P288" s="72" t="s">
        <v>304</v>
      </c>
      <c r="Q288" s="68">
        <f>_xlfn.XLOOKUP(reportTbl[[#This Row],[date]],IIITbl[date],IIITbl[totalCT],0)</f>
        <v>0</v>
      </c>
      <c r="R288" s="68">
        <v>30000</v>
      </c>
    </row>
    <row r="289" spans="1:18" ht="16.5">
      <c r="A289" s="7" t="s">
        <v>933</v>
      </c>
      <c r="B289" s="67" t="s">
        <v>121</v>
      </c>
      <c r="C289" s="68">
        <f>SUMIF(cutts[date],A289,cutts[num])</f>
        <v>0</v>
      </c>
      <c r="D289" s="68"/>
      <c r="E289" s="69">
        <f>SUMIF(packes[date],A289,packes[num])</f>
        <v>0</v>
      </c>
      <c r="F289" s="69">
        <f>SUMIF(packes[date],A289,packes[wPacked])</f>
        <v>0</v>
      </c>
      <c r="G289" s="69"/>
      <c r="H289" s="69">
        <f>reportTbl[[#This Row],[personels]]-reportTbl[[#This Row],[personels]]*2.5/22-0.5</f>
        <v>-0.5</v>
      </c>
      <c r="I289" s="70">
        <f>(reportTbl[[#This Row],[وزن تولید]]*unityCycleTime-reportTbl[[#This Row],[received TimeOut]])/(reportTbl[[#This Row],[available time]]*reportTbl[[#This Row],[تعداد نیرو]])</f>
        <v>0</v>
      </c>
      <c r="J289" s="71"/>
      <c r="K289" s="73"/>
      <c r="L289" s="73"/>
      <c r="M289" s="73"/>
      <c r="N289" s="73"/>
      <c r="O289" s="73">
        <v>0</v>
      </c>
      <c r="P289" s="72" t="s">
        <v>304</v>
      </c>
      <c r="Q289" s="68">
        <f>_xlfn.XLOOKUP(reportTbl[[#This Row],[date]],IIITbl[date],IIITbl[totalCT],0)</f>
        <v>0</v>
      </c>
      <c r="R289" s="68">
        <v>30000</v>
      </c>
    </row>
    <row r="290" spans="1:18" ht="16.5">
      <c r="A290" s="7" t="s">
        <v>934</v>
      </c>
      <c r="B290" s="67" t="s">
        <v>115</v>
      </c>
      <c r="C290" s="68">
        <f>SUMIF(cutts[date],A290,cutts[num])</f>
        <v>0</v>
      </c>
      <c r="D290" s="68"/>
      <c r="E290" s="69">
        <f>SUMIF(packes[date],A290,packes[num])</f>
        <v>0</v>
      </c>
      <c r="F290" s="69">
        <f>SUMIF(packes[date],A290,packes[wPacked])</f>
        <v>0</v>
      </c>
      <c r="G290" s="69"/>
      <c r="H290" s="69">
        <f>reportTbl[[#This Row],[personels]]-reportTbl[[#This Row],[personels]]*2.5/22-0.5</f>
        <v>-0.5</v>
      </c>
      <c r="I290" s="70">
        <f>(reportTbl[[#This Row],[وزن تولید]]*unityCycleTime-reportTbl[[#This Row],[received TimeOut]])/(reportTbl[[#This Row],[available time]]*reportTbl[[#This Row],[تعداد نیرو]])</f>
        <v>0</v>
      </c>
      <c r="J290" s="71"/>
      <c r="K290" s="73"/>
      <c r="L290" s="73"/>
      <c r="M290" s="73"/>
      <c r="N290" s="73"/>
      <c r="O290" s="73">
        <v>0</v>
      </c>
      <c r="P290" s="72" t="s">
        <v>304</v>
      </c>
      <c r="Q290" s="68">
        <f>_xlfn.XLOOKUP(reportTbl[[#This Row],[date]],IIITbl[date],IIITbl[totalCT],0)</f>
        <v>0</v>
      </c>
      <c r="R290" s="68">
        <v>30000</v>
      </c>
    </row>
    <row r="291" spans="1:18" ht="16.5">
      <c r="A291" s="7" t="s">
        <v>935</v>
      </c>
      <c r="B291" s="67" t="s">
        <v>116</v>
      </c>
      <c r="C291" s="68">
        <f>SUMIF(cutts[date],A291,cutts[num])</f>
        <v>0</v>
      </c>
      <c r="D291" s="68"/>
      <c r="E291" s="69">
        <f>SUMIF(packes[date],A291,packes[num])</f>
        <v>0</v>
      </c>
      <c r="F291" s="69">
        <f>SUMIF(packes[date],A291,packes[wPacked])</f>
        <v>0</v>
      </c>
      <c r="G291" s="69"/>
      <c r="H291" s="69">
        <f>reportTbl[[#This Row],[personels]]-reportTbl[[#This Row],[personels]]*2.5/22-0.5</f>
        <v>-0.5</v>
      </c>
      <c r="I291" s="70">
        <f>(reportTbl[[#This Row],[وزن تولید]]*unityCycleTime-reportTbl[[#This Row],[received TimeOut]])/(reportTbl[[#This Row],[available time]]*reportTbl[[#This Row],[تعداد نیرو]])</f>
        <v>0</v>
      </c>
      <c r="J291" s="71"/>
      <c r="K291" s="73"/>
      <c r="L291" s="73"/>
      <c r="M291" s="73"/>
      <c r="N291" s="73"/>
      <c r="O291" s="73">
        <v>0</v>
      </c>
      <c r="P291" s="72" t="s">
        <v>304</v>
      </c>
      <c r="Q291" s="68">
        <f>_xlfn.XLOOKUP(reportTbl[[#This Row],[date]],IIITbl[date],IIITbl[totalCT],0)</f>
        <v>0</v>
      </c>
      <c r="R291" s="68">
        <v>30000</v>
      </c>
    </row>
    <row r="292" spans="1:18" ht="16.5">
      <c r="A292" s="7" t="s">
        <v>936</v>
      </c>
      <c r="B292" s="67" t="s">
        <v>117</v>
      </c>
      <c r="C292" s="68">
        <f>SUMIF(cutts[date],A292,cutts[num])</f>
        <v>0</v>
      </c>
      <c r="D292" s="68"/>
      <c r="E292" s="69">
        <f>SUMIF(packes[date],A292,packes[num])</f>
        <v>0</v>
      </c>
      <c r="F292" s="69">
        <f>SUMIF(packes[date],A292,packes[wPacked])</f>
        <v>0</v>
      </c>
      <c r="G292" s="69"/>
      <c r="H292" s="69">
        <f>reportTbl[[#This Row],[personels]]-reportTbl[[#This Row],[personels]]*2.5/22-0.5</f>
        <v>-0.5</v>
      </c>
      <c r="I292" s="70">
        <f>(reportTbl[[#This Row],[وزن تولید]]*unityCycleTime-reportTbl[[#This Row],[received TimeOut]])/(reportTbl[[#This Row],[available time]]*reportTbl[[#This Row],[تعداد نیرو]])</f>
        <v>0</v>
      </c>
      <c r="J292" s="71"/>
      <c r="K292" s="73"/>
      <c r="L292" s="73"/>
      <c r="M292" s="73"/>
      <c r="N292" s="73"/>
      <c r="O292" s="73">
        <v>0</v>
      </c>
      <c r="P292" s="72" t="s">
        <v>304</v>
      </c>
      <c r="Q292" s="68">
        <f>_xlfn.XLOOKUP(reportTbl[[#This Row],[date]],IIITbl[date],IIITbl[totalCT],0)</f>
        <v>0</v>
      </c>
      <c r="R292" s="68">
        <v>30000</v>
      </c>
    </row>
    <row r="293" spans="1:18" ht="16.5">
      <c r="A293" s="7" t="s">
        <v>937</v>
      </c>
      <c r="B293" s="67" t="s">
        <v>118</v>
      </c>
      <c r="C293" s="68">
        <f>SUMIF(cutts[date],A293,cutts[num])</f>
        <v>0</v>
      </c>
      <c r="D293" s="68"/>
      <c r="E293" s="69">
        <f>SUMIF(packes[date],A293,packes[num])</f>
        <v>0</v>
      </c>
      <c r="F293" s="69">
        <f>SUMIF(packes[date],A293,packes[wPacked])</f>
        <v>0</v>
      </c>
      <c r="G293" s="69"/>
      <c r="H293" s="69">
        <f>reportTbl[[#This Row],[personels]]-reportTbl[[#This Row],[personels]]*2.5/22-0.5</f>
        <v>-0.5</v>
      </c>
      <c r="I293" s="70">
        <f>(reportTbl[[#This Row],[وزن تولید]]*unityCycleTime-reportTbl[[#This Row],[received TimeOut]])/(reportTbl[[#This Row],[available time]]*reportTbl[[#This Row],[تعداد نیرو]])</f>
        <v>0</v>
      </c>
      <c r="J293" s="71"/>
      <c r="K293" s="73"/>
      <c r="L293" s="73"/>
      <c r="M293" s="73"/>
      <c r="N293" s="73"/>
      <c r="O293" s="73">
        <v>0</v>
      </c>
      <c r="P293" s="72" t="s">
        <v>304</v>
      </c>
      <c r="Q293" s="68">
        <f>_xlfn.XLOOKUP(reportTbl[[#This Row],[date]],IIITbl[date],IIITbl[totalCT],0)</f>
        <v>0</v>
      </c>
      <c r="R293" s="68">
        <v>30000</v>
      </c>
    </row>
    <row r="294" spans="1:18" ht="16.5">
      <c r="A294" s="7" t="s">
        <v>938</v>
      </c>
      <c r="B294" s="67" t="s">
        <v>119</v>
      </c>
      <c r="C294" s="68">
        <f>SUMIF(cutts[date],A294,cutts[num])</f>
        <v>0</v>
      </c>
      <c r="D294" s="68"/>
      <c r="E294" s="69">
        <f>SUMIF(packes[date],A294,packes[num])</f>
        <v>0</v>
      </c>
      <c r="F294" s="69">
        <f>SUMIF(packes[date],A294,packes[wPacked])</f>
        <v>0</v>
      </c>
      <c r="G294" s="69"/>
      <c r="H294" s="69">
        <f>reportTbl[[#This Row],[personels]]-reportTbl[[#This Row],[personels]]*2.5/22-0.5</f>
        <v>-0.5</v>
      </c>
      <c r="I294" s="70">
        <f>(reportTbl[[#This Row],[وزن تولید]]*unityCycleTime-reportTbl[[#This Row],[received TimeOut]])/(reportTbl[[#This Row],[available time]]*reportTbl[[#This Row],[تعداد نیرو]])</f>
        <v>0</v>
      </c>
      <c r="J294" s="71"/>
      <c r="K294" s="73"/>
      <c r="L294" s="73"/>
      <c r="M294" s="73"/>
      <c r="N294" s="73"/>
      <c r="O294" s="73">
        <v>0</v>
      </c>
      <c r="P294" s="72" t="s">
        <v>304</v>
      </c>
      <c r="Q294" s="68">
        <f>_xlfn.XLOOKUP(reportTbl[[#This Row],[date]],IIITbl[date],IIITbl[totalCT],0)</f>
        <v>0</v>
      </c>
      <c r="R294" s="68">
        <v>30000</v>
      </c>
    </row>
    <row r="295" spans="1:18" ht="16.5">
      <c r="A295" s="7" t="s">
        <v>939</v>
      </c>
      <c r="B295" s="67" t="s">
        <v>120</v>
      </c>
      <c r="C295" s="68">
        <f>SUMIF(cutts[date],A295,cutts[num])</f>
        <v>0</v>
      </c>
      <c r="D295" s="68"/>
      <c r="E295" s="69">
        <f>SUMIF(packes[date],A295,packes[num])</f>
        <v>0</v>
      </c>
      <c r="F295" s="69">
        <f>SUMIF(packes[date],A295,packes[wPacked])</f>
        <v>0</v>
      </c>
      <c r="G295" s="69"/>
      <c r="H295" s="69">
        <f>reportTbl[[#This Row],[personels]]-reportTbl[[#This Row],[personels]]*2.5/22-0.5</f>
        <v>-0.5</v>
      </c>
      <c r="I295" s="70">
        <f>(reportTbl[[#This Row],[وزن تولید]]*unityCycleTime-reportTbl[[#This Row],[received TimeOut]])/(reportTbl[[#This Row],[available time]]*reportTbl[[#This Row],[تعداد نیرو]])</f>
        <v>0</v>
      </c>
      <c r="J295" s="71"/>
      <c r="K295" s="73"/>
      <c r="L295" s="73"/>
      <c r="M295" s="73"/>
      <c r="N295" s="73"/>
      <c r="O295" s="73">
        <v>0</v>
      </c>
      <c r="P295" s="72" t="s">
        <v>304</v>
      </c>
      <c r="Q295" s="68">
        <f>_xlfn.XLOOKUP(reportTbl[[#This Row],[date]],IIITbl[date],IIITbl[totalCT],0)</f>
        <v>0</v>
      </c>
      <c r="R295" s="68">
        <v>30000</v>
      </c>
    </row>
    <row r="296" spans="1:18" ht="16.5">
      <c r="A296" s="7" t="s">
        <v>940</v>
      </c>
      <c r="B296" s="67" t="s">
        <v>121</v>
      </c>
      <c r="C296" s="68">
        <f>SUMIF(cutts[date],A296,cutts[num])</f>
        <v>0</v>
      </c>
      <c r="D296" s="68"/>
      <c r="E296" s="69">
        <f>SUMIF(packes[date],A296,packes[num])</f>
        <v>0</v>
      </c>
      <c r="F296" s="69">
        <f>SUMIF(packes[date],A296,packes[wPacked])</f>
        <v>0</v>
      </c>
      <c r="G296" s="69"/>
      <c r="H296" s="69">
        <f>reportTbl[[#This Row],[personels]]-reportTbl[[#This Row],[personels]]*2.5/22-0.5</f>
        <v>-0.5</v>
      </c>
      <c r="I296" s="70">
        <f>(reportTbl[[#This Row],[وزن تولید]]*unityCycleTime-reportTbl[[#This Row],[received TimeOut]])/(reportTbl[[#This Row],[available time]]*reportTbl[[#This Row],[تعداد نیرو]])</f>
        <v>0</v>
      </c>
      <c r="J296" s="71"/>
      <c r="K296" s="73"/>
      <c r="L296" s="73"/>
      <c r="M296" s="73"/>
      <c r="N296" s="73"/>
      <c r="O296" s="73">
        <v>0</v>
      </c>
      <c r="P296" s="72" t="s">
        <v>304</v>
      </c>
      <c r="Q296" s="68">
        <f>_xlfn.XLOOKUP(reportTbl[[#This Row],[date]],IIITbl[date],IIITbl[totalCT],0)</f>
        <v>0</v>
      </c>
      <c r="R296" s="68">
        <v>30000</v>
      </c>
    </row>
    <row r="297" spans="1:18" ht="16.5">
      <c r="A297" s="7" t="s">
        <v>941</v>
      </c>
      <c r="B297" s="67" t="s">
        <v>115</v>
      </c>
      <c r="C297" s="68">
        <f>SUMIF(cutts[date],A297,cutts[num])</f>
        <v>0</v>
      </c>
      <c r="D297" s="68"/>
      <c r="E297" s="69">
        <f>SUMIF(packes[date],A297,packes[num])</f>
        <v>0</v>
      </c>
      <c r="F297" s="69">
        <f>SUMIF(packes[date],A297,packes[wPacked])</f>
        <v>0</v>
      </c>
      <c r="G297" s="69"/>
      <c r="H297" s="69">
        <f>reportTbl[[#This Row],[personels]]-reportTbl[[#This Row],[personels]]*2.5/22-0.5</f>
        <v>-0.5</v>
      </c>
      <c r="I297" s="70">
        <f>(reportTbl[[#This Row],[وزن تولید]]*unityCycleTime-reportTbl[[#This Row],[received TimeOut]])/(reportTbl[[#This Row],[available time]]*reportTbl[[#This Row],[تعداد نیرو]])</f>
        <v>0</v>
      </c>
      <c r="J297" s="71"/>
      <c r="K297" s="73"/>
      <c r="L297" s="73"/>
      <c r="M297" s="73"/>
      <c r="N297" s="73"/>
      <c r="O297" s="73">
        <v>0</v>
      </c>
      <c r="P297" s="72" t="s">
        <v>304</v>
      </c>
      <c r="Q297" s="68">
        <f>_xlfn.XLOOKUP(reportTbl[[#This Row],[date]],IIITbl[date],IIITbl[totalCT],0)</f>
        <v>0</v>
      </c>
      <c r="R297" s="68">
        <v>30000</v>
      </c>
    </row>
    <row r="298" spans="1:18" ht="16.5">
      <c r="A298" s="7" t="s">
        <v>942</v>
      </c>
      <c r="B298" s="67" t="s">
        <v>116</v>
      </c>
      <c r="C298" s="68">
        <f>SUMIF(cutts[date],A298,cutts[num])</f>
        <v>0</v>
      </c>
      <c r="D298" s="68"/>
      <c r="E298" s="69">
        <f>SUMIF(packes[date],A298,packes[num])</f>
        <v>0</v>
      </c>
      <c r="F298" s="69">
        <f>SUMIF(packes[date],A298,packes[wPacked])</f>
        <v>0</v>
      </c>
      <c r="G298" s="69"/>
      <c r="H298" s="69">
        <f>reportTbl[[#This Row],[personels]]-reportTbl[[#This Row],[personels]]*2.5/22-0.5</f>
        <v>-0.5</v>
      </c>
      <c r="I298" s="70">
        <f>(reportTbl[[#This Row],[وزن تولید]]*unityCycleTime-reportTbl[[#This Row],[received TimeOut]])/(reportTbl[[#This Row],[available time]]*reportTbl[[#This Row],[تعداد نیرو]])</f>
        <v>0</v>
      </c>
      <c r="J298" s="71"/>
      <c r="K298" s="73"/>
      <c r="L298" s="73"/>
      <c r="M298" s="73"/>
      <c r="N298" s="73"/>
      <c r="O298" s="73">
        <v>0</v>
      </c>
      <c r="P298" s="72" t="s">
        <v>304</v>
      </c>
      <c r="Q298" s="68">
        <f>_xlfn.XLOOKUP(reportTbl[[#This Row],[date]],IIITbl[date],IIITbl[totalCT],0)</f>
        <v>0</v>
      </c>
      <c r="R298" s="68">
        <v>30000</v>
      </c>
    </row>
    <row r="299" spans="1:18" ht="16.5">
      <c r="A299" s="7" t="s">
        <v>943</v>
      </c>
      <c r="B299" s="67" t="s">
        <v>117</v>
      </c>
      <c r="C299" s="68">
        <f>SUMIF(cutts[date],A299,cutts[num])</f>
        <v>0</v>
      </c>
      <c r="D299" s="68"/>
      <c r="E299" s="69">
        <f>SUMIF(packes[date],A299,packes[num])</f>
        <v>0</v>
      </c>
      <c r="F299" s="69">
        <f>SUMIF(packes[date],A299,packes[wPacked])</f>
        <v>0</v>
      </c>
      <c r="G299" s="69"/>
      <c r="H299" s="69">
        <f>reportTbl[[#This Row],[personels]]-reportTbl[[#This Row],[personels]]*2.5/22-0.5</f>
        <v>-0.5</v>
      </c>
      <c r="I299" s="70">
        <f>(reportTbl[[#This Row],[وزن تولید]]*unityCycleTime-reportTbl[[#This Row],[received TimeOut]])/(reportTbl[[#This Row],[available time]]*reportTbl[[#This Row],[تعداد نیرو]])</f>
        <v>0</v>
      </c>
      <c r="J299" s="71"/>
      <c r="K299" s="73"/>
      <c r="L299" s="73"/>
      <c r="M299" s="73"/>
      <c r="N299" s="73"/>
      <c r="O299" s="73">
        <v>0</v>
      </c>
      <c r="P299" s="72" t="s">
        <v>304</v>
      </c>
      <c r="Q299" s="68">
        <f>_xlfn.XLOOKUP(reportTbl[[#This Row],[date]],IIITbl[date],IIITbl[totalCT],0)</f>
        <v>0</v>
      </c>
      <c r="R299" s="68">
        <v>30000</v>
      </c>
    </row>
    <row r="300" spans="1:18" ht="16.5">
      <c r="A300" s="7" t="s">
        <v>944</v>
      </c>
      <c r="B300" s="67" t="s">
        <v>118</v>
      </c>
      <c r="C300" s="68">
        <f>SUMIF(cutts[date],A300,cutts[num])</f>
        <v>0</v>
      </c>
      <c r="D300" s="68"/>
      <c r="E300" s="69">
        <f>SUMIF(packes[date],A300,packes[num])</f>
        <v>0</v>
      </c>
      <c r="F300" s="69">
        <f>SUMIF(packes[date],A300,packes[wPacked])</f>
        <v>0</v>
      </c>
      <c r="G300" s="69"/>
      <c r="H300" s="69">
        <f>reportTbl[[#This Row],[personels]]-reportTbl[[#This Row],[personels]]*2.5/22-0.5</f>
        <v>-0.5</v>
      </c>
      <c r="I300" s="70">
        <f>(reportTbl[[#This Row],[وزن تولید]]*unityCycleTime-reportTbl[[#This Row],[received TimeOut]])/(reportTbl[[#This Row],[available time]]*reportTbl[[#This Row],[تعداد نیرو]])</f>
        <v>0</v>
      </c>
      <c r="J300" s="71"/>
      <c r="K300" s="73"/>
      <c r="L300" s="73"/>
      <c r="M300" s="73"/>
      <c r="N300" s="73"/>
      <c r="O300" s="73">
        <v>0</v>
      </c>
      <c r="P300" s="72" t="s">
        <v>304</v>
      </c>
      <c r="Q300" s="68">
        <f>_xlfn.XLOOKUP(reportTbl[[#This Row],[date]],IIITbl[date],IIITbl[totalCT],0)</f>
        <v>0</v>
      </c>
      <c r="R300" s="68">
        <v>30000</v>
      </c>
    </row>
    <row r="301" spans="1:18" ht="16.5">
      <c r="A301" s="7" t="s">
        <v>945</v>
      </c>
      <c r="B301" s="67" t="s">
        <v>119</v>
      </c>
      <c r="C301" s="68">
        <f>SUMIF(cutts[date],A301,cutts[num])</f>
        <v>0</v>
      </c>
      <c r="D301" s="68"/>
      <c r="E301" s="69">
        <f>SUMIF(packes[date],A301,packes[num])</f>
        <v>0</v>
      </c>
      <c r="F301" s="69">
        <f>SUMIF(packes[date],A301,packes[wPacked])</f>
        <v>0</v>
      </c>
      <c r="G301" s="69"/>
      <c r="H301" s="69">
        <f>reportTbl[[#This Row],[personels]]-reportTbl[[#This Row],[personels]]*2.5/22-0.5</f>
        <v>-0.5</v>
      </c>
      <c r="I301" s="70">
        <f>(reportTbl[[#This Row],[وزن تولید]]*unityCycleTime-reportTbl[[#This Row],[received TimeOut]])/(reportTbl[[#This Row],[available time]]*reportTbl[[#This Row],[تعداد نیرو]])</f>
        <v>0</v>
      </c>
      <c r="J301" s="71"/>
      <c r="K301" s="73"/>
      <c r="L301" s="73"/>
      <c r="M301" s="73"/>
      <c r="N301" s="73"/>
      <c r="O301" s="73">
        <v>0</v>
      </c>
      <c r="P301" s="72" t="s">
        <v>304</v>
      </c>
      <c r="Q301" s="68">
        <f>_xlfn.XLOOKUP(reportTbl[[#This Row],[date]],IIITbl[date],IIITbl[totalCT],0)</f>
        <v>0</v>
      </c>
      <c r="R301" s="68">
        <v>30000</v>
      </c>
    </row>
    <row r="302" spans="1:18" ht="16.5">
      <c r="A302" s="7" t="s">
        <v>946</v>
      </c>
      <c r="B302" s="67" t="s">
        <v>120</v>
      </c>
      <c r="C302" s="68">
        <f>SUMIF(cutts[date],A302,cutts[num])</f>
        <v>0</v>
      </c>
      <c r="D302" s="68"/>
      <c r="E302" s="69">
        <f>SUMIF(packes[date],A302,packes[num])</f>
        <v>0</v>
      </c>
      <c r="F302" s="69">
        <f>SUMIF(packes[date],A302,packes[wPacked])</f>
        <v>0</v>
      </c>
      <c r="G302" s="69"/>
      <c r="H302" s="69">
        <f>reportTbl[[#This Row],[personels]]-reportTbl[[#This Row],[personels]]*2.5/22-0.5</f>
        <v>-0.5</v>
      </c>
      <c r="I302" s="70">
        <f>(reportTbl[[#This Row],[وزن تولید]]*unityCycleTime-reportTbl[[#This Row],[received TimeOut]])/(reportTbl[[#This Row],[available time]]*reportTbl[[#This Row],[تعداد نیرو]])</f>
        <v>0</v>
      </c>
      <c r="J302" s="71"/>
      <c r="K302" s="73"/>
      <c r="L302" s="73"/>
      <c r="M302" s="73"/>
      <c r="N302" s="73"/>
      <c r="O302" s="73">
        <v>0</v>
      </c>
      <c r="P302" s="72" t="s">
        <v>304</v>
      </c>
      <c r="Q302" s="68">
        <f>_xlfn.XLOOKUP(reportTbl[[#This Row],[date]],IIITbl[date],IIITbl[totalCT],0)</f>
        <v>0</v>
      </c>
      <c r="R302" s="68">
        <v>30000</v>
      </c>
    </row>
    <row r="303" spans="1:18" ht="16.5">
      <c r="A303" s="7" t="s">
        <v>947</v>
      </c>
      <c r="B303" s="67" t="s">
        <v>121</v>
      </c>
      <c r="C303" s="68">
        <f>SUMIF(cutts[date],A303,cutts[num])</f>
        <v>0</v>
      </c>
      <c r="D303" s="68"/>
      <c r="E303" s="69">
        <f>SUMIF(packes[date],A303,packes[num])</f>
        <v>0</v>
      </c>
      <c r="F303" s="69">
        <f>SUMIF(packes[date],A303,packes[wPacked])</f>
        <v>0</v>
      </c>
      <c r="G303" s="69"/>
      <c r="H303" s="69">
        <f>reportTbl[[#This Row],[personels]]-reportTbl[[#This Row],[personels]]*2.5/22-0.5</f>
        <v>-0.5</v>
      </c>
      <c r="I303" s="70">
        <f>(reportTbl[[#This Row],[وزن تولید]]*unityCycleTime-reportTbl[[#This Row],[received TimeOut]])/(reportTbl[[#This Row],[available time]]*reportTbl[[#This Row],[تعداد نیرو]])</f>
        <v>0</v>
      </c>
      <c r="J303" s="71"/>
      <c r="K303" s="73"/>
      <c r="L303" s="73"/>
      <c r="M303" s="73"/>
      <c r="N303" s="73"/>
      <c r="O303" s="73">
        <v>0</v>
      </c>
      <c r="P303" s="72" t="s">
        <v>304</v>
      </c>
      <c r="Q303" s="68">
        <f>_xlfn.XLOOKUP(reportTbl[[#This Row],[date]],IIITbl[date],IIITbl[totalCT],0)</f>
        <v>0</v>
      </c>
      <c r="R303" s="68">
        <v>30000</v>
      </c>
    </row>
    <row r="304" spans="1:18" ht="16.5">
      <c r="A304" s="7" t="s">
        <v>948</v>
      </c>
      <c r="B304" s="67" t="s">
        <v>115</v>
      </c>
      <c r="C304" s="68">
        <f>SUMIF(cutts[date],A304,cutts[num])</f>
        <v>0</v>
      </c>
      <c r="D304" s="68"/>
      <c r="E304" s="69">
        <f>SUMIF(packes[date],A304,packes[num])</f>
        <v>0</v>
      </c>
      <c r="F304" s="69">
        <f>SUMIF(packes[date],A304,packes[wPacked])</f>
        <v>0</v>
      </c>
      <c r="G304" s="69"/>
      <c r="H304" s="69">
        <f>reportTbl[[#This Row],[personels]]-reportTbl[[#This Row],[personels]]*2.5/22-0.5</f>
        <v>-0.5</v>
      </c>
      <c r="I304" s="70">
        <f>(reportTbl[[#This Row],[وزن تولید]]*unityCycleTime-reportTbl[[#This Row],[received TimeOut]])/(reportTbl[[#This Row],[available time]]*reportTbl[[#This Row],[تعداد نیرو]])</f>
        <v>0</v>
      </c>
      <c r="J304" s="71"/>
      <c r="K304" s="73"/>
      <c r="L304" s="73"/>
      <c r="M304" s="73"/>
      <c r="N304" s="73"/>
      <c r="O304" s="73">
        <v>0</v>
      </c>
      <c r="P304" s="72" t="s">
        <v>304</v>
      </c>
      <c r="Q304" s="68">
        <f>_xlfn.XLOOKUP(reportTbl[[#This Row],[date]],IIITbl[date],IIITbl[totalCT],0)</f>
        <v>0</v>
      </c>
      <c r="R304" s="68">
        <v>30000</v>
      </c>
    </row>
    <row r="305" spans="1:18" ht="16.5">
      <c r="A305" s="7" t="s">
        <v>949</v>
      </c>
      <c r="B305" s="67" t="s">
        <v>116</v>
      </c>
      <c r="C305" s="68">
        <f>SUMIF(cutts[date],A305,cutts[num])</f>
        <v>0</v>
      </c>
      <c r="D305" s="68"/>
      <c r="E305" s="69">
        <f>SUMIF(packes[date],A305,packes[num])</f>
        <v>0</v>
      </c>
      <c r="F305" s="69">
        <f>SUMIF(packes[date],A305,packes[wPacked])</f>
        <v>0</v>
      </c>
      <c r="G305" s="69"/>
      <c r="H305" s="69">
        <f>reportTbl[[#This Row],[personels]]-reportTbl[[#This Row],[personels]]*2.5/22-0.5</f>
        <v>-0.5</v>
      </c>
      <c r="I305" s="70">
        <f>(reportTbl[[#This Row],[وزن تولید]]*unityCycleTime-reportTbl[[#This Row],[received TimeOut]])/(reportTbl[[#This Row],[available time]]*reportTbl[[#This Row],[تعداد نیرو]])</f>
        <v>0</v>
      </c>
      <c r="J305" s="71"/>
      <c r="K305" s="73"/>
      <c r="L305" s="73"/>
      <c r="M305" s="73"/>
      <c r="N305" s="73"/>
      <c r="O305" s="73">
        <v>0</v>
      </c>
      <c r="P305" s="72" t="s">
        <v>304</v>
      </c>
      <c r="Q305" s="68">
        <f>_xlfn.XLOOKUP(reportTbl[[#This Row],[date]],IIITbl[date],IIITbl[totalCT],0)</f>
        <v>0</v>
      </c>
      <c r="R305" s="68">
        <v>30000</v>
      </c>
    </row>
    <row r="306" spans="1:18" ht="16.5">
      <c r="A306" s="7" t="s">
        <v>950</v>
      </c>
      <c r="B306" s="67" t="s">
        <v>117</v>
      </c>
      <c r="C306" s="68">
        <f>SUMIF(cutts[date],A306,cutts[num])</f>
        <v>0</v>
      </c>
      <c r="D306" s="68"/>
      <c r="E306" s="69">
        <f>SUMIF(packes[date],A306,packes[num])</f>
        <v>0</v>
      </c>
      <c r="F306" s="69">
        <f>SUMIF(packes[date],A306,packes[wPacked])</f>
        <v>0</v>
      </c>
      <c r="G306" s="69"/>
      <c r="H306" s="69">
        <f>reportTbl[[#This Row],[personels]]-reportTbl[[#This Row],[personels]]*2.5/22-0.5</f>
        <v>-0.5</v>
      </c>
      <c r="I306" s="70">
        <f>(reportTbl[[#This Row],[وزن تولید]]*unityCycleTime-reportTbl[[#This Row],[received TimeOut]])/(reportTbl[[#This Row],[available time]]*reportTbl[[#This Row],[تعداد نیرو]])</f>
        <v>0</v>
      </c>
      <c r="J306" s="71"/>
      <c r="K306" s="73"/>
      <c r="L306" s="73"/>
      <c r="M306" s="73"/>
      <c r="N306" s="73"/>
      <c r="O306" s="73">
        <v>0</v>
      </c>
      <c r="P306" s="72" t="s">
        <v>304</v>
      </c>
      <c r="Q306" s="68">
        <f>_xlfn.XLOOKUP(reportTbl[[#This Row],[date]],IIITbl[date],IIITbl[totalCT],0)</f>
        <v>0</v>
      </c>
      <c r="R306" s="68">
        <v>30000</v>
      </c>
    </row>
    <row r="307" spans="1:18" ht="16.5">
      <c r="A307" s="7" t="s">
        <v>951</v>
      </c>
      <c r="B307" s="67" t="s">
        <v>118</v>
      </c>
      <c r="C307" s="68">
        <f>SUMIF(cutts[date],A307,cutts[num])</f>
        <v>0</v>
      </c>
      <c r="D307" s="68"/>
      <c r="E307" s="69">
        <f>SUMIF(packes[date],A307,packes[num])</f>
        <v>0</v>
      </c>
      <c r="F307" s="69">
        <f>SUMIF(packes[date],A307,packes[wPacked])</f>
        <v>0</v>
      </c>
      <c r="G307" s="69"/>
      <c r="H307" s="69">
        <f>reportTbl[[#This Row],[personels]]-reportTbl[[#This Row],[personels]]*2.5/22-0.5</f>
        <v>-0.5</v>
      </c>
      <c r="I307" s="70">
        <f>(reportTbl[[#This Row],[وزن تولید]]*unityCycleTime-reportTbl[[#This Row],[received TimeOut]])/(reportTbl[[#This Row],[available time]]*reportTbl[[#This Row],[تعداد نیرو]])</f>
        <v>0</v>
      </c>
      <c r="J307" s="71"/>
      <c r="K307" s="73"/>
      <c r="L307" s="73"/>
      <c r="M307" s="73"/>
      <c r="N307" s="73"/>
      <c r="O307" s="73">
        <v>0</v>
      </c>
      <c r="P307" s="72" t="s">
        <v>304</v>
      </c>
      <c r="Q307" s="68">
        <f>_xlfn.XLOOKUP(reportTbl[[#This Row],[date]],IIITbl[date],IIITbl[totalCT],0)</f>
        <v>0</v>
      </c>
      <c r="R307" s="68">
        <v>30000</v>
      </c>
    </row>
    <row r="308" spans="1:18" ht="16.5">
      <c r="A308" s="7" t="s">
        <v>952</v>
      </c>
      <c r="B308" s="67" t="s">
        <v>119</v>
      </c>
      <c r="C308" s="68">
        <f>SUMIF(cutts[date],A308,cutts[num])</f>
        <v>0</v>
      </c>
      <c r="D308" s="68"/>
      <c r="E308" s="69">
        <f>SUMIF(packes[date],A308,packes[num])</f>
        <v>0</v>
      </c>
      <c r="F308" s="69">
        <f>SUMIF(packes[date],A308,packes[wPacked])</f>
        <v>0</v>
      </c>
      <c r="G308" s="69"/>
      <c r="H308" s="69">
        <f>reportTbl[[#This Row],[personels]]-reportTbl[[#This Row],[personels]]*2.5/22-0.5</f>
        <v>-0.5</v>
      </c>
      <c r="I308" s="70">
        <f>(reportTbl[[#This Row],[وزن تولید]]*unityCycleTime-reportTbl[[#This Row],[received TimeOut]])/(reportTbl[[#This Row],[available time]]*reportTbl[[#This Row],[تعداد نیرو]])</f>
        <v>0</v>
      </c>
      <c r="J308" s="71"/>
      <c r="K308" s="73"/>
      <c r="L308" s="73"/>
      <c r="M308" s="73"/>
      <c r="N308" s="73"/>
      <c r="O308" s="73">
        <v>0</v>
      </c>
      <c r="P308" s="72" t="s">
        <v>491</v>
      </c>
      <c r="Q308" s="68">
        <f>_xlfn.XLOOKUP(reportTbl[[#This Row],[date]],IIITbl[date],IIITbl[totalCT],0)</f>
        <v>0</v>
      </c>
      <c r="R308" s="68">
        <v>30000</v>
      </c>
    </row>
    <row r="309" spans="1:18" ht="16.5">
      <c r="A309" s="7" t="s">
        <v>953</v>
      </c>
      <c r="B309" s="67" t="s">
        <v>120</v>
      </c>
      <c r="C309" s="68">
        <f>SUMIF(cutts[date],A309,cutts[num])</f>
        <v>0</v>
      </c>
      <c r="D309" s="68"/>
      <c r="E309" s="69">
        <f>SUMIF(packes[date],A309,packes[num])</f>
        <v>0</v>
      </c>
      <c r="F309" s="69">
        <f>SUMIF(packes[date],A309,packes[wPacked])</f>
        <v>0</v>
      </c>
      <c r="G309" s="69"/>
      <c r="H309" s="69">
        <f>reportTbl[[#This Row],[personels]]-reportTbl[[#This Row],[personels]]*2.5/22-0.5</f>
        <v>-0.5</v>
      </c>
      <c r="I309" s="70">
        <f>(reportTbl[[#This Row],[وزن تولید]]*unityCycleTime-reportTbl[[#This Row],[received TimeOut]])/(reportTbl[[#This Row],[available time]]*reportTbl[[#This Row],[تعداد نیرو]])</f>
        <v>0</v>
      </c>
      <c r="J309" s="71"/>
      <c r="K309" s="73"/>
      <c r="L309" s="73"/>
      <c r="M309" s="73"/>
      <c r="N309" s="73"/>
      <c r="O309" s="73">
        <v>0</v>
      </c>
      <c r="P309" s="72" t="s">
        <v>491</v>
      </c>
      <c r="Q309" s="68">
        <f>_xlfn.XLOOKUP(reportTbl[[#This Row],[date]],IIITbl[date],IIITbl[totalCT],0)</f>
        <v>0</v>
      </c>
      <c r="R309" s="68">
        <v>30000</v>
      </c>
    </row>
    <row r="310" spans="1:18" ht="16.5">
      <c r="A310" s="7" t="s">
        <v>954</v>
      </c>
      <c r="B310" s="67" t="s">
        <v>121</v>
      </c>
      <c r="C310" s="68">
        <f>SUMIF(cutts[date],A310,cutts[num])</f>
        <v>0</v>
      </c>
      <c r="D310" s="68"/>
      <c r="E310" s="69">
        <f>SUMIF(packes[date],A310,packes[num])</f>
        <v>0</v>
      </c>
      <c r="F310" s="69">
        <f>SUMIF(packes[date],A310,packes[wPacked])</f>
        <v>0</v>
      </c>
      <c r="G310" s="69"/>
      <c r="H310" s="69">
        <f>reportTbl[[#This Row],[personels]]-reportTbl[[#This Row],[personels]]*2.5/22-0.5</f>
        <v>-0.5</v>
      </c>
      <c r="I310" s="70">
        <f>(reportTbl[[#This Row],[وزن تولید]]*unityCycleTime-reportTbl[[#This Row],[received TimeOut]])/(reportTbl[[#This Row],[available time]]*reportTbl[[#This Row],[تعداد نیرو]])</f>
        <v>0</v>
      </c>
      <c r="J310" s="71"/>
      <c r="K310" s="73"/>
      <c r="L310" s="73"/>
      <c r="M310" s="73"/>
      <c r="N310" s="73"/>
      <c r="O310" s="73">
        <v>0</v>
      </c>
      <c r="P310" s="72" t="s">
        <v>491</v>
      </c>
      <c r="Q310" s="68">
        <f>_xlfn.XLOOKUP(reportTbl[[#This Row],[date]],IIITbl[date],IIITbl[totalCT],0)</f>
        <v>0</v>
      </c>
      <c r="R310" s="68">
        <v>30000</v>
      </c>
    </row>
    <row r="311" spans="1:18" ht="16.5">
      <c r="A311" s="7" t="s">
        <v>955</v>
      </c>
      <c r="B311" s="67" t="s">
        <v>115</v>
      </c>
      <c r="C311" s="68">
        <f>SUMIF(cutts[date],A311,cutts[num])</f>
        <v>0</v>
      </c>
      <c r="D311" s="68"/>
      <c r="E311" s="69">
        <f>SUMIF(packes[date],A311,packes[num])</f>
        <v>0</v>
      </c>
      <c r="F311" s="69">
        <f>SUMIF(packes[date],A311,packes[wPacked])</f>
        <v>0</v>
      </c>
      <c r="G311" s="69"/>
      <c r="H311" s="69">
        <f>reportTbl[[#This Row],[personels]]-reportTbl[[#This Row],[personels]]*2.5/22-0.5</f>
        <v>-0.5</v>
      </c>
      <c r="I311" s="70">
        <f>(reportTbl[[#This Row],[وزن تولید]]*unityCycleTime-reportTbl[[#This Row],[received TimeOut]])/(reportTbl[[#This Row],[available time]]*reportTbl[[#This Row],[تعداد نیرو]])</f>
        <v>0</v>
      </c>
      <c r="J311" s="71"/>
      <c r="K311" s="73"/>
      <c r="L311" s="73"/>
      <c r="M311" s="73"/>
      <c r="N311" s="73"/>
      <c r="O311" s="73">
        <v>0</v>
      </c>
      <c r="P311" s="72" t="s">
        <v>491</v>
      </c>
      <c r="Q311" s="68">
        <f>_xlfn.XLOOKUP(reportTbl[[#This Row],[date]],IIITbl[date],IIITbl[totalCT],0)</f>
        <v>0</v>
      </c>
      <c r="R311" s="68">
        <v>30000</v>
      </c>
    </row>
    <row r="312" spans="1:18" ht="16.5">
      <c r="A312" s="7" t="s">
        <v>956</v>
      </c>
      <c r="B312" s="67" t="s">
        <v>116</v>
      </c>
      <c r="C312" s="68">
        <f>SUMIF(cutts[date],A312,cutts[num])</f>
        <v>0</v>
      </c>
      <c r="D312" s="68"/>
      <c r="E312" s="69">
        <f>SUMIF(packes[date],A312,packes[num])</f>
        <v>0</v>
      </c>
      <c r="F312" s="69">
        <f>SUMIF(packes[date],A312,packes[wPacked])</f>
        <v>0</v>
      </c>
      <c r="G312" s="69"/>
      <c r="H312" s="69">
        <f>reportTbl[[#This Row],[personels]]-reportTbl[[#This Row],[personels]]*2.5/22-0.5</f>
        <v>-0.5</v>
      </c>
      <c r="I312" s="70">
        <f>(reportTbl[[#This Row],[وزن تولید]]*unityCycleTime-reportTbl[[#This Row],[received TimeOut]])/(reportTbl[[#This Row],[available time]]*reportTbl[[#This Row],[تعداد نیرو]])</f>
        <v>0</v>
      </c>
      <c r="J312" s="71"/>
      <c r="K312" s="73"/>
      <c r="L312" s="73"/>
      <c r="M312" s="73"/>
      <c r="N312" s="73"/>
      <c r="O312" s="73">
        <v>0</v>
      </c>
      <c r="P312" s="72" t="s">
        <v>491</v>
      </c>
      <c r="Q312" s="68">
        <f>_xlfn.XLOOKUP(reportTbl[[#This Row],[date]],IIITbl[date],IIITbl[totalCT],0)</f>
        <v>0</v>
      </c>
      <c r="R312" s="68">
        <v>30000</v>
      </c>
    </row>
    <row r="313" spans="1:18" ht="16.5">
      <c r="A313" s="7" t="s">
        <v>957</v>
      </c>
      <c r="B313" s="67" t="s">
        <v>117</v>
      </c>
      <c r="C313" s="68">
        <f>SUMIF(cutts[date],A313,cutts[num])</f>
        <v>0</v>
      </c>
      <c r="D313" s="68"/>
      <c r="E313" s="69">
        <f>SUMIF(packes[date],A313,packes[num])</f>
        <v>0</v>
      </c>
      <c r="F313" s="69">
        <f>SUMIF(packes[date],A313,packes[wPacked])</f>
        <v>0</v>
      </c>
      <c r="G313" s="69"/>
      <c r="H313" s="69">
        <f>reportTbl[[#This Row],[personels]]-reportTbl[[#This Row],[personels]]*2.5/22-0.5</f>
        <v>-0.5</v>
      </c>
      <c r="I313" s="70">
        <f>(reportTbl[[#This Row],[وزن تولید]]*unityCycleTime-reportTbl[[#This Row],[received TimeOut]])/(reportTbl[[#This Row],[available time]]*reportTbl[[#This Row],[تعداد نیرو]])</f>
        <v>0</v>
      </c>
      <c r="J313" s="71"/>
      <c r="K313" s="73"/>
      <c r="L313" s="73"/>
      <c r="M313" s="73"/>
      <c r="N313" s="73"/>
      <c r="O313" s="73">
        <v>0</v>
      </c>
      <c r="P313" s="72" t="s">
        <v>491</v>
      </c>
      <c r="Q313" s="68">
        <f>_xlfn.XLOOKUP(reportTbl[[#This Row],[date]],IIITbl[date],IIITbl[totalCT],0)</f>
        <v>0</v>
      </c>
      <c r="R313" s="68">
        <v>30000</v>
      </c>
    </row>
    <row r="314" spans="1:18" ht="16.5">
      <c r="A314" s="7" t="s">
        <v>958</v>
      </c>
      <c r="B314" s="67" t="s">
        <v>118</v>
      </c>
      <c r="C314" s="68">
        <f>SUMIF(cutts[date],A314,cutts[num])</f>
        <v>0</v>
      </c>
      <c r="D314" s="68"/>
      <c r="E314" s="69">
        <f>SUMIF(packes[date],A314,packes[num])</f>
        <v>0</v>
      </c>
      <c r="F314" s="69">
        <f>SUMIF(packes[date],A314,packes[wPacked])</f>
        <v>0</v>
      </c>
      <c r="G314" s="69"/>
      <c r="H314" s="69">
        <f>reportTbl[[#This Row],[personels]]-reportTbl[[#This Row],[personels]]*2.5/22-0.5</f>
        <v>-0.5</v>
      </c>
      <c r="I314" s="70">
        <f>(reportTbl[[#This Row],[وزن تولید]]*unityCycleTime-reportTbl[[#This Row],[received TimeOut]])/(reportTbl[[#This Row],[available time]]*reportTbl[[#This Row],[تعداد نیرو]])</f>
        <v>0</v>
      </c>
      <c r="J314" s="71"/>
      <c r="K314" s="73"/>
      <c r="L314" s="73"/>
      <c r="M314" s="73"/>
      <c r="N314" s="73"/>
      <c r="O314" s="73">
        <v>0</v>
      </c>
      <c r="P314" s="72" t="s">
        <v>491</v>
      </c>
      <c r="Q314" s="68">
        <f>_xlfn.XLOOKUP(reportTbl[[#This Row],[date]],IIITbl[date],IIITbl[totalCT],0)</f>
        <v>0</v>
      </c>
      <c r="R314" s="68">
        <v>30000</v>
      </c>
    </row>
    <row r="315" spans="1:18" ht="16.5">
      <c r="A315" s="7" t="s">
        <v>959</v>
      </c>
      <c r="B315" s="67" t="s">
        <v>119</v>
      </c>
      <c r="C315" s="68">
        <f>SUMIF(cutts[date],A315,cutts[num])</f>
        <v>0</v>
      </c>
      <c r="D315" s="68"/>
      <c r="E315" s="69">
        <f>SUMIF(packes[date],A315,packes[num])</f>
        <v>0</v>
      </c>
      <c r="F315" s="69">
        <f>SUMIF(packes[date],A315,packes[wPacked])</f>
        <v>0</v>
      </c>
      <c r="G315" s="69"/>
      <c r="H315" s="69">
        <f>reportTbl[[#This Row],[personels]]-reportTbl[[#This Row],[personels]]*2.5/22-0.5</f>
        <v>-0.5</v>
      </c>
      <c r="I315" s="70">
        <f>(reportTbl[[#This Row],[وزن تولید]]*unityCycleTime-reportTbl[[#This Row],[received TimeOut]])/(reportTbl[[#This Row],[available time]]*reportTbl[[#This Row],[تعداد نیرو]])</f>
        <v>0</v>
      </c>
      <c r="J315" s="71"/>
      <c r="K315" s="73"/>
      <c r="L315" s="73"/>
      <c r="M315" s="73"/>
      <c r="N315" s="73"/>
      <c r="O315" s="73">
        <v>0</v>
      </c>
      <c r="P315" s="72" t="s">
        <v>491</v>
      </c>
      <c r="Q315" s="68">
        <f>_xlfn.XLOOKUP(reportTbl[[#This Row],[date]],IIITbl[date],IIITbl[totalCT],0)</f>
        <v>0</v>
      </c>
      <c r="R315" s="68">
        <v>30000</v>
      </c>
    </row>
    <row r="316" spans="1:18" ht="16.5">
      <c r="A316" s="7" t="s">
        <v>960</v>
      </c>
      <c r="B316" s="67" t="s">
        <v>120</v>
      </c>
      <c r="C316" s="68">
        <f>SUMIF(cutts[date],A316,cutts[num])</f>
        <v>0</v>
      </c>
      <c r="D316" s="68"/>
      <c r="E316" s="69">
        <f>SUMIF(packes[date],A316,packes[num])</f>
        <v>0</v>
      </c>
      <c r="F316" s="69">
        <f>SUMIF(packes[date],A316,packes[wPacked])</f>
        <v>0</v>
      </c>
      <c r="G316" s="69"/>
      <c r="H316" s="69">
        <f>reportTbl[[#This Row],[personels]]-reportTbl[[#This Row],[personels]]*2.5/22-0.5</f>
        <v>-0.5</v>
      </c>
      <c r="I316" s="70">
        <f>(reportTbl[[#This Row],[وزن تولید]]*unityCycleTime-reportTbl[[#This Row],[received TimeOut]])/(reportTbl[[#This Row],[available time]]*reportTbl[[#This Row],[تعداد نیرو]])</f>
        <v>0</v>
      </c>
      <c r="J316" s="71"/>
      <c r="K316" s="73"/>
      <c r="L316" s="73"/>
      <c r="M316" s="73"/>
      <c r="N316" s="73"/>
      <c r="O316" s="73">
        <v>0</v>
      </c>
      <c r="P316" s="72" t="s">
        <v>491</v>
      </c>
      <c r="Q316" s="68">
        <f>_xlfn.XLOOKUP(reportTbl[[#This Row],[date]],IIITbl[date],IIITbl[totalCT],0)</f>
        <v>0</v>
      </c>
      <c r="R316" s="68">
        <v>30000</v>
      </c>
    </row>
    <row r="317" spans="1:18" ht="16.5">
      <c r="A317" s="7" t="s">
        <v>961</v>
      </c>
      <c r="B317" s="67" t="s">
        <v>121</v>
      </c>
      <c r="C317" s="68">
        <f>SUMIF(cutts[date],A317,cutts[num])</f>
        <v>0</v>
      </c>
      <c r="D317" s="68"/>
      <c r="E317" s="69">
        <f>SUMIF(packes[date],A317,packes[num])</f>
        <v>0</v>
      </c>
      <c r="F317" s="69">
        <f>SUMIF(packes[date],A317,packes[wPacked])</f>
        <v>0</v>
      </c>
      <c r="G317" s="69"/>
      <c r="H317" s="69">
        <f>reportTbl[[#This Row],[personels]]-reportTbl[[#This Row],[personels]]*2.5/22-0.5</f>
        <v>-0.5</v>
      </c>
      <c r="I317" s="70">
        <f>(reportTbl[[#This Row],[وزن تولید]]*unityCycleTime-reportTbl[[#This Row],[received TimeOut]])/(reportTbl[[#This Row],[available time]]*reportTbl[[#This Row],[تعداد نیرو]])</f>
        <v>0</v>
      </c>
      <c r="J317" s="71"/>
      <c r="K317" s="73"/>
      <c r="L317" s="73"/>
      <c r="M317" s="73"/>
      <c r="N317" s="73"/>
      <c r="O317" s="73">
        <v>0</v>
      </c>
      <c r="P317" s="72" t="s">
        <v>491</v>
      </c>
      <c r="Q317" s="68">
        <f>_xlfn.XLOOKUP(reportTbl[[#This Row],[date]],IIITbl[date],IIITbl[totalCT],0)</f>
        <v>0</v>
      </c>
      <c r="R317" s="68">
        <v>30000</v>
      </c>
    </row>
    <row r="318" spans="1:18" ht="16.5">
      <c r="A318" s="7" t="s">
        <v>962</v>
      </c>
      <c r="B318" s="67" t="s">
        <v>115</v>
      </c>
      <c r="C318" s="68">
        <f>SUMIF(cutts[date],A318,cutts[num])</f>
        <v>0</v>
      </c>
      <c r="D318" s="68"/>
      <c r="E318" s="69">
        <f>SUMIF(packes[date],A318,packes[num])</f>
        <v>0</v>
      </c>
      <c r="F318" s="69">
        <f>SUMIF(packes[date],A318,packes[wPacked])</f>
        <v>0</v>
      </c>
      <c r="G318" s="69"/>
      <c r="H318" s="69">
        <f>reportTbl[[#This Row],[personels]]-reportTbl[[#This Row],[personels]]*2.5/22-0.5</f>
        <v>-0.5</v>
      </c>
      <c r="I318" s="70">
        <f>(reportTbl[[#This Row],[وزن تولید]]*unityCycleTime-reportTbl[[#This Row],[received TimeOut]])/(reportTbl[[#This Row],[available time]]*reportTbl[[#This Row],[تعداد نیرو]])</f>
        <v>0</v>
      </c>
      <c r="J318" s="71"/>
      <c r="K318" s="73"/>
      <c r="L318" s="73"/>
      <c r="M318" s="73"/>
      <c r="N318" s="73"/>
      <c r="O318" s="73">
        <v>0</v>
      </c>
      <c r="P318" s="72" t="s">
        <v>491</v>
      </c>
      <c r="Q318" s="68">
        <f>_xlfn.XLOOKUP(reportTbl[[#This Row],[date]],IIITbl[date],IIITbl[totalCT],0)</f>
        <v>0</v>
      </c>
      <c r="R318" s="68">
        <v>30000</v>
      </c>
    </row>
    <row r="319" spans="1:18" ht="16.5">
      <c r="A319" s="7" t="s">
        <v>963</v>
      </c>
      <c r="B319" s="67" t="s">
        <v>116</v>
      </c>
      <c r="C319" s="68">
        <f>SUMIF(cutts[date],A319,cutts[num])</f>
        <v>0</v>
      </c>
      <c r="D319" s="68"/>
      <c r="E319" s="69">
        <f>SUMIF(packes[date],A319,packes[num])</f>
        <v>0</v>
      </c>
      <c r="F319" s="69">
        <f>SUMIF(packes[date],A319,packes[wPacked])</f>
        <v>0</v>
      </c>
      <c r="G319" s="69"/>
      <c r="H319" s="69">
        <f>reportTbl[[#This Row],[personels]]-reportTbl[[#This Row],[personels]]*2.5/22-0.5</f>
        <v>-0.5</v>
      </c>
      <c r="I319" s="70">
        <f>(reportTbl[[#This Row],[وزن تولید]]*unityCycleTime-reportTbl[[#This Row],[received TimeOut]])/(reportTbl[[#This Row],[available time]]*reportTbl[[#This Row],[تعداد نیرو]])</f>
        <v>0</v>
      </c>
      <c r="J319" s="71"/>
      <c r="K319" s="73"/>
      <c r="L319" s="73"/>
      <c r="M319" s="73"/>
      <c r="N319" s="73"/>
      <c r="O319" s="73">
        <v>0</v>
      </c>
      <c r="P319" s="72" t="s">
        <v>491</v>
      </c>
      <c r="Q319" s="68">
        <f>_xlfn.XLOOKUP(reportTbl[[#This Row],[date]],IIITbl[date],IIITbl[totalCT],0)</f>
        <v>0</v>
      </c>
      <c r="R319" s="68">
        <v>30000</v>
      </c>
    </row>
    <row r="320" spans="1:18" ht="16.5">
      <c r="A320" s="7" t="s">
        <v>964</v>
      </c>
      <c r="B320" s="67" t="s">
        <v>117</v>
      </c>
      <c r="C320" s="68">
        <f>SUMIF(cutts[date],A320,cutts[num])</f>
        <v>0</v>
      </c>
      <c r="D320" s="68"/>
      <c r="E320" s="69">
        <f>SUMIF(packes[date],A320,packes[num])</f>
        <v>0</v>
      </c>
      <c r="F320" s="69">
        <f>SUMIF(packes[date],A320,packes[wPacked])</f>
        <v>0</v>
      </c>
      <c r="G320" s="69"/>
      <c r="H320" s="69">
        <f>reportTbl[[#This Row],[personels]]-reportTbl[[#This Row],[personels]]*2.5/22-0.5</f>
        <v>-0.5</v>
      </c>
      <c r="I320" s="70">
        <f>(reportTbl[[#This Row],[وزن تولید]]*unityCycleTime-reportTbl[[#This Row],[received TimeOut]])/(reportTbl[[#This Row],[available time]]*reportTbl[[#This Row],[تعداد نیرو]])</f>
        <v>0</v>
      </c>
      <c r="J320" s="71"/>
      <c r="K320" s="73"/>
      <c r="L320" s="73"/>
      <c r="M320" s="73"/>
      <c r="N320" s="73"/>
      <c r="O320" s="73">
        <v>0</v>
      </c>
      <c r="P320" s="72" t="s">
        <v>491</v>
      </c>
      <c r="Q320" s="68">
        <f>_xlfn.XLOOKUP(reportTbl[[#This Row],[date]],IIITbl[date],IIITbl[totalCT],0)</f>
        <v>0</v>
      </c>
      <c r="R320" s="68">
        <v>30000</v>
      </c>
    </row>
    <row r="321" spans="1:18" ht="16.5">
      <c r="A321" s="7" t="s">
        <v>965</v>
      </c>
      <c r="B321" s="67" t="s">
        <v>118</v>
      </c>
      <c r="C321" s="68">
        <f>SUMIF(cutts[date],A321,cutts[num])</f>
        <v>0</v>
      </c>
      <c r="D321" s="68"/>
      <c r="E321" s="69">
        <f>SUMIF(packes[date],A321,packes[num])</f>
        <v>0</v>
      </c>
      <c r="F321" s="69">
        <f>SUMIF(packes[date],A321,packes[wPacked])</f>
        <v>0</v>
      </c>
      <c r="G321" s="69"/>
      <c r="H321" s="69">
        <f>reportTbl[[#This Row],[personels]]-reportTbl[[#This Row],[personels]]*2.5/22-0.5</f>
        <v>-0.5</v>
      </c>
      <c r="I321" s="70">
        <f>(reportTbl[[#This Row],[وزن تولید]]*unityCycleTime-reportTbl[[#This Row],[received TimeOut]])/(reportTbl[[#This Row],[available time]]*reportTbl[[#This Row],[تعداد نیرو]])</f>
        <v>0</v>
      </c>
      <c r="J321" s="71"/>
      <c r="K321" s="73"/>
      <c r="L321" s="73"/>
      <c r="M321" s="73"/>
      <c r="N321" s="73"/>
      <c r="O321" s="73">
        <v>0</v>
      </c>
      <c r="P321" s="72" t="s">
        <v>491</v>
      </c>
      <c r="Q321" s="68">
        <f>_xlfn.XLOOKUP(reportTbl[[#This Row],[date]],IIITbl[date],IIITbl[totalCT],0)</f>
        <v>0</v>
      </c>
      <c r="R321" s="68">
        <v>30000</v>
      </c>
    </row>
    <row r="322" spans="1:18" ht="16.5">
      <c r="A322" s="7" t="s">
        <v>966</v>
      </c>
      <c r="B322" s="67" t="s">
        <v>119</v>
      </c>
      <c r="C322" s="68">
        <f>SUMIF(cutts[date],A322,cutts[num])</f>
        <v>0</v>
      </c>
      <c r="D322" s="68"/>
      <c r="E322" s="69">
        <f>SUMIF(packes[date],A322,packes[num])</f>
        <v>0</v>
      </c>
      <c r="F322" s="69">
        <f>SUMIF(packes[date],A322,packes[wPacked])</f>
        <v>0</v>
      </c>
      <c r="G322" s="69"/>
      <c r="H322" s="69">
        <f>reportTbl[[#This Row],[personels]]-reportTbl[[#This Row],[personels]]*2.5/22-0.5</f>
        <v>-0.5</v>
      </c>
      <c r="I322" s="70">
        <f>(reportTbl[[#This Row],[وزن تولید]]*unityCycleTime-reportTbl[[#This Row],[received TimeOut]])/(reportTbl[[#This Row],[available time]]*reportTbl[[#This Row],[تعداد نیرو]])</f>
        <v>0</v>
      </c>
      <c r="J322" s="71"/>
      <c r="K322" s="73"/>
      <c r="L322" s="73"/>
      <c r="M322" s="73"/>
      <c r="N322" s="73"/>
      <c r="O322" s="73">
        <v>0</v>
      </c>
      <c r="P322" s="72" t="s">
        <v>491</v>
      </c>
      <c r="Q322" s="68">
        <f>_xlfn.XLOOKUP(reportTbl[[#This Row],[date]],IIITbl[date],IIITbl[totalCT],0)</f>
        <v>0</v>
      </c>
      <c r="R322" s="68">
        <v>30000</v>
      </c>
    </row>
    <row r="323" spans="1:18" ht="16.5">
      <c r="A323" s="7" t="s">
        <v>967</v>
      </c>
      <c r="B323" s="67" t="s">
        <v>120</v>
      </c>
      <c r="C323" s="68">
        <f>SUMIF(cutts[date],A323,cutts[num])</f>
        <v>0</v>
      </c>
      <c r="D323" s="68"/>
      <c r="E323" s="69">
        <f>SUMIF(packes[date],A323,packes[num])</f>
        <v>0</v>
      </c>
      <c r="F323" s="69">
        <f>SUMIF(packes[date],A323,packes[wPacked])</f>
        <v>0</v>
      </c>
      <c r="G323" s="69"/>
      <c r="H323" s="69">
        <f>reportTbl[[#This Row],[personels]]-reportTbl[[#This Row],[personels]]*2.5/22-0.5</f>
        <v>-0.5</v>
      </c>
      <c r="I323" s="70">
        <f>(reportTbl[[#This Row],[وزن تولید]]*unityCycleTime-reportTbl[[#This Row],[received TimeOut]])/(reportTbl[[#This Row],[available time]]*reportTbl[[#This Row],[تعداد نیرو]])</f>
        <v>0</v>
      </c>
      <c r="J323" s="71"/>
      <c r="K323" s="73"/>
      <c r="L323" s="73"/>
      <c r="M323" s="73"/>
      <c r="N323" s="73"/>
      <c r="O323" s="73">
        <v>0</v>
      </c>
      <c r="P323" s="72" t="s">
        <v>491</v>
      </c>
      <c r="Q323" s="68">
        <f>_xlfn.XLOOKUP(reportTbl[[#This Row],[date]],IIITbl[date],IIITbl[totalCT],0)</f>
        <v>0</v>
      </c>
      <c r="R323" s="68">
        <v>30000</v>
      </c>
    </row>
    <row r="324" spans="1:18" ht="16.5">
      <c r="A324" s="7" t="s">
        <v>968</v>
      </c>
      <c r="B324" s="67" t="s">
        <v>121</v>
      </c>
      <c r="C324" s="68">
        <f>SUMIF(cutts[date],A324,cutts[num])</f>
        <v>0</v>
      </c>
      <c r="D324" s="68"/>
      <c r="E324" s="69">
        <f>SUMIF(packes[date],A324,packes[num])</f>
        <v>0</v>
      </c>
      <c r="F324" s="69">
        <f>SUMIF(packes[date],A324,packes[wPacked])</f>
        <v>0</v>
      </c>
      <c r="G324" s="69"/>
      <c r="H324" s="69">
        <f>reportTbl[[#This Row],[personels]]-reportTbl[[#This Row],[personels]]*2.5/22-0.5</f>
        <v>-0.5</v>
      </c>
      <c r="I324" s="70">
        <f>(reportTbl[[#This Row],[وزن تولید]]*unityCycleTime-reportTbl[[#This Row],[received TimeOut]])/(reportTbl[[#This Row],[available time]]*reportTbl[[#This Row],[تعداد نیرو]])</f>
        <v>0</v>
      </c>
      <c r="J324" s="71"/>
      <c r="K324" s="73"/>
      <c r="L324" s="73"/>
      <c r="M324" s="73"/>
      <c r="N324" s="73"/>
      <c r="O324" s="73">
        <v>0</v>
      </c>
      <c r="P324" s="72" t="s">
        <v>491</v>
      </c>
      <c r="Q324" s="68">
        <f>_xlfn.XLOOKUP(reportTbl[[#This Row],[date]],IIITbl[date],IIITbl[totalCT],0)</f>
        <v>0</v>
      </c>
      <c r="R324" s="68">
        <v>30000</v>
      </c>
    </row>
    <row r="325" spans="1:18" ht="16.5">
      <c r="A325" s="7" t="s">
        <v>969</v>
      </c>
      <c r="B325" s="67" t="s">
        <v>115</v>
      </c>
      <c r="C325" s="68">
        <f>SUMIF(cutts[date],A325,cutts[num])</f>
        <v>0</v>
      </c>
      <c r="D325" s="68"/>
      <c r="E325" s="69">
        <f>SUMIF(packes[date],A325,packes[num])</f>
        <v>0</v>
      </c>
      <c r="F325" s="69">
        <f>SUMIF(packes[date],A325,packes[wPacked])</f>
        <v>0</v>
      </c>
      <c r="G325" s="69"/>
      <c r="H325" s="69">
        <f>reportTbl[[#This Row],[personels]]-reportTbl[[#This Row],[personels]]*2.5/22-0.5</f>
        <v>-0.5</v>
      </c>
      <c r="I325" s="70">
        <f>(reportTbl[[#This Row],[وزن تولید]]*unityCycleTime-reportTbl[[#This Row],[received TimeOut]])/(reportTbl[[#This Row],[available time]]*reportTbl[[#This Row],[تعداد نیرو]])</f>
        <v>0</v>
      </c>
      <c r="J325" s="71"/>
      <c r="K325" s="73"/>
      <c r="L325" s="73"/>
      <c r="M325" s="73"/>
      <c r="N325" s="73"/>
      <c r="O325" s="73">
        <v>0</v>
      </c>
      <c r="P325" s="72" t="s">
        <v>491</v>
      </c>
      <c r="Q325" s="68">
        <f>_xlfn.XLOOKUP(reportTbl[[#This Row],[date]],IIITbl[date],IIITbl[totalCT],0)</f>
        <v>0</v>
      </c>
      <c r="R325" s="68">
        <v>30000</v>
      </c>
    </row>
    <row r="326" spans="1:18" ht="16.5">
      <c r="A326" s="7" t="s">
        <v>970</v>
      </c>
      <c r="B326" s="67" t="s">
        <v>116</v>
      </c>
      <c r="C326" s="68">
        <f>SUMIF(cutts[date],A326,cutts[num])</f>
        <v>0</v>
      </c>
      <c r="D326" s="68"/>
      <c r="E326" s="69">
        <f>SUMIF(packes[date],A326,packes[num])</f>
        <v>0</v>
      </c>
      <c r="F326" s="69">
        <f>SUMIF(packes[date],A326,packes[wPacked])</f>
        <v>0</v>
      </c>
      <c r="G326" s="69"/>
      <c r="H326" s="69">
        <f>reportTbl[[#This Row],[personels]]-reportTbl[[#This Row],[personels]]*2.5/22-0.5</f>
        <v>-0.5</v>
      </c>
      <c r="I326" s="70">
        <f>(reportTbl[[#This Row],[وزن تولید]]*unityCycleTime-reportTbl[[#This Row],[received TimeOut]])/(reportTbl[[#This Row],[available time]]*reportTbl[[#This Row],[تعداد نیرو]])</f>
        <v>0</v>
      </c>
      <c r="J326" s="71"/>
      <c r="K326" s="73"/>
      <c r="L326" s="73"/>
      <c r="M326" s="73"/>
      <c r="N326" s="73"/>
      <c r="O326" s="73">
        <v>0</v>
      </c>
      <c r="P326" s="72" t="s">
        <v>491</v>
      </c>
      <c r="Q326" s="68">
        <f>_xlfn.XLOOKUP(reportTbl[[#This Row],[date]],IIITbl[date],IIITbl[totalCT],0)</f>
        <v>0</v>
      </c>
      <c r="R326" s="68">
        <v>30000</v>
      </c>
    </row>
    <row r="327" spans="1:18" ht="16.5">
      <c r="A327" s="7" t="s">
        <v>971</v>
      </c>
      <c r="B327" s="67" t="s">
        <v>117</v>
      </c>
      <c r="C327" s="68">
        <f>SUMIF(cutts[date],A327,cutts[num])</f>
        <v>0</v>
      </c>
      <c r="D327" s="68"/>
      <c r="E327" s="69">
        <f>SUMIF(packes[date],A327,packes[num])</f>
        <v>0</v>
      </c>
      <c r="F327" s="69">
        <f>SUMIF(packes[date],A327,packes[wPacked])</f>
        <v>0</v>
      </c>
      <c r="G327" s="69"/>
      <c r="H327" s="69">
        <f>reportTbl[[#This Row],[personels]]-reportTbl[[#This Row],[personels]]*2.5/22-0.5</f>
        <v>-0.5</v>
      </c>
      <c r="I327" s="70">
        <f>(reportTbl[[#This Row],[وزن تولید]]*unityCycleTime-reportTbl[[#This Row],[received TimeOut]])/(reportTbl[[#This Row],[available time]]*reportTbl[[#This Row],[تعداد نیرو]])</f>
        <v>0</v>
      </c>
      <c r="J327" s="71"/>
      <c r="K327" s="73"/>
      <c r="L327" s="73"/>
      <c r="M327" s="73"/>
      <c r="N327" s="73"/>
      <c r="O327" s="73">
        <v>0</v>
      </c>
      <c r="P327" s="72" t="s">
        <v>491</v>
      </c>
      <c r="Q327" s="68">
        <f>_xlfn.XLOOKUP(reportTbl[[#This Row],[date]],IIITbl[date],IIITbl[totalCT],0)</f>
        <v>0</v>
      </c>
      <c r="R327" s="68">
        <v>30000</v>
      </c>
    </row>
    <row r="328" spans="1:18" ht="16.5">
      <c r="A328" s="7" t="s">
        <v>972</v>
      </c>
      <c r="B328" s="67" t="s">
        <v>118</v>
      </c>
      <c r="C328" s="68">
        <f>SUMIF(cutts[date],A328,cutts[num])</f>
        <v>0</v>
      </c>
      <c r="D328" s="68"/>
      <c r="E328" s="69">
        <f>SUMIF(packes[date],A328,packes[num])</f>
        <v>0</v>
      </c>
      <c r="F328" s="69">
        <f>SUMIF(packes[date],A328,packes[wPacked])</f>
        <v>0</v>
      </c>
      <c r="G328" s="69"/>
      <c r="H328" s="69">
        <f>reportTbl[[#This Row],[personels]]-reportTbl[[#This Row],[personels]]*2.5/22-0.5</f>
        <v>-0.5</v>
      </c>
      <c r="I328" s="70">
        <f>(reportTbl[[#This Row],[وزن تولید]]*unityCycleTime-reportTbl[[#This Row],[received TimeOut]])/(reportTbl[[#This Row],[available time]]*reportTbl[[#This Row],[تعداد نیرو]])</f>
        <v>0</v>
      </c>
      <c r="J328" s="71"/>
      <c r="K328" s="73"/>
      <c r="L328" s="73"/>
      <c r="M328" s="73"/>
      <c r="N328" s="73"/>
      <c r="O328" s="73">
        <v>0</v>
      </c>
      <c r="P328" s="72" t="s">
        <v>491</v>
      </c>
      <c r="Q328" s="68">
        <f>_xlfn.XLOOKUP(reportTbl[[#This Row],[date]],IIITbl[date],IIITbl[totalCT],0)</f>
        <v>0</v>
      </c>
      <c r="R328" s="68">
        <v>30000</v>
      </c>
    </row>
    <row r="329" spans="1:18" ht="16.5">
      <c r="A329" s="7" t="s">
        <v>973</v>
      </c>
      <c r="B329" s="67" t="s">
        <v>119</v>
      </c>
      <c r="C329" s="68">
        <f>SUMIF(cutts[date],A329,cutts[num])</f>
        <v>0</v>
      </c>
      <c r="D329" s="68"/>
      <c r="E329" s="69">
        <f>SUMIF(packes[date],A329,packes[num])</f>
        <v>0</v>
      </c>
      <c r="F329" s="69">
        <f>SUMIF(packes[date],A329,packes[wPacked])</f>
        <v>0</v>
      </c>
      <c r="G329" s="69"/>
      <c r="H329" s="69">
        <f>reportTbl[[#This Row],[personels]]-reportTbl[[#This Row],[personels]]*2.5/22-0.5</f>
        <v>-0.5</v>
      </c>
      <c r="I329" s="70">
        <f>(reportTbl[[#This Row],[وزن تولید]]*unityCycleTime-reportTbl[[#This Row],[received TimeOut]])/(reportTbl[[#This Row],[available time]]*reportTbl[[#This Row],[تعداد نیرو]])</f>
        <v>0</v>
      </c>
      <c r="J329" s="71"/>
      <c r="K329" s="73"/>
      <c r="L329" s="73"/>
      <c r="M329" s="73"/>
      <c r="N329" s="73"/>
      <c r="O329" s="73">
        <v>0</v>
      </c>
      <c r="P329" s="72" t="s">
        <v>491</v>
      </c>
      <c r="Q329" s="68">
        <f>_xlfn.XLOOKUP(reportTbl[[#This Row],[date]],IIITbl[date],IIITbl[totalCT],0)</f>
        <v>0</v>
      </c>
      <c r="R329" s="68">
        <v>30000</v>
      </c>
    </row>
    <row r="330" spans="1:18" ht="16.5">
      <c r="A330" s="7" t="s">
        <v>974</v>
      </c>
      <c r="B330" s="67" t="s">
        <v>120</v>
      </c>
      <c r="C330" s="68">
        <f>SUMIF(cutts[date],A330,cutts[num])</f>
        <v>0</v>
      </c>
      <c r="D330" s="68"/>
      <c r="E330" s="69">
        <f>SUMIF(packes[date],A330,packes[num])</f>
        <v>0</v>
      </c>
      <c r="F330" s="69">
        <f>SUMIF(packes[date],A330,packes[wPacked])</f>
        <v>0</v>
      </c>
      <c r="G330" s="69"/>
      <c r="H330" s="69">
        <f>reportTbl[[#This Row],[personels]]-reportTbl[[#This Row],[personels]]*2.5/22-0.5</f>
        <v>-0.5</v>
      </c>
      <c r="I330" s="70">
        <f>(reportTbl[[#This Row],[وزن تولید]]*unityCycleTime-reportTbl[[#This Row],[received TimeOut]])/(reportTbl[[#This Row],[available time]]*reportTbl[[#This Row],[تعداد نیرو]])</f>
        <v>0</v>
      </c>
      <c r="J330" s="71"/>
      <c r="K330" s="73"/>
      <c r="L330" s="73"/>
      <c r="M330" s="73"/>
      <c r="N330" s="73"/>
      <c r="O330" s="73">
        <v>0</v>
      </c>
      <c r="P330" s="72" t="s">
        <v>491</v>
      </c>
      <c r="Q330" s="68">
        <f>_xlfn.XLOOKUP(reportTbl[[#This Row],[date]],IIITbl[date],IIITbl[totalCT],0)</f>
        <v>0</v>
      </c>
      <c r="R330" s="68">
        <v>30000</v>
      </c>
    </row>
    <row r="331" spans="1:18" ht="16.5">
      <c r="A331" s="7" t="s">
        <v>975</v>
      </c>
      <c r="B331" s="67" t="s">
        <v>121</v>
      </c>
      <c r="C331" s="68">
        <f>SUMIF(cutts[date],A331,cutts[num])</f>
        <v>0</v>
      </c>
      <c r="D331" s="68"/>
      <c r="E331" s="69">
        <f>SUMIF(packes[date],A331,packes[num])</f>
        <v>0</v>
      </c>
      <c r="F331" s="69">
        <f>SUMIF(packes[date],A331,packes[wPacked])</f>
        <v>0</v>
      </c>
      <c r="G331" s="69"/>
      <c r="H331" s="69">
        <f>reportTbl[[#This Row],[personels]]-reportTbl[[#This Row],[personels]]*2.5/22-0.5</f>
        <v>-0.5</v>
      </c>
      <c r="I331" s="70">
        <f>(reportTbl[[#This Row],[وزن تولید]]*unityCycleTime-reportTbl[[#This Row],[received TimeOut]])/(reportTbl[[#This Row],[available time]]*reportTbl[[#This Row],[تعداد نیرو]])</f>
        <v>0</v>
      </c>
      <c r="J331" s="71"/>
      <c r="K331" s="73"/>
      <c r="L331" s="73"/>
      <c r="M331" s="73"/>
      <c r="N331" s="73"/>
      <c r="O331" s="73">
        <v>0</v>
      </c>
      <c r="P331" s="72" t="s">
        <v>491</v>
      </c>
      <c r="Q331" s="68">
        <f>_xlfn.XLOOKUP(reportTbl[[#This Row],[date]],IIITbl[date],IIITbl[totalCT],0)</f>
        <v>0</v>
      </c>
      <c r="R331" s="68">
        <v>30000</v>
      </c>
    </row>
    <row r="332" spans="1:18" ht="16.5">
      <c r="A332" s="7" t="s">
        <v>976</v>
      </c>
      <c r="B332" s="67" t="s">
        <v>115</v>
      </c>
      <c r="C332" s="68">
        <f>SUMIF(cutts[date],A332,cutts[num])</f>
        <v>0</v>
      </c>
      <c r="D332" s="68"/>
      <c r="E332" s="69">
        <f>SUMIF(packes[date],A332,packes[num])</f>
        <v>0</v>
      </c>
      <c r="F332" s="69">
        <f>SUMIF(packes[date],A332,packes[wPacked])</f>
        <v>0</v>
      </c>
      <c r="G332" s="69"/>
      <c r="H332" s="69">
        <f>reportTbl[[#This Row],[personels]]-reportTbl[[#This Row],[personels]]*2.5/22-0.5</f>
        <v>-0.5</v>
      </c>
      <c r="I332" s="70">
        <f>(reportTbl[[#This Row],[وزن تولید]]*unityCycleTime-reportTbl[[#This Row],[received TimeOut]])/(reportTbl[[#This Row],[available time]]*reportTbl[[#This Row],[تعداد نیرو]])</f>
        <v>0</v>
      </c>
      <c r="J332" s="71"/>
      <c r="K332" s="73"/>
      <c r="L332" s="73"/>
      <c r="M332" s="73"/>
      <c r="N332" s="73"/>
      <c r="O332" s="73">
        <v>0</v>
      </c>
      <c r="P332" s="72" t="s">
        <v>491</v>
      </c>
      <c r="Q332" s="68">
        <f>_xlfn.XLOOKUP(reportTbl[[#This Row],[date]],IIITbl[date],IIITbl[totalCT],0)</f>
        <v>0</v>
      </c>
      <c r="R332" s="68">
        <v>30000</v>
      </c>
    </row>
    <row r="333" spans="1:18" ht="16.5">
      <c r="A333" s="7" t="s">
        <v>977</v>
      </c>
      <c r="B333" s="67" t="s">
        <v>116</v>
      </c>
      <c r="C333" s="68">
        <f>SUMIF(cutts[date],A333,cutts[num])</f>
        <v>0</v>
      </c>
      <c r="D333" s="68"/>
      <c r="E333" s="69">
        <f>SUMIF(packes[date],A333,packes[num])</f>
        <v>0</v>
      </c>
      <c r="F333" s="69">
        <f>SUMIF(packes[date],A333,packes[wPacked])</f>
        <v>0</v>
      </c>
      <c r="G333" s="69"/>
      <c r="H333" s="69">
        <f>reportTbl[[#This Row],[personels]]-reportTbl[[#This Row],[personels]]*2.5/22-0.5</f>
        <v>-0.5</v>
      </c>
      <c r="I333" s="70">
        <f>(reportTbl[[#This Row],[وزن تولید]]*unityCycleTime-reportTbl[[#This Row],[received TimeOut]])/(reportTbl[[#This Row],[available time]]*reportTbl[[#This Row],[تعداد نیرو]])</f>
        <v>0</v>
      </c>
      <c r="J333" s="71"/>
      <c r="K333" s="73"/>
      <c r="L333" s="73"/>
      <c r="M333" s="73"/>
      <c r="N333" s="73"/>
      <c r="O333" s="73">
        <v>0</v>
      </c>
      <c r="P333" s="72" t="s">
        <v>491</v>
      </c>
      <c r="Q333" s="68">
        <f>_xlfn.XLOOKUP(reportTbl[[#This Row],[date]],IIITbl[date],IIITbl[totalCT],0)</f>
        <v>0</v>
      </c>
      <c r="R333" s="68">
        <v>30000</v>
      </c>
    </row>
    <row r="334" spans="1:18" ht="16.5">
      <c r="A334" s="7" t="s">
        <v>978</v>
      </c>
      <c r="B334" s="67" t="s">
        <v>117</v>
      </c>
      <c r="C334" s="68">
        <f>SUMIF(cutts[date],A334,cutts[num])</f>
        <v>0</v>
      </c>
      <c r="D334" s="68"/>
      <c r="E334" s="69">
        <f>SUMIF(packes[date],A334,packes[num])</f>
        <v>0</v>
      </c>
      <c r="F334" s="69">
        <f>SUMIF(packes[date],A334,packes[wPacked])</f>
        <v>0</v>
      </c>
      <c r="G334" s="69"/>
      <c r="H334" s="69">
        <f>reportTbl[[#This Row],[personels]]-reportTbl[[#This Row],[personels]]*2.5/22-0.5</f>
        <v>-0.5</v>
      </c>
      <c r="I334" s="70">
        <f>(reportTbl[[#This Row],[وزن تولید]]*unityCycleTime-reportTbl[[#This Row],[received TimeOut]])/(reportTbl[[#This Row],[available time]]*reportTbl[[#This Row],[تعداد نیرو]])</f>
        <v>0</v>
      </c>
      <c r="J334" s="71"/>
      <c r="K334" s="73"/>
      <c r="L334" s="73"/>
      <c r="M334" s="73"/>
      <c r="N334" s="73"/>
      <c r="O334" s="73">
        <v>0</v>
      </c>
      <c r="P334" s="72" t="s">
        <v>491</v>
      </c>
      <c r="Q334" s="68">
        <f>_xlfn.XLOOKUP(reportTbl[[#This Row],[date]],IIITbl[date],IIITbl[totalCT],0)</f>
        <v>0</v>
      </c>
      <c r="R334" s="68">
        <v>30000</v>
      </c>
    </row>
    <row r="335" spans="1:18" ht="16.5">
      <c r="A335" s="7" t="s">
        <v>979</v>
      </c>
      <c r="B335" s="67" t="s">
        <v>118</v>
      </c>
      <c r="C335" s="68">
        <f>SUMIF(cutts[date],A335,cutts[num])</f>
        <v>0</v>
      </c>
      <c r="D335" s="68"/>
      <c r="E335" s="69">
        <f>SUMIF(packes[date],A335,packes[num])</f>
        <v>0</v>
      </c>
      <c r="F335" s="69">
        <f>SUMIF(packes[date],A335,packes[wPacked])</f>
        <v>0</v>
      </c>
      <c r="G335" s="69"/>
      <c r="H335" s="69">
        <f>reportTbl[[#This Row],[personels]]-reportTbl[[#This Row],[personels]]*2.5/22-0.5</f>
        <v>-0.5</v>
      </c>
      <c r="I335" s="70">
        <f>(reportTbl[[#This Row],[وزن تولید]]*unityCycleTime-reportTbl[[#This Row],[received TimeOut]])/(reportTbl[[#This Row],[available time]]*reportTbl[[#This Row],[تعداد نیرو]])</f>
        <v>0</v>
      </c>
      <c r="J335" s="71"/>
      <c r="K335" s="73"/>
      <c r="L335" s="73"/>
      <c r="M335" s="73"/>
      <c r="N335" s="73"/>
      <c r="O335" s="73">
        <v>0</v>
      </c>
      <c r="P335" s="72" t="s">
        <v>491</v>
      </c>
      <c r="Q335" s="68">
        <f>_xlfn.XLOOKUP(reportTbl[[#This Row],[date]],IIITbl[date],IIITbl[totalCT],0)</f>
        <v>0</v>
      </c>
      <c r="R335" s="68">
        <v>30000</v>
      </c>
    </row>
    <row r="336" spans="1:18" ht="16.5">
      <c r="A336" s="7" t="s">
        <v>980</v>
      </c>
      <c r="B336" s="67" t="s">
        <v>119</v>
      </c>
      <c r="C336" s="68">
        <f>SUMIF(cutts[date],A336,cutts[num])</f>
        <v>0</v>
      </c>
      <c r="D336" s="68"/>
      <c r="E336" s="69">
        <f>SUMIF(packes[date],A336,packes[num])</f>
        <v>0</v>
      </c>
      <c r="F336" s="69">
        <f>SUMIF(packes[date],A336,packes[wPacked])</f>
        <v>0</v>
      </c>
      <c r="G336" s="69"/>
      <c r="H336" s="69">
        <f>reportTbl[[#This Row],[personels]]-reportTbl[[#This Row],[personels]]*2.5/22-0.5</f>
        <v>-0.5</v>
      </c>
      <c r="I336" s="70">
        <f>(reportTbl[[#This Row],[وزن تولید]]*unityCycleTime-reportTbl[[#This Row],[received TimeOut]])/(reportTbl[[#This Row],[available time]]*reportTbl[[#This Row],[تعداد نیرو]])</f>
        <v>0</v>
      </c>
      <c r="J336" s="71"/>
      <c r="K336" s="73"/>
      <c r="L336" s="73"/>
      <c r="M336" s="73"/>
      <c r="N336" s="73"/>
      <c r="O336" s="73">
        <v>0</v>
      </c>
      <c r="P336" s="72" t="s">
        <v>491</v>
      </c>
      <c r="Q336" s="68">
        <f>_xlfn.XLOOKUP(reportTbl[[#This Row],[date]],IIITbl[date],IIITbl[totalCT],0)</f>
        <v>0</v>
      </c>
      <c r="R336" s="68">
        <v>30000</v>
      </c>
    </row>
    <row r="337" spans="1:18" ht="16.5">
      <c r="A337" s="7" t="s">
        <v>981</v>
      </c>
      <c r="B337" s="67" t="s">
        <v>120</v>
      </c>
      <c r="C337" s="68">
        <f>SUMIF(cutts[date],A337,cutts[num])</f>
        <v>0</v>
      </c>
      <c r="D337" s="68"/>
      <c r="E337" s="69">
        <f>SUMIF(packes[date],A337,packes[num])</f>
        <v>0</v>
      </c>
      <c r="F337" s="69">
        <f>SUMIF(packes[date],A337,packes[wPacked])</f>
        <v>0</v>
      </c>
      <c r="G337" s="69"/>
      <c r="H337" s="69">
        <f>reportTbl[[#This Row],[personels]]-reportTbl[[#This Row],[personels]]*2.5/22-0.5</f>
        <v>-0.5</v>
      </c>
      <c r="I337" s="70">
        <f>(reportTbl[[#This Row],[وزن تولید]]*unityCycleTime-reportTbl[[#This Row],[received TimeOut]])/(reportTbl[[#This Row],[available time]]*reportTbl[[#This Row],[تعداد نیرو]])</f>
        <v>0</v>
      </c>
      <c r="J337" s="71"/>
      <c r="K337" s="73"/>
      <c r="L337" s="73"/>
      <c r="M337" s="73"/>
      <c r="N337" s="73"/>
      <c r="O337" s="73">
        <v>0</v>
      </c>
      <c r="P337" s="72" t="s">
        <v>491</v>
      </c>
      <c r="Q337" s="68">
        <f>_xlfn.XLOOKUP(reportTbl[[#This Row],[date]],IIITbl[date],IIITbl[totalCT],0)</f>
        <v>0</v>
      </c>
      <c r="R337" s="68">
        <v>30000</v>
      </c>
    </row>
    <row r="338" spans="1:18" ht="16.5">
      <c r="A338" s="7" t="s">
        <v>982</v>
      </c>
      <c r="B338" s="67" t="s">
        <v>121</v>
      </c>
      <c r="C338" s="68">
        <f>SUMIF(cutts[date],A338,cutts[num])</f>
        <v>0</v>
      </c>
      <c r="D338" s="68"/>
      <c r="E338" s="69">
        <f>SUMIF(packes[date],A338,packes[num])</f>
        <v>0</v>
      </c>
      <c r="F338" s="69">
        <f>SUMIF(packes[date],A338,packes[wPacked])</f>
        <v>0</v>
      </c>
      <c r="G338" s="69"/>
      <c r="H338" s="69">
        <f>reportTbl[[#This Row],[personels]]-reportTbl[[#This Row],[personels]]*2.5/22-0.5</f>
        <v>-0.5</v>
      </c>
      <c r="I338" s="70">
        <f>(reportTbl[[#This Row],[وزن تولید]]*unityCycleTime-reportTbl[[#This Row],[received TimeOut]])/(reportTbl[[#This Row],[available time]]*reportTbl[[#This Row],[تعداد نیرو]])</f>
        <v>0</v>
      </c>
      <c r="J338" s="71"/>
      <c r="K338" s="73"/>
      <c r="L338" s="73"/>
      <c r="M338" s="73"/>
      <c r="N338" s="73"/>
      <c r="O338" s="73">
        <v>0</v>
      </c>
      <c r="P338" s="72" t="s">
        <v>348</v>
      </c>
      <c r="Q338" s="68">
        <f>_xlfn.XLOOKUP(reportTbl[[#This Row],[date]],IIITbl[date],IIITbl[totalCT],0)</f>
        <v>0</v>
      </c>
      <c r="R338" s="68">
        <v>30000</v>
      </c>
    </row>
    <row r="339" spans="1:18" ht="16.5">
      <c r="A339" s="7" t="s">
        <v>983</v>
      </c>
      <c r="B339" s="67" t="s">
        <v>115</v>
      </c>
      <c r="C339" s="68">
        <f>SUMIF(cutts[date],A339,cutts[num])</f>
        <v>0</v>
      </c>
      <c r="D339" s="68"/>
      <c r="E339" s="69">
        <f>SUMIF(packes[date],A339,packes[num])</f>
        <v>0</v>
      </c>
      <c r="F339" s="69">
        <f>SUMIF(packes[date],A339,packes[wPacked])</f>
        <v>0</v>
      </c>
      <c r="G339" s="69"/>
      <c r="H339" s="69">
        <f>reportTbl[[#This Row],[personels]]-reportTbl[[#This Row],[personels]]*2.5/22-0.5</f>
        <v>-0.5</v>
      </c>
      <c r="I339" s="70">
        <f>(reportTbl[[#This Row],[وزن تولید]]*unityCycleTime-reportTbl[[#This Row],[received TimeOut]])/(reportTbl[[#This Row],[available time]]*reportTbl[[#This Row],[تعداد نیرو]])</f>
        <v>0</v>
      </c>
      <c r="J339" s="71"/>
      <c r="K339" s="73"/>
      <c r="L339" s="73"/>
      <c r="M339" s="73"/>
      <c r="N339" s="73"/>
      <c r="O339" s="73">
        <v>0</v>
      </c>
      <c r="P339" s="72" t="s">
        <v>348</v>
      </c>
      <c r="Q339" s="68">
        <f>_xlfn.XLOOKUP(reportTbl[[#This Row],[date]],IIITbl[date],IIITbl[totalCT],0)</f>
        <v>0</v>
      </c>
      <c r="R339" s="68">
        <v>30000</v>
      </c>
    </row>
    <row r="340" spans="1:18" ht="16.5">
      <c r="A340" s="7" t="s">
        <v>984</v>
      </c>
      <c r="B340" s="67" t="s">
        <v>116</v>
      </c>
      <c r="C340" s="68">
        <f>SUMIF(cutts[date],A340,cutts[num])</f>
        <v>0</v>
      </c>
      <c r="D340" s="68"/>
      <c r="E340" s="69">
        <f>SUMIF(packes[date],A340,packes[num])</f>
        <v>0</v>
      </c>
      <c r="F340" s="69">
        <f>SUMIF(packes[date],A340,packes[wPacked])</f>
        <v>0</v>
      </c>
      <c r="G340" s="69"/>
      <c r="H340" s="69">
        <f>reportTbl[[#This Row],[personels]]-reportTbl[[#This Row],[personels]]*2.5/22-0.5</f>
        <v>-0.5</v>
      </c>
      <c r="I340" s="70">
        <f>(reportTbl[[#This Row],[وزن تولید]]*unityCycleTime-reportTbl[[#This Row],[received TimeOut]])/(reportTbl[[#This Row],[available time]]*reportTbl[[#This Row],[تعداد نیرو]])</f>
        <v>0</v>
      </c>
      <c r="J340" s="71"/>
      <c r="K340" s="73"/>
      <c r="L340" s="73"/>
      <c r="M340" s="73"/>
      <c r="N340" s="73"/>
      <c r="O340" s="73">
        <v>0</v>
      </c>
      <c r="P340" s="72" t="s">
        <v>348</v>
      </c>
      <c r="Q340" s="68">
        <f>_xlfn.XLOOKUP(reportTbl[[#This Row],[date]],IIITbl[date],IIITbl[totalCT],0)</f>
        <v>0</v>
      </c>
      <c r="R340" s="68">
        <v>30000</v>
      </c>
    </row>
    <row r="341" spans="1:18" ht="16.5">
      <c r="A341" s="7" t="s">
        <v>985</v>
      </c>
      <c r="B341" s="67" t="s">
        <v>117</v>
      </c>
      <c r="C341" s="68">
        <f>SUMIF(cutts[date],A341,cutts[num])</f>
        <v>0</v>
      </c>
      <c r="D341" s="68"/>
      <c r="E341" s="69">
        <f>SUMIF(packes[date],A341,packes[num])</f>
        <v>0</v>
      </c>
      <c r="F341" s="69">
        <f>SUMIF(packes[date],A341,packes[wPacked])</f>
        <v>0</v>
      </c>
      <c r="G341" s="69"/>
      <c r="H341" s="69">
        <f>reportTbl[[#This Row],[personels]]-reportTbl[[#This Row],[personels]]*2.5/22-0.5</f>
        <v>-0.5</v>
      </c>
      <c r="I341" s="70">
        <f>(reportTbl[[#This Row],[وزن تولید]]*unityCycleTime-reportTbl[[#This Row],[received TimeOut]])/(reportTbl[[#This Row],[available time]]*reportTbl[[#This Row],[تعداد نیرو]])</f>
        <v>0</v>
      </c>
      <c r="J341" s="71"/>
      <c r="K341" s="73"/>
      <c r="L341" s="73"/>
      <c r="M341" s="73"/>
      <c r="N341" s="73"/>
      <c r="O341" s="73">
        <v>0</v>
      </c>
      <c r="P341" s="72" t="s">
        <v>348</v>
      </c>
      <c r="Q341" s="68">
        <f>_xlfn.XLOOKUP(reportTbl[[#This Row],[date]],IIITbl[date],IIITbl[totalCT],0)</f>
        <v>0</v>
      </c>
      <c r="R341" s="68">
        <v>30000</v>
      </c>
    </row>
    <row r="342" spans="1:18" ht="16.5">
      <c r="A342" s="7" t="s">
        <v>986</v>
      </c>
      <c r="B342" s="67" t="s">
        <v>118</v>
      </c>
      <c r="C342" s="68">
        <f>SUMIF(cutts[date],A342,cutts[num])</f>
        <v>0</v>
      </c>
      <c r="D342" s="68"/>
      <c r="E342" s="69">
        <f>SUMIF(packes[date],A342,packes[num])</f>
        <v>0</v>
      </c>
      <c r="F342" s="69">
        <f>SUMIF(packes[date],A342,packes[wPacked])</f>
        <v>0</v>
      </c>
      <c r="G342" s="69"/>
      <c r="H342" s="69">
        <f>reportTbl[[#This Row],[personels]]-reportTbl[[#This Row],[personels]]*2.5/22-0.5</f>
        <v>-0.5</v>
      </c>
      <c r="I342" s="70">
        <f>(reportTbl[[#This Row],[وزن تولید]]*unityCycleTime-reportTbl[[#This Row],[received TimeOut]])/(reportTbl[[#This Row],[available time]]*reportTbl[[#This Row],[تعداد نیرو]])</f>
        <v>0</v>
      </c>
      <c r="J342" s="71"/>
      <c r="K342" s="73"/>
      <c r="L342" s="73"/>
      <c r="M342" s="73"/>
      <c r="N342" s="73"/>
      <c r="O342" s="73">
        <v>0</v>
      </c>
      <c r="P342" s="72" t="s">
        <v>348</v>
      </c>
      <c r="Q342" s="68">
        <f>_xlfn.XLOOKUP(reportTbl[[#This Row],[date]],IIITbl[date],IIITbl[totalCT],0)</f>
        <v>0</v>
      </c>
      <c r="R342" s="68">
        <v>30000</v>
      </c>
    </row>
    <row r="343" spans="1:18" ht="16.5">
      <c r="A343" s="7" t="s">
        <v>987</v>
      </c>
      <c r="B343" s="67" t="s">
        <v>119</v>
      </c>
      <c r="C343" s="68">
        <f>SUMIF(cutts[date],A343,cutts[num])</f>
        <v>0</v>
      </c>
      <c r="D343" s="68"/>
      <c r="E343" s="69">
        <f>SUMIF(packes[date],A343,packes[num])</f>
        <v>0</v>
      </c>
      <c r="F343" s="69">
        <f>SUMIF(packes[date],A343,packes[wPacked])</f>
        <v>0</v>
      </c>
      <c r="G343" s="69"/>
      <c r="H343" s="69">
        <f>reportTbl[[#This Row],[personels]]-reportTbl[[#This Row],[personels]]*2.5/22-0.5</f>
        <v>-0.5</v>
      </c>
      <c r="I343" s="70">
        <f>(reportTbl[[#This Row],[وزن تولید]]*unityCycleTime-reportTbl[[#This Row],[received TimeOut]])/(reportTbl[[#This Row],[available time]]*reportTbl[[#This Row],[تعداد نیرو]])</f>
        <v>0</v>
      </c>
      <c r="J343" s="71"/>
      <c r="K343" s="73"/>
      <c r="L343" s="73"/>
      <c r="M343" s="73"/>
      <c r="N343" s="73"/>
      <c r="O343" s="73">
        <v>0</v>
      </c>
      <c r="P343" s="72" t="s">
        <v>348</v>
      </c>
      <c r="Q343" s="68">
        <f>_xlfn.XLOOKUP(reportTbl[[#This Row],[date]],IIITbl[date],IIITbl[totalCT],0)</f>
        <v>0</v>
      </c>
      <c r="R343" s="68">
        <v>30000</v>
      </c>
    </row>
    <row r="344" spans="1:18" ht="16.5">
      <c r="A344" s="7" t="s">
        <v>988</v>
      </c>
      <c r="B344" s="67" t="s">
        <v>120</v>
      </c>
      <c r="C344" s="68">
        <f>SUMIF(cutts[date],A344,cutts[num])</f>
        <v>0</v>
      </c>
      <c r="D344" s="68"/>
      <c r="E344" s="69">
        <f>SUMIF(packes[date],A344,packes[num])</f>
        <v>0</v>
      </c>
      <c r="F344" s="69">
        <f>SUMIF(packes[date],A344,packes[wPacked])</f>
        <v>0</v>
      </c>
      <c r="G344" s="69"/>
      <c r="H344" s="69">
        <f>reportTbl[[#This Row],[personels]]-reportTbl[[#This Row],[personels]]*2.5/22-0.5</f>
        <v>-0.5</v>
      </c>
      <c r="I344" s="70">
        <f>(reportTbl[[#This Row],[وزن تولید]]*unityCycleTime-reportTbl[[#This Row],[received TimeOut]])/(reportTbl[[#This Row],[available time]]*reportTbl[[#This Row],[تعداد نیرو]])</f>
        <v>0</v>
      </c>
      <c r="J344" s="71"/>
      <c r="K344" s="73"/>
      <c r="L344" s="73"/>
      <c r="M344" s="73"/>
      <c r="N344" s="73"/>
      <c r="O344" s="73">
        <v>0</v>
      </c>
      <c r="P344" s="72" t="s">
        <v>348</v>
      </c>
      <c r="Q344" s="68">
        <f>_xlfn.XLOOKUP(reportTbl[[#This Row],[date]],IIITbl[date],IIITbl[totalCT],0)</f>
        <v>0</v>
      </c>
      <c r="R344" s="68">
        <v>30000</v>
      </c>
    </row>
    <row r="345" spans="1:18" ht="16.5">
      <c r="A345" s="7" t="s">
        <v>989</v>
      </c>
      <c r="B345" s="67" t="s">
        <v>121</v>
      </c>
      <c r="C345" s="68">
        <f>SUMIF(cutts[date],A345,cutts[num])</f>
        <v>0</v>
      </c>
      <c r="D345" s="68"/>
      <c r="E345" s="69">
        <f>SUMIF(packes[date],A345,packes[num])</f>
        <v>0</v>
      </c>
      <c r="F345" s="69">
        <f>SUMIF(packes[date],A345,packes[wPacked])</f>
        <v>0</v>
      </c>
      <c r="G345" s="69"/>
      <c r="H345" s="69">
        <f>reportTbl[[#This Row],[personels]]-reportTbl[[#This Row],[personels]]*2.5/22-0.5</f>
        <v>-0.5</v>
      </c>
      <c r="I345" s="70">
        <f>(reportTbl[[#This Row],[وزن تولید]]*unityCycleTime-reportTbl[[#This Row],[received TimeOut]])/(reportTbl[[#This Row],[available time]]*reportTbl[[#This Row],[تعداد نیرو]])</f>
        <v>0</v>
      </c>
      <c r="J345" s="71"/>
      <c r="K345" s="73"/>
      <c r="L345" s="73"/>
      <c r="M345" s="73"/>
      <c r="N345" s="73"/>
      <c r="O345" s="73">
        <v>0</v>
      </c>
      <c r="P345" s="72" t="s">
        <v>348</v>
      </c>
      <c r="Q345" s="68">
        <f>_xlfn.XLOOKUP(reportTbl[[#This Row],[date]],IIITbl[date],IIITbl[totalCT],0)</f>
        <v>0</v>
      </c>
      <c r="R345" s="68">
        <v>30000</v>
      </c>
    </row>
    <row r="346" spans="1:18" ht="16.5">
      <c r="A346" s="7" t="s">
        <v>990</v>
      </c>
      <c r="B346" s="67" t="s">
        <v>115</v>
      </c>
      <c r="C346" s="68">
        <f>SUMIF(cutts[date],A346,cutts[num])</f>
        <v>0</v>
      </c>
      <c r="D346" s="68"/>
      <c r="E346" s="69">
        <f>SUMIF(packes[date],A346,packes[num])</f>
        <v>0</v>
      </c>
      <c r="F346" s="69">
        <f>SUMIF(packes[date],A346,packes[wPacked])</f>
        <v>0</v>
      </c>
      <c r="G346" s="69"/>
      <c r="H346" s="69">
        <f>reportTbl[[#This Row],[personels]]-reportTbl[[#This Row],[personels]]*2.5/22-0.5</f>
        <v>-0.5</v>
      </c>
      <c r="I346" s="70">
        <f>(reportTbl[[#This Row],[وزن تولید]]*unityCycleTime-reportTbl[[#This Row],[received TimeOut]])/(reportTbl[[#This Row],[available time]]*reportTbl[[#This Row],[تعداد نیرو]])</f>
        <v>0</v>
      </c>
      <c r="J346" s="71"/>
      <c r="K346" s="73"/>
      <c r="L346" s="73"/>
      <c r="M346" s="73"/>
      <c r="N346" s="73"/>
      <c r="O346" s="73">
        <v>0</v>
      </c>
      <c r="P346" s="72" t="s">
        <v>348</v>
      </c>
      <c r="Q346" s="68">
        <f>_xlfn.XLOOKUP(reportTbl[[#This Row],[date]],IIITbl[date],IIITbl[totalCT],0)</f>
        <v>0</v>
      </c>
      <c r="R346" s="68">
        <v>30000</v>
      </c>
    </row>
    <row r="347" spans="1:18" ht="16.5">
      <c r="A347" s="7" t="s">
        <v>991</v>
      </c>
      <c r="B347" s="67" t="s">
        <v>116</v>
      </c>
      <c r="C347" s="68">
        <f>SUMIF(cutts[date],A347,cutts[num])</f>
        <v>0</v>
      </c>
      <c r="D347" s="68"/>
      <c r="E347" s="69">
        <f>SUMIF(packes[date],A347,packes[num])</f>
        <v>0</v>
      </c>
      <c r="F347" s="69">
        <f>SUMIF(packes[date],A347,packes[wPacked])</f>
        <v>0</v>
      </c>
      <c r="G347" s="69"/>
      <c r="H347" s="69">
        <f>reportTbl[[#This Row],[personels]]-reportTbl[[#This Row],[personels]]*2.5/22-0.5</f>
        <v>-0.5</v>
      </c>
      <c r="I347" s="70">
        <f>(reportTbl[[#This Row],[وزن تولید]]*unityCycleTime-reportTbl[[#This Row],[received TimeOut]])/(reportTbl[[#This Row],[available time]]*reportTbl[[#This Row],[تعداد نیرو]])</f>
        <v>0</v>
      </c>
      <c r="J347" s="71"/>
      <c r="K347" s="73"/>
      <c r="L347" s="73"/>
      <c r="M347" s="73"/>
      <c r="N347" s="73"/>
      <c r="O347" s="73">
        <v>0</v>
      </c>
      <c r="P347" s="72" t="s">
        <v>348</v>
      </c>
      <c r="Q347" s="68">
        <f>_xlfn.XLOOKUP(reportTbl[[#This Row],[date]],IIITbl[date],IIITbl[totalCT],0)</f>
        <v>0</v>
      </c>
      <c r="R347" s="68">
        <v>30000</v>
      </c>
    </row>
    <row r="348" spans="1:18" ht="16.5">
      <c r="A348" s="7" t="s">
        <v>992</v>
      </c>
      <c r="B348" s="67" t="s">
        <v>117</v>
      </c>
      <c r="C348" s="68">
        <f>SUMIF(cutts[date],A348,cutts[num])</f>
        <v>0</v>
      </c>
      <c r="D348" s="68"/>
      <c r="E348" s="69">
        <f>SUMIF(packes[date],A348,packes[num])</f>
        <v>0</v>
      </c>
      <c r="F348" s="69">
        <f>SUMIF(packes[date],A348,packes[wPacked])</f>
        <v>0</v>
      </c>
      <c r="G348" s="69"/>
      <c r="H348" s="69">
        <f>reportTbl[[#This Row],[personels]]-reportTbl[[#This Row],[personels]]*2.5/22-0.5</f>
        <v>-0.5</v>
      </c>
      <c r="I348" s="70">
        <f>(reportTbl[[#This Row],[وزن تولید]]*unityCycleTime-reportTbl[[#This Row],[received TimeOut]])/(reportTbl[[#This Row],[available time]]*reportTbl[[#This Row],[تعداد نیرو]])</f>
        <v>0</v>
      </c>
      <c r="J348" s="71"/>
      <c r="K348" s="73"/>
      <c r="L348" s="73"/>
      <c r="M348" s="73"/>
      <c r="N348" s="73"/>
      <c r="O348" s="73">
        <v>0</v>
      </c>
      <c r="P348" s="72" t="s">
        <v>348</v>
      </c>
      <c r="Q348" s="68">
        <f>_xlfn.XLOOKUP(reportTbl[[#This Row],[date]],IIITbl[date],IIITbl[totalCT],0)</f>
        <v>0</v>
      </c>
      <c r="R348" s="68">
        <v>30000</v>
      </c>
    </row>
    <row r="349" spans="1:18" ht="16.5">
      <c r="A349" s="7" t="s">
        <v>993</v>
      </c>
      <c r="B349" s="67" t="s">
        <v>118</v>
      </c>
      <c r="C349" s="68">
        <f>SUMIF(cutts[date],A349,cutts[num])</f>
        <v>0</v>
      </c>
      <c r="D349" s="68"/>
      <c r="E349" s="69">
        <f>SUMIF(packes[date],A349,packes[num])</f>
        <v>0</v>
      </c>
      <c r="F349" s="69">
        <f>SUMIF(packes[date],A349,packes[wPacked])</f>
        <v>0</v>
      </c>
      <c r="G349" s="69"/>
      <c r="H349" s="69">
        <f>reportTbl[[#This Row],[personels]]-reportTbl[[#This Row],[personels]]*2.5/22-0.5</f>
        <v>-0.5</v>
      </c>
      <c r="I349" s="70">
        <f>(reportTbl[[#This Row],[وزن تولید]]*unityCycleTime-reportTbl[[#This Row],[received TimeOut]])/(reportTbl[[#This Row],[available time]]*reportTbl[[#This Row],[تعداد نیرو]])</f>
        <v>0</v>
      </c>
      <c r="J349" s="71"/>
      <c r="K349" s="73"/>
      <c r="L349" s="73"/>
      <c r="M349" s="73"/>
      <c r="N349" s="73"/>
      <c r="O349" s="73">
        <v>0</v>
      </c>
      <c r="P349" s="72" t="s">
        <v>348</v>
      </c>
      <c r="Q349" s="68">
        <f>_xlfn.XLOOKUP(reportTbl[[#This Row],[date]],IIITbl[date],IIITbl[totalCT],0)</f>
        <v>0</v>
      </c>
      <c r="R349" s="68">
        <v>30000</v>
      </c>
    </row>
    <row r="350" spans="1:18" ht="16.5">
      <c r="A350" s="7" t="s">
        <v>994</v>
      </c>
      <c r="B350" s="67" t="s">
        <v>119</v>
      </c>
      <c r="C350" s="68">
        <f>SUMIF(cutts[date],A350,cutts[num])</f>
        <v>0</v>
      </c>
      <c r="D350" s="68"/>
      <c r="E350" s="69">
        <f>SUMIF(packes[date],A350,packes[num])</f>
        <v>0</v>
      </c>
      <c r="F350" s="69">
        <f>SUMIF(packes[date],A350,packes[wPacked])</f>
        <v>0</v>
      </c>
      <c r="G350" s="69"/>
      <c r="H350" s="69">
        <f>reportTbl[[#This Row],[personels]]-reportTbl[[#This Row],[personels]]*2.5/22-0.5</f>
        <v>-0.5</v>
      </c>
      <c r="I350" s="70">
        <f>(reportTbl[[#This Row],[وزن تولید]]*unityCycleTime-reportTbl[[#This Row],[received TimeOut]])/(reportTbl[[#This Row],[available time]]*reportTbl[[#This Row],[تعداد نیرو]])</f>
        <v>0</v>
      </c>
      <c r="J350" s="71"/>
      <c r="K350" s="73"/>
      <c r="L350" s="73"/>
      <c r="M350" s="73"/>
      <c r="N350" s="73"/>
      <c r="O350" s="73">
        <v>0</v>
      </c>
      <c r="P350" s="72" t="s">
        <v>348</v>
      </c>
      <c r="Q350" s="68">
        <f>_xlfn.XLOOKUP(reportTbl[[#This Row],[date]],IIITbl[date],IIITbl[totalCT],0)</f>
        <v>0</v>
      </c>
      <c r="R350" s="68">
        <v>30000</v>
      </c>
    </row>
    <row r="351" spans="1:18" ht="16.5">
      <c r="A351" s="7" t="s">
        <v>995</v>
      </c>
      <c r="B351" s="67" t="s">
        <v>120</v>
      </c>
      <c r="C351" s="68">
        <f>SUMIF(cutts[date],A351,cutts[num])</f>
        <v>0</v>
      </c>
      <c r="D351" s="68"/>
      <c r="E351" s="69">
        <f>SUMIF(packes[date],A351,packes[num])</f>
        <v>0</v>
      </c>
      <c r="F351" s="69">
        <f>SUMIF(packes[date],A351,packes[wPacked])</f>
        <v>0</v>
      </c>
      <c r="G351" s="69"/>
      <c r="H351" s="69">
        <f>reportTbl[[#This Row],[personels]]-reportTbl[[#This Row],[personels]]*2.5/22-0.5</f>
        <v>-0.5</v>
      </c>
      <c r="I351" s="70">
        <f>(reportTbl[[#This Row],[وزن تولید]]*unityCycleTime-reportTbl[[#This Row],[received TimeOut]])/(reportTbl[[#This Row],[available time]]*reportTbl[[#This Row],[تعداد نیرو]])</f>
        <v>0</v>
      </c>
      <c r="J351" s="71"/>
      <c r="K351" s="73"/>
      <c r="L351" s="73"/>
      <c r="M351" s="73"/>
      <c r="N351" s="73"/>
      <c r="O351" s="73">
        <v>0</v>
      </c>
      <c r="P351" s="72" t="s">
        <v>348</v>
      </c>
      <c r="Q351" s="68">
        <f>_xlfn.XLOOKUP(reportTbl[[#This Row],[date]],IIITbl[date],IIITbl[totalCT],0)</f>
        <v>0</v>
      </c>
      <c r="R351" s="68">
        <v>30000</v>
      </c>
    </row>
    <row r="352" spans="1:18" ht="16.5">
      <c r="A352" s="7" t="s">
        <v>996</v>
      </c>
      <c r="B352" s="67" t="s">
        <v>121</v>
      </c>
      <c r="C352" s="68">
        <f>SUMIF(cutts[date],A352,cutts[num])</f>
        <v>0</v>
      </c>
      <c r="D352" s="68"/>
      <c r="E352" s="69">
        <f>SUMIF(packes[date],A352,packes[num])</f>
        <v>0</v>
      </c>
      <c r="F352" s="69">
        <f>SUMIF(packes[date],A352,packes[wPacked])</f>
        <v>0</v>
      </c>
      <c r="G352" s="69"/>
      <c r="H352" s="69">
        <f>reportTbl[[#This Row],[personels]]-reportTbl[[#This Row],[personels]]*2.5/22-0.5</f>
        <v>-0.5</v>
      </c>
      <c r="I352" s="70">
        <f>(reportTbl[[#This Row],[وزن تولید]]*unityCycleTime-reportTbl[[#This Row],[received TimeOut]])/(reportTbl[[#This Row],[available time]]*reportTbl[[#This Row],[تعداد نیرو]])</f>
        <v>0</v>
      </c>
      <c r="J352" s="71"/>
      <c r="K352" s="73"/>
      <c r="L352" s="73"/>
      <c r="M352" s="73"/>
      <c r="N352" s="73"/>
      <c r="O352" s="73">
        <v>0</v>
      </c>
      <c r="P352" s="72" t="s">
        <v>348</v>
      </c>
      <c r="Q352" s="68">
        <f>_xlfn.XLOOKUP(reportTbl[[#This Row],[date]],IIITbl[date],IIITbl[totalCT],0)</f>
        <v>0</v>
      </c>
      <c r="R352" s="68">
        <v>30000</v>
      </c>
    </row>
    <row r="353" spans="1:18" ht="16.5">
      <c r="A353" s="7" t="s">
        <v>997</v>
      </c>
      <c r="B353" s="67" t="s">
        <v>115</v>
      </c>
      <c r="C353" s="68">
        <f>SUMIF(cutts[date],A353,cutts[num])</f>
        <v>0</v>
      </c>
      <c r="D353" s="68"/>
      <c r="E353" s="69">
        <f>SUMIF(packes[date],A353,packes[num])</f>
        <v>0</v>
      </c>
      <c r="F353" s="69">
        <f>SUMIF(packes[date],A353,packes[wPacked])</f>
        <v>0</v>
      </c>
      <c r="G353" s="69"/>
      <c r="H353" s="69">
        <f>reportTbl[[#This Row],[personels]]-reportTbl[[#This Row],[personels]]*2.5/22-0.5</f>
        <v>-0.5</v>
      </c>
      <c r="I353" s="70">
        <f>(reportTbl[[#This Row],[وزن تولید]]*unityCycleTime-reportTbl[[#This Row],[received TimeOut]])/(reportTbl[[#This Row],[available time]]*reportTbl[[#This Row],[تعداد نیرو]])</f>
        <v>0</v>
      </c>
      <c r="J353" s="71"/>
      <c r="K353" s="73"/>
      <c r="L353" s="73"/>
      <c r="M353" s="73"/>
      <c r="N353" s="73"/>
      <c r="O353" s="73">
        <v>0</v>
      </c>
      <c r="P353" s="72" t="s">
        <v>348</v>
      </c>
      <c r="Q353" s="68">
        <f>_xlfn.XLOOKUP(reportTbl[[#This Row],[date]],IIITbl[date],IIITbl[totalCT],0)</f>
        <v>0</v>
      </c>
      <c r="R353" s="68">
        <v>30000</v>
      </c>
    </row>
    <row r="354" spans="1:18" ht="16.5">
      <c r="A354" s="7" t="s">
        <v>998</v>
      </c>
      <c r="B354" s="67" t="s">
        <v>116</v>
      </c>
      <c r="C354" s="68">
        <f>SUMIF(cutts[date],A354,cutts[num])</f>
        <v>0</v>
      </c>
      <c r="D354" s="68"/>
      <c r="E354" s="69">
        <f>SUMIF(packes[date],A354,packes[num])</f>
        <v>0</v>
      </c>
      <c r="F354" s="69">
        <f>SUMIF(packes[date],A354,packes[wPacked])</f>
        <v>0</v>
      </c>
      <c r="G354" s="69"/>
      <c r="H354" s="69">
        <f>reportTbl[[#This Row],[personels]]-reportTbl[[#This Row],[personels]]*2.5/22-0.5</f>
        <v>-0.5</v>
      </c>
      <c r="I354" s="70">
        <f>(reportTbl[[#This Row],[وزن تولید]]*unityCycleTime-reportTbl[[#This Row],[received TimeOut]])/(reportTbl[[#This Row],[available time]]*reportTbl[[#This Row],[تعداد نیرو]])</f>
        <v>0</v>
      </c>
      <c r="J354" s="71"/>
      <c r="K354" s="73"/>
      <c r="L354" s="73"/>
      <c r="M354" s="73"/>
      <c r="N354" s="73"/>
      <c r="O354" s="73">
        <v>0</v>
      </c>
      <c r="P354" s="72" t="s">
        <v>348</v>
      </c>
      <c r="Q354" s="68">
        <f>_xlfn.XLOOKUP(reportTbl[[#This Row],[date]],IIITbl[date],IIITbl[totalCT],0)</f>
        <v>0</v>
      </c>
      <c r="R354" s="68">
        <v>30000</v>
      </c>
    </row>
    <row r="355" spans="1:18" ht="16.5">
      <c r="A355" s="7" t="s">
        <v>999</v>
      </c>
      <c r="B355" s="67" t="s">
        <v>117</v>
      </c>
      <c r="C355" s="68">
        <f>SUMIF(cutts[date],A355,cutts[num])</f>
        <v>0</v>
      </c>
      <c r="D355" s="68"/>
      <c r="E355" s="69">
        <f>SUMIF(packes[date],A355,packes[num])</f>
        <v>0</v>
      </c>
      <c r="F355" s="69">
        <f>SUMIF(packes[date],A355,packes[wPacked])</f>
        <v>0</v>
      </c>
      <c r="G355" s="69"/>
      <c r="H355" s="69">
        <f>reportTbl[[#This Row],[personels]]-reportTbl[[#This Row],[personels]]*2.5/22-0.5</f>
        <v>-0.5</v>
      </c>
      <c r="I355" s="70">
        <f>(reportTbl[[#This Row],[وزن تولید]]*unityCycleTime-reportTbl[[#This Row],[received TimeOut]])/(reportTbl[[#This Row],[available time]]*reportTbl[[#This Row],[تعداد نیرو]])</f>
        <v>0</v>
      </c>
      <c r="J355" s="71"/>
      <c r="K355" s="73"/>
      <c r="L355" s="73"/>
      <c r="M355" s="73"/>
      <c r="N355" s="73"/>
      <c r="O355" s="73">
        <v>0</v>
      </c>
      <c r="P355" s="72" t="s">
        <v>348</v>
      </c>
      <c r="Q355" s="68">
        <f>_xlfn.XLOOKUP(reportTbl[[#This Row],[date]],IIITbl[date],IIITbl[totalCT],0)</f>
        <v>0</v>
      </c>
      <c r="R355" s="68">
        <v>30000</v>
      </c>
    </row>
    <row r="356" spans="1:18" ht="16.5">
      <c r="A356" s="7" t="s">
        <v>1000</v>
      </c>
      <c r="B356" s="67" t="s">
        <v>118</v>
      </c>
      <c r="C356" s="68">
        <f>SUMIF(cutts[date],A356,cutts[num])</f>
        <v>0</v>
      </c>
      <c r="D356" s="68"/>
      <c r="E356" s="69">
        <f>SUMIF(packes[date],A356,packes[num])</f>
        <v>0</v>
      </c>
      <c r="F356" s="69">
        <f>SUMIF(packes[date],A356,packes[wPacked])</f>
        <v>0</v>
      </c>
      <c r="G356" s="69"/>
      <c r="H356" s="69">
        <f>reportTbl[[#This Row],[personels]]-reportTbl[[#This Row],[personels]]*2.5/22-0.5</f>
        <v>-0.5</v>
      </c>
      <c r="I356" s="70">
        <f>(reportTbl[[#This Row],[وزن تولید]]*unityCycleTime-reportTbl[[#This Row],[received TimeOut]])/(reportTbl[[#This Row],[available time]]*reportTbl[[#This Row],[تعداد نیرو]])</f>
        <v>0</v>
      </c>
      <c r="J356" s="71"/>
      <c r="K356" s="73"/>
      <c r="L356" s="73"/>
      <c r="M356" s="73"/>
      <c r="N356" s="73"/>
      <c r="O356" s="73">
        <v>0</v>
      </c>
      <c r="P356" s="72" t="s">
        <v>348</v>
      </c>
      <c r="Q356" s="68">
        <f>_xlfn.XLOOKUP(reportTbl[[#This Row],[date]],IIITbl[date],IIITbl[totalCT],0)</f>
        <v>0</v>
      </c>
      <c r="R356" s="68">
        <v>30000</v>
      </c>
    </row>
    <row r="357" spans="1:18" ht="16.5">
      <c r="A357" s="7" t="s">
        <v>1001</v>
      </c>
      <c r="B357" s="67" t="s">
        <v>119</v>
      </c>
      <c r="C357" s="68">
        <f>SUMIF(cutts[date],A357,cutts[num])</f>
        <v>0</v>
      </c>
      <c r="D357" s="68"/>
      <c r="E357" s="69">
        <f>SUMIF(packes[date],A357,packes[num])</f>
        <v>0</v>
      </c>
      <c r="F357" s="69">
        <f>SUMIF(packes[date],A357,packes[wPacked])</f>
        <v>0</v>
      </c>
      <c r="G357" s="69"/>
      <c r="H357" s="69">
        <f>reportTbl[[#This Row],[personels]]-reportTbl[[#This Row],[personels]]*2.5/22-0.5</f>
        <v>-0.5</v>
      </c>
      <c r="I357" s="70">
        <f>(reportTbl[[#This Row],[وزن تولید]]*unityCycleTime-reportTbl[[#This Row],[received TimeOut]])/(reportTbl[[#This Row],[available time]]*reportTbl[[#This Row],[تعداد نیرو]])</f>
        <v>0</v>
      </c>
      <c r="J357" s="71"/>
      <c r="K357" s="73"/>
      <c r="L357" s="73"/>
      <c r="M357" s="73"/>
      <c r="N357" s="73"/>
      <c r="O357" s="73">
        <v>0</v>
      </c>
      <c r="P357" s="72" t="s">
        <v>348</v>
      </c>
      <c r="Q357" s="68">
        <f>_xlfn.XLOOKUP(reportTbl[[#This Row],[date]],IIITbl[date],IIITbl[totalCT],0)</f>
        <v>0</v>
      </c>
      <c r="R357" s="68">
        <v>30000</v>
      </c>
    </row>
    <row r="358" spans="1:18" ht="16.5">
      <c r="A358" s="7" t="s">
        <v>1002</v>
      </c>
      <c r="B358" s="67" t="s">
        <v>120</v>
      </c>
      <c r="C358" s="68">
        <f>SUMIF(cutts[date],A358,cutts[num])</f>
        <v>0</v>
      </c>
      <c r="D358" s="68"/>
      <c r="E358" s="69">
        <f>SUMIF(packes[date],A358,packes[num])</f>
        <v>0</v>
      </c>
      <c r="F358" s="69">
        <f>SUMIF(packes[date],A358,packes[wPacked])</f>
        <v>0</v>
      </c>
      <c r="G358" s="69"/>
      <c r="H358" s="69">
        <f>reportTbl[[#This Row],[personels]]-reportTbl[[#This Row],[personels]]*2.5/22-0.5</f>
        <v>-0.5</v>
      </c>
      <c r="I358" s="70">
        <f>(reportTbl[[#This Row],[وزن تولید]]*unityCycleTime-reportTbl[[#This Row],[received TimeOut]])/(reportTbl[[#This Row],[available time]]*reportTbl[[#This Row],[تعداد نیرو]])</f>
        <v>0</v>
      </c>
      <c r="J358" s="71"/>
      <c r="K358" s="73"/>
      <c r="L358" s="73"/>
      <c r="M358" s="73"/>
      <c r="N358" s="73"/>
      <c r="O358" s="73">
        <v>0</v>
      </c>
      <c r="P358" s="72" t="s">
        <v>348</v>
      </c>
      <c r="Q358" s="68">
        <f>_xlfn.XLOOKUP(reportTbl[[#This Row],[date]],IIITbl[date],IIITbl[totalCT],0)</f>
        <v>0</v>
      </c>
      <c r="R358" s="68">
        <v>30000</v>
      </c>
    </row>
    <row r="359" spans="1:18" ht="16.5">
      <c r="A359" s="7" t="s">
        <v>1003</v>
      </c>
      <c r="B359" s="67" t="s">
        <v>121</v>
      </c>
      <c r="C359" s="68">
        <f>SUMIF(cutts[date],A359,cutts[num])</f>
        <v>0</v>
      </c>
      <c r="D359" s="68"/>
      <c r="E359" s="69">
        <f>SUMIF(packes[date],A359,packes[num])</f>
        <v>0</v>
      </c>
      <c r="F359" s="69">
        <f>SUMIF(packes[date],A359,packes[wPacked])</f>
        <v>0</v>
      </c>
      <c r="G359" s="69"/>
      <c r="H359" s="69">
        <f>reportTbl[[#This Row],[personels]]-reportTbl[[#This Row],[personels]]*2.5/22-0.5</f>
        <v>-0.5</v>
      </c>
      <c r="I359" s="70">
        <f>(reportTbl[[#This Row],[وزن تولید]]*unityCycleTime-reportTbl[[#This Row],[received TimeOut]])/(reportTbl[[#This Row],[available time]]*reportTbl[[#This Row],[تعداد نیرو]])</f>
        <v>0</v>
      </c>
      <c r="J359" s="71"/>
      <c r="K359" s="73"/>
      <c r="L359" s="73"/>
      <c r="M359" s="73"/>
      <c r="N359" s="73"/>
      <c r="O359" s="73">
        <v>0</v>
      </c>
      <c r="P359" s="72" t="s">
        <v>348</v>
      </c>
      <c r="Q359" s="68">
        <f>_xlfn.XLOOKUP(reportTbl[[#This Row],[date]],IIITbl[date],IIITbl[totalCT],0)</f>
        <v>0</v>
      </c>
      <c r="R359" s="68">
        <v>30000</v>
      </c>
    </row>
    <row r="360" spans="1:18" ht="16.5">
      <c r="A360" s="7" t="s">
        <v>1004</v>
      </c>
      <c r="B360" s="67" t="s">
        <v>115</v>
      </c>
      <c r="C360" s="68">
        <f>SUMIF(cutts[date],A360,cutts[num])</f>
        <v>0</v>
      </c>
      <c r="D360" s="68"/>
      <c r="E360" s="69">
        <f>SUMIF(packes[date],A360,packes[num])</f>
        <v>0</v>
      </c>
      <c r="F360" s="69">
        <f>SUMIF(packes[date],A360,packes[wPacked])</f>
        <v>0</v>
      </c>
      <c r="G360" s="69"/>
      <c r="H360" s="69">
        <f>reportTbl[[#This Row],[personels]]-reportTbl[[#This Row],[personels]]*2.5/22-0.5</f>
        <v>-0.5</v>
      </c>
      <c r="I360" s="70">
        <f>(reportTbl[[#This Row],[وزن تولید]]*unityCycleTime-reportTbl[[#This Row],[received TimeOut]])/(reportTbl[[#This Row],[available time]]*reportTbl[[#This Row],[تعداد نیرو]])</f>
        <v>0</v>
      </c>
      <c r="J360" s="71"/>
      <c r="K360" s="73"/>
      <c r="L360" s="73"/>
      <c r="M360" s="73"/>
      <c r="N360" s="73"/>
      <c r="O360" s="73">
        <v>0</v>
      </c>
      <c r="P360" s="72" t="s">
        <v>348</v>
      </c>
      <c r="Q360" s="68">
        <f>_xlfn.XLOOKUP(reportTbl[[#This Row],[date]],IIITbl[date],IIITbl[totalCT],0)</f>
        <v>0</v>
      </c>
      <c r="R360" s="68">
        <v>30000</v>
      </c>
    </row>
    <row r="361" spans="1:18" ht="16.5">
      <c r="A361" s="7" t="s">
        <v>1005</v>
      </c>
      <c r="B361" s="67" t="s">
        <v>116</v>
      </c>
      <c r="C361" s="68">
        <f>SUMIF(cutts[date],A361,cutts[num])</f>
        <v>0</v>
      </c>
      <c r="D361" s="68"/>
      <c r="E361" s="69">
        <f>SUMIF(packes[date],A361,packes[num])</f>
        <v>0</v>
      </c>
      <c r="F361" s="69">
        <f>SUMIF(packes[date],A361,packes[wPacked])</f>
        <v>0</v>
      </c>
      <c r="G361" s="69"/>
      <c r="H361" s="69">
        <f>reportTbl[[#This Row],[personels]]-reportTbl[[#This Row],[personels]]*2.5/22-0.5</f>
        <v>-0.5</v>
      </c>
      <c r="I361" s="70">
        <f>(reportTbl[[#This Row],[وزن تولید]]*unityCycleTime-reportTbl[[#This Row],[received TimeOut]])/(reportTbl[[#This Row],[available time]]*reportTbl[[#This Row],[تعداد نیرو]])</f>
        <v>0</v>
      </c>
      <c r="J361" s="71"/>
      <c r="K361" s="73"/>
      <c r="L361" s="73"/>
      <c r="M361" s="73"/>
      <c r="N361" s="73"/>
      <c r="O361" s="73">
        <v>0</v>
      </c>
      <c r="P361" s="72" t="s">
        <v>348</v>
      </c>
      <c r="Q361" s="68">
        <f>_xlfn.XLOOKUP(reportTbl[[#This Row],[date]],IIITbl[date],IIITbl[totalCT],0)</f>
        <v>0</v>
      </c>
      <c r="R361" s="68">
        <v>30000</v>
      </c>
    </row>
    <row r="362" spans="1:18" ht="16.5">
      <c r="A362" s="7" t="s">
        <v>1006</v>
      </c>
      <c r="B362" s="67" t="s">
        <v>117</v>
      </c>
      <c r="C362" s="68">
        <f>SUMIF(cutts[date],A362,cutts[num])</f>
        <v>0</v>
      </c>
      <c r="D362" s="68"/>
      <c r="E362" s="69">
        <f>SUMIF(packes[date],A362,packes[num])</f>
        <v>0</v>
      </c>
      <c r="F362" s="69">
        <f>SUMIF(packes[date],A362,packes[wPacked])</f>
        <v>0</v>
      </c>
      <c r="G362" s="69"/>
      <c r="H362" s="69">
        <f>reportTbl[[#This Row],[personels]]-reportTbl[[#This Row],[personels]]*2.5/22-0.5</f>
        <v>-0.5</v>
      </c>
      <c r="I362" s="70">
        <f>(reportTbl[[#This Row],[وزن تولید]]*unityCycleTime-reportTbl[[#This Row],[received TimeOut]])/(reportTbl[[#This Row],[available time]]*reportTbl[[#This Row],[تعداد نیرو]])</f>
        <v>0</v>
      </c>
      <c r="J362" s="71"/>
      <c r="K362" s="73"/>
      <c r="L362" s="73"/>
      <c r="M362" s="73"/>
      <c r="N362" s="73"/>
      <c r="O362" s="73">
        <v>0</v>
      </c>
      <c r="P362" s="72" t="s">
        <v>348</v>
      </c>
      <c r="Q362" s="68">
        <f>_xlfn.XLOOKUP(reportTbl[[#This Row],[date]],IIITbl[date],IIITbl[totalCT],0)</f>
        <v>0</v>
      </c>
      <c r="R362" s="68">
        <v>30000</v>
      </c>
    </row>
    <row r="363" spans="1:18" ht="16.5">
      <c r="A363" s="7" t="s">
        <v>1007</v>
      </c>
      <c r="B363" s="67" t="s">
        <v>118</v>
      </c>
      <c r="C363" s="68">
        <f>SUMIF(cutts[date],A363,cutts[num])</f>
        <v>0</v>
      </c>
      <c r="D363" s="68"/>
      <c r="E363" s="69">
        <f>SUMIF(packes[date],A363,packes[num])</f>
        <v>0</v>
      </c>
      <c r="F363" s="69">
        <f>SUMIF(packes[date],A363,packes[wPacked])</f>
        <v>0</v>
      </c>
      <c r="G363" s="69"/>
      <c r="H363" s="69">
        <f>reportTbl[[#This Row],[personels]]-reportTbl[[#This Row],[personels]]*2.5/22-0.5</f>
        <v>-0.5</v>
      </c>
      <c r="I363" s="70">
        <f>(reportTbl[[#This Row],[وزن تولید]]*unityCycleTime-reportTbl[[#This Row],[received TimeOut]])/(reportTbl[[#This Row],[available time]]*reportTbl[[#This Row],[تعداد نیرو]])</f>
        <v>0</v>
      </c>
      <c r="J363" s="71"/>
      <c r="K363" s="73"/>
      <c r="L363" s="73"/>
      <c r="M363" s="73"/>
      <c r="N363" s="73"/>
      <c r="O363" s="73">
        <v>0</v>
      </c>
      <c r="P363" s="72" t="s">
        <v>348</v>
      </c>
      <c r="Q363" s="68">
        <f>_xlfn.XLOOKUP(reportTbl[[#This Row],[date]],IIITbl[date],IIITbl[totalCT],0)</f>
        <v>0</v>
      </c>
      <c r="R363" s="68">
        <v>30000</v>
      </c>
    </row>
    <row r="364" spans="1:18" ht="16.5">
      <c r="A364" s="7" t="s">
        <v>1008</v>
      </c>
      <c r="B364" s="67" t="s">
        <v>119</v>
      </c>
      <c r="C364" s="68">
        <f>SUMIF(cutts[date],A364,cutts[num])</f>
        <v>0</v>
      </c>
      <c r="D364" s="68"/>
      <c r="E364" s="69">
        <f>SUMIF(packes[date],A364,packes[num])</f>
        <v>0</v>
      </c>
      <c r="F364" s="69">
        <f>SUMIF(packes[date],A364,packes[wPacked])</f>
        <v>0</v>
      </c>
      <c r="G364" s="69"/>
      <c r="H364" s="69">
        <f>reportTbl[[#This Row],[personels]]-reportTbl[[#This Row],[personels]]*2.5/22-0.5</f>
        <v>-0.5</v>
      </c>
      <c r="I364" s="70">
        <f>(reportTbl[[#This Row],[وزن تولید]]*unityCycleTime-reportTbl[[#This Row],[received TimeOut]])/(reportTbl[[#This Row],[available time]]*reportTbl[[#This Row],[تعداد نیرو]])</f>
        <v>0</v>
      </c>
      <c r="J364" s="71"/>
      <c r="K364" s="73"/>
      <c r="L364" s="73"/>
      <c r="M364" s="73"/>
      <c r="N364" s="73"/>
      <c r="O364" s="73">
        <v>0</v>
      </c>
      <c r="P364" s="72" t="s">
        <v>348</v>
      </c>
      <c r="Q364" s="68">
        <f>_xlfn.XLOOKUP(reportTbl[[#This Row],[date]],IIITbl[date],IIITbl[totalCT],0)</f>
        <v>0</v>
      </c>
      <c r="R364" s="68">
        <v>30000</v>
      </c>
    </row>
    <row r="365" spans="1:18" ht="16.5">
      <c r="A365" s="7" t="s">
        <v>1009</v>
      </c>
      <c r="B365" s="67" t="s">
        <v>120</v>
      </c>
      <c r="C365" s="68">
        <f>SUMIF(cutts[date],A365,cutts[num])</f>
        <v>0</v>
      </c>
      <c r="D365" s="68"/>
      <c r="E365" s="69">
        <f>SUMIF(packes[date],A365,packes[num])</f>
        <v>0</v>
      </c>
      <c r="F365" s="69">
        <f>SUMIF(packes[date],A365,packes[wPacked])</f>
        <v>0</v>
      </c>
      <c r="G365" s="69"/>
      <c r="H365" s="69">
        <f>reportTbl[[#This Row],[personels]]-reportTbl[[#This Row],[personels]]*2.5/22-0.5</f>
        <v>-0.5</v>
      </c>
      <c r="I365" s="70">
        <f>(reportTbl[[#This Row],[وزن تولید]]*unityCycleTime-reportTbl[[#This Row],[received TimeOut]])/(reportTbl[[#This Row],[available time]]*reportTbl[[#This Row],[تعداد نیرو]])</f>
        <v>0</v>
      </c>
      <c r="J365" s="71"/>
      <c r="K365" s="73"/>
      <c r="L365" s="73"/>
      <c r="M365" s="73"/>
      <c r="N365" s="73"/>
      <c r="O365" s="73">
        <v>0</v>
      </c>
      <c r="P365" s="72" t="s">
        <v>348</v>
      </c>
      <c r="Q365" s="68">
        <f>_xlfn.XLOOKUP(reportTbl[[#This Row],[date]],IIITbl[date],IIITbl[totalCT],0)</f>
        <v>0</v>
      </c>
      <c r="R365" s="68">
        <v>30000</v>
      </c>
    </row>
    <row r="366" spans="1:18" ht="16.5">
      <c r="A366" s="7" t="s">
        <v>1010</v>
      </c>
      <c r="B366" s="67" t="s">
        <v>121</v>
      </c>
      <c r="C366" s="68">
        <f>SUMIF(cutts[date],A366,cutts[num])</f>
        <v>0</v>
      </c>
      <c r="D366" s="68"/>
      <c r="E366" s="69">
        <f>SUMIF(packes[date],A366,packes[num])</f>
        <v>0</v>
      </c>
      <c r="F366" s="69">
        <f>SUMIF(packes[date],A366,packes[wPacked])</f>
        <v>0</v>
      </c>
      <c r="G366" s="69"/>
      <c r="H366" s="69">
        <f>reportTbl[[#This Row],[personels]]-reportTbl[[#This Row],[personels]]*2.5/22-0.5</f>
        <v>-0.5</v>
      </c>
      <c r="I366" s="70">
        <f>(reportTbl[[#This Row],[وزن تولید]]*unityCycleTime-reportTbl[[#This Row],[received TimeOut]])/(reportTbl[[#This Row],[available time]]*reportTbl[[#This Row],[تعداد نیرو]])</f>
        <v>0</v>
      </c>
      <c r="J366" s="71"/>
      <c r="K366" s="73"/>
      <c r="L366" s="73"/>
      <c r="M366" s="73"/>
      <c r="N366" s="73"/>
      <c r="O366" s="73">
        <v>0</v>
      </c>
      <c r="P366" s="72" t="s">
        <v>348</v>
      </c>
      <c r="Q366" s="68">
        <f>_xlfn.XLOOKUP(reportTbl[[#This Row],[date]],IIITbl[date],IIITbl[totalCT],0)</f>
        <v>0</v>
      </c>
      <c r="R366" s="68">
        <v>30000</v>
      </c>
    </row>
    <row r="367" spans="1:18" ht="16.5">
      <c r="A367" s="7" t="s">
        <v>1020</v>
      </c>
      <c r="B367" s="67" t="s">
        <v>115</v>
      </c>
      <c r="C367" s="68">
        <f>SUMIF(cutts[date],A367,cutts[num])</f>
        <v>0</v>
      </c>
      <c r="D367" s="68"/>
      <c r="E367" s="69">
        <f>SUMIF(packes[date],A367,packes[num])</f>
        <v>0</v>
      </c>
      <c r="F367" s="69">
        <f>SUMIF(packes[date],A367,packes[wPacked])</f>
        <v>0</v>
      </c>
      <c r="G367" s="69"/>
      <c r="H367" s="69">
        <f>reportTbl[[#This Row],[personels]]-reportTbl[[#This Row],[personels]]*2.5/22-0.5</f>
        <v>-0.5</v>
      </c>
      <c r="I367" s="70">
        <f>(reportTbl[[#This Row],[وزن تولید]]*unityCycleTime-reportTbl[[#This Row],[received TimeOut]])/(reportTbl[[#This Row],[available time]]*reportTbl[[#This Row],[تعداد نیرو]])</f>
        <v>0</v>
      </c>
      <c r="J367" s="71"/>
      <c r="K367" s="73"/>
      <c r="L367" s="73"/>
      <c r="M367" s="73"/>
      <c r="N367" s="73"/>
      <c r="O367" s="73">
        <v>0</v>
      </c>
      <c r="P367" s="72">
        <v>12</v>
      </c>
      <c r="Q367" s="68">
        <f>_xlfn.XLOOKUP(reportTbl[[#This Row],[date]],IIITbl[date],IIITbl[totalCT],0)</f>
        <v>0</v>
      </c>
      <c r="R367" s="68">
        <v>30000</v>
      </c>
    </row>
  </sheetData>
  <phoneticPr fontId="1" type="noConversion"/>
  <conditionalFormatting sqref="A2:Q2">
    <cfRule type="expression" dxfId="5" priority="12">
      <formula>$O2=0</formula>
    </cfRule>
  </conditionalFormatting>
  <conditionalFormatting sqref="A3:Q3">
    <cfRule type="expression" dxfId="4" priority="11">
      <formula>$O3=0</formula>
    </cfRule>
  </conditionalFormatting>
  <conditionalFormatting sqref="A4:Q367">
    <cfRule type="expression" dxfId="3" priority="10">
      <formula>$O4=0</formula>
    </cfRule>
  </conditionalFormatting>
  <conditionalFormatting sqref="R2">
    <cfRule type="expression" dxfId="2" priority="3">
      <formula>$O2=0</formula>
    </cfRule>
  </conditionalFormatting>
  <conditionalFormatting sqref="R3">
    <cfRule type="expression" dxfId="1" priority="2">
      <formula>$O3=0</formula>
    </cfRule>
  </conditionalFormatting>
  <conditionalFormatting sqref="R4:R367">
    <cfRule type="expression" dxfId="0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/>
  <cols>
    <col min="1" max="2" width="12.7109375" style="43"/>
    <col min="3" max="4" width="12.7109375" style="44"/>
    <col min="5" max="5" width="31.85546875" style="43" customWidth="1"/>
    <col min="6" max="6" width="12.7109375" style="43"/>
    <col min="7" max="7" width="8.42578125" style="43" customWidth="1"/>
    <col min="8" max="8" width="14.42578125" style="43" customWidth="1"/>
    <col min="9" max="9" width="12.7109375" style="43"/>
    <col min="10" max="10" width="13.140625" style="43" bestFit="1" customWidth="1"/>
    <col min="11" max="11" width="18" style="43" bestFit="1" customWidth="1"/>
    <col min="12" max="16384" width="12.7109375" style="43"/>
  </cols>
  <sheetData>
    <row r="1" spans="1:16" s="40" customFormat="1" ht="20.100000000000001" customHeight="1">
      <c r="A1" s="40" t="s">
        <v>110</v>
      </c>
      <c r="B1" s="40" t="s">
        <v>185</v>
      </c>
      <c r="C1" s="41" t="s">
        <v>655</v>
      </c>
      <c r="D1" s="41" t="s">
        <v>656</v>
      </c>
      <c r="E1" s="40" t="s">
        <v>186</v>
      </c>
      <c r="F1" s="40" t="s">
        <v>657</v>
      </c>
      <c r="G1" s="40" t="s">
        <v>1067</v>
      </c>
      <c r="H1" s="40" t="s">
        <v>1068</v>
      </c>
      <c r="M1" s="225" t="s">
        <v>185</v>
      </c>
      <c r="N1" s="40" t="s">
        <v>1067</v>
      </c>
      <c r="O1" s="40" t="s">
        <v>1150</v>
      </c>
      <c r="P1" s="40" t="s">
        <v>1151</v>
      </c>
    </row>
    <row r="2" spans="1:16">
      <c r="A2" s="42" t="s">
        <v>238</v>
      </c>
      <c r="B2" s="43">
        <v>140030039</v>
      </c>
      <c r="C2" s="44">
        <v>4100</v>
      </c>
      <c r="E2" s="45"/>
      <c r="F2" s="62">
        <f>IIITbl[[#This Row],[send]]-IIITbl[[#This Row],[receive]]</f>
        <v>4100</v>
      </c>
      <c r="G2" s="43">
        <f>_xlfn.XLOOKUP(IIITbl[[#This Row],[product]],press_montage_tbl[product],press_montage_tbl[CT],"NA")</f>
        <v>28.130000000000003</v>
      </c>
      <c r="H2" s="226">
        <f>IIITbl[[#This Row],[receive]]*IIITbl[[#This Row],[CT]]</f>
        <v>0</v>
      </c>
      <c r="M2" s="43">
        <v>140030039</v>
      </c>
      <c r="N2" s="43">
        <f>SUM(press_montage_tbl[[#This Row],[پرس]:[مونتاژ]])</f>
        <v>28.130000000000003</v>
      </c>
      <c r="O2" s="43">
        <v>19.23</v>
      </c>
      <c r="P2" s="43">
        <v>8.9</v>
      </c>
    </row>
    <row r="3" spans="1:16">
      <c r="A3" s="42" t="s">
        <v>238</v>
      </c>
      <c r="B3" s="43">
        <v>140220012</v>
      </c>
      <c r="C3" s="44">
        <v>600</v>
      </c>
      <c r="E3" s="45"/>
      <c r="F3" s="62">
        <f>IIITbl[[#This Row],[send]]-IIITbl[[#This Row],[receive]]</f>
        <v>600</v>
      </c>
      <c r="G3" s="43">
        <f>_xlfn.XLOOKUP(IIITbl[[#This Row],[product]],press_montage_tbl[product],press_montage_tbl[CT],"NA")</f>
        <v>48.1</v>
      </c>
      <c r="H3" s="226">
        <f>IIITbl[[#This Row],[receive]]*IIITbl[[#This Row],[CT]]</f>
        <v>0</v>
      </c>
      <c r="J3" s="25" t="s">
        <v>206</v>
      </c>
      <c r="K3" t="s">
        <v>658</v>
      </c>
      <c r="L3"/>
      <c r="M3" s="43">
        <v>140220012</v>
      </c>
      <c r="N3" s="43">
        <v>48.1</v>
      </c>
    </row>
    <row r="4" spans="1:16">
      <c r="A4" s="42" t="s">
        <v>239</v>
      </c>
      <c r="B4" s="43">
        <v>140030039</v>
      </c>
      <c r="D4" s="44">
        <v>300</v>
      </c>
      <c r="E4" s="45"/>
      <c r="F4" s="62">
        <f>IIITbl[[#This Row],[send]]-IIITbl[[#This Row],[receive]]</f>
        <v>-300</v>
      </c>
      <c r="G4" s="43">
        <f>_xlfn.XLOOKUP(IIITbl[[#This Row],[product]],press_montage_tbl[product],press_montage_tbl[CT],"NA")</f>
        <v>28.130000000000003</v>
      </c>
      <c r="H4" s="226">
        <f>IIITbl[[#This Row],[receive]]*IIITbl[[#This Row],[CT]]</f>
        <v>8439</v>
      </c>
      <c r="J4" s="26">
        <v>140030039</v>
      </c>
      <c r="K4">
        <v>-1400</v>
      </c>
      <c r="L4"/>
      <c r="M4" s="43">
        <v>140010230</v>
      </c>
      <c r="N4" s="43">
        <f>SUM(press_montage_tbl[[#This Row],[پرس]:[مونتاژ]])</f>
        <v>49.85</v>
      </c>
      <c r="O4" s="43">
        <v>22.85</v>
      </c>
      <c r="P4" s="43">
        <v>27</v>
      </c>
    </row>
    <row r="5" spans="1:16">
      <c r="A5" s="42" t="s">
        <v>234</v>
      </c>
      <c r="B5" s="43">
        <v>140030039</v>
      </c>
      <c r="C5" s="44">
        <v>3000</v>
      </c>
      <c r="E5" s="45"/>
      <c r="F5" s="62">
        <f>IIITbl[[#This Row],[send]]-IIITbl[[#This Row],[receive]]</f>
        <v>3000</v>
      </c>
      <c r="G5" s="43">
        <f>_xlfn.XLOOKUP(IIITbl[[#This Row],[product]],press_montage_tbl[product],press_montage_tbl[CT],"NA")</f>
        <v>28.130000000000003</v>
      </c>
      <c r="H5" s="226">
        <f>IIITbl[[#This Row],[receive]]*IIITbl[[#This Row],[CT]]</f>
        <v>0</v>
      </c>
      <c r="J5" s="26">
        <v>140220012</v>
      </c>
      <c r="K5">
        <v>0</v>
      </c>
      <c r="L5"/>
      <c r="M5" s="43">
        <v>140310083</v>
      </c>
      <c r="N5" s="43">
        <f>SUM(press_montage_tbl[[#This Row],[پرس]:[مونتاژ]])</f>
        <v>47.5</v>
      </c>
      <c r="O5" s="43">
        <v>18</v>
      </c>
      <c r="P5" s="43">
        <v>29.5</v>
      </c>
    </row>
    <row r="6" spans="1:16">
      <c r="A6" s="42" t="s">
        <v>229</v>
      </c>
      <c r="B6" s="43">
        <v>140030039</v>
      </c>
      <c r="D6" s="44">
        <v>3000</v>
      </c>
      <c r="E6" s="45"/>
      <c r="F6" s="62">
        <f>IIITbl[[#This Row],[send]]-IIITbl[[#This Row],[receive]]</f>
        <v>-3000</v>
      </c>
      <c r="G6" s="43">
        <f>_xlfn.XLOOKUP(IIITbl[[#This Row],[product]],press_montage_tbl[product],press_montage_tbl[CT],"NA")</f>
        <v>28.130000000000003</v>
      </c>
      <c r="H6" s="226">
        <f>IIITbl[[#This Row],[receive]]*IIITbl[[#This Row],[CT]]</f>
        <v>84390.000000000015</v>
      </c>
      <c r="J6" s="26">
        <v>140010230</v>
      </c>
      <c r="K6">
        <v>-5100</v>
      </c>
      <c r="L6"/>
      <c r="M6" s="43">
        <v>140310071</v>
      </c>
      <c r="N6" s="43">
        <f>SUM(press_montage_tbl[[#This Row],[پرس]:[مونتاژ]])</f>
        <v>35.83</v>
      </c>
      <c r="O6" s="43">
        <v>19.23</v>
      </c>
      <c r="P6" s="43">
        <v>16.600000000000001</v>
      </c>
    </row>
    <row r="7" spans="1:16">
      <c r="A7" s="42" t="s">
        <v>229</v>
      </c>
      <c r="B7" s="43">
        <v>140220012</v>
      </c>
      <c r="D7" s="44">
        <v>600</v>
      </c>
      <c r="E7" s="45"/>
      <c r="F7" s="62">
        <f>IIITbl[[#This Row],[send]]-IIITbl[[#This Row],[receive]]</f>
        <v>-600</v>
      </c>
      <c r="G7" s="43">
        <f>_xlfn.XLOOKUP(IIITbl[[#This Row],[product]],press_montage_tbl[product],press_montage_tbl[CT],"NA")</f>
        <v>48.1</v>
      </c>
      <c r="H7" s="226">
        <f>IIITbl[[#This Row],[receive]]*IIITbl[[#This Row],[CT]]</f>
        <v>28860</v>
      </c>
      <c r="J7" s="26">
        <v>140310083</v>
      </c>
      <c r="K7">
        <v>0</v>
      </c>
      <c r="L7"/>
      <c r="M7" s="43">
        <v>140010117</v>
      </c>
      <c r="N7" s="43">
        <f>SUM(press_montage_tbl[[#This Row],[پرس]:[مونتاژ]])</f>
        <v>30.950000000000003</v>
      </c>
      <c r="O7" s="43">
        <v>22.85</v>
      </c>
      <c r="P7" s="43">
        <v>8.1</v>
      </c>
    </row>
    <row r="8" spans="1:16">
      <c r="A8" s="42" t="s">
        <v>231</v>
      </c>
      <c r="B8" s="43">
        <v>140030039</v>
      </c>
      <c r="C8" s="44">
        <v>600</v>
      </c>
      <c r="E8" s="45" t="s">
        <v>667</v>
      </c>
      <c r="F8" s="62">
        <f>IIITbl[[#This Row],[send]]-IIITbl[[#This Row],[receive]]</f>
        <v>600</v>
      </c>
      <c r="G8" s="43">
        <f>_xlfn.XLOOKUP(IIITbl[[#This Row],[product]],press_montage_tbl[product],press_montage_tbl[CT],"NA")</f>
        <v>28.130000000000003</v>
      </c>
      <c r="H8" s="226">
        <f>IIITbl[[#This Row],[receive]]*IIITbl[[#This Row],[CT]]</f>
        <v>0</v>
      </c>
      <c r="J8" s="26">
        <v>140310071</v>
      </c>
      <c r="K8">
        <v>7800</v>
      </c>
      <c r="L8"/>
    </row>
    <row r="9" spans="1:16">
      <c r="A9" s="42" t="s">
        <v>236</v>
      </c>
      <c r="B9" s="43">
        <v>140030039</v>
      </c>
      <c r="D9" s="44">
        <v>4400</v>
      </c>
      <c r="E9" s="45"/>
      <c r="F9" s="62">
        <f>IIITbl[[#This Row],[send]]-IIITbl[[#This Row],[receive]]</f>
        <v>-4400</v>
      </c>
      <c r="G9" s="43">
        <f>_xlfn.XLOOKUP(IIITbl[[#This Row],[product]],press_montage_tbl[product],press_montage_tbl[CT],"NA")</f>
        <v>28.130000000000003</v>
      </c>
      <c r="H9" s="226">
        <f>IIITbl[[#This Row],[receive]]*IIITbl[[#This Row],[CT]]</f>
        <v>123772.00000000001</v>
      </c>
      <c r="J9" s="26" t="s">
        <v>207</v>
      </c>
      <c r="K9">
        <v>1300</v>
      </c>
      <c r="L9"/>
    </row>
    <row r="10" spans="1:16">
      <c r="A10" s="42" t="s">
        <v>236</v>
      </c>
      <c r="B10" s="43">
        <v>140030039</v>
      </c>
      <c r="C10" s="44">
        <v>2400</v>
      </c>
      <c r="E10" s="45"/>
      <c r="F10" s="62">
        <f>IIITbl[[#This Row],[send]]-IIITbl[[#This Row],[receive]]</f>
        <v>2400</v>
      </c>
      <c r="G10" s="43">
        <f>_xlfn.XLOOKUP(IIITbl[[#This Row],[product]],press_montage_tbl[product],press_montage_tbl[CT],"NA")</f>
        <v>28.130000000000003</v>
      </c>
      <c r="H10" s="226">
        <f>IIITbl[[#This Row],[receive]]*IIITbl[[#This Row],[CT]]</f>
        <v>0</v>
      </c>
      <c r="J10"/>
      <c r="K10"/>
      <c r="L10"/>
    </row>
    <row r="11" spans="1:16">
      <c r="A11" s="42" t="s">
        <v>233</v>
      </c>
      <c r="B11" s="43">
        <v>140030039</v>
      </c>
      <c r="C11" s="44">
        <v>1500</v>
      </c>
      <c r="E11" s="45"/>
      <c r="F11" s="62">
        <f>IIITbl[[#This Row],[send]]-IIITbl[[#This Row],[receive]]</f>
        <v>1500</v>
      </c>
      <c r="G11" s="43">
        <f>_xlfn.XLOOKUP(IIITbl[[#This Row],[product]],press_montage_tbl[product],press_montage_tbl[CT],"NA")</f>
        <v>28.130000000000003</v>
      </c>
      <c r="H11" s="226">
        <f>IIITbl[[#This Row],[receive]]*IIITbl[[#This Row],[CT]]</f>
        <v>0</v>
      </c>
      <c r="J11"/>
      <c r="K11"/>
      <c r="L11"/>
    </row>
    <row r="12" spans="1:16">
      <c r="A12" s="42" t="s">
        <v>273</v>
      </c>
      <c r="B12" s="43">
        <v>140030039</v>
      </c>
      <c r="D12" s="44">
        <v>2400</v>
      </c>
      <c r="E12" s="45"/>
      <c r="F12" s="62">
        <f>IIITbl[[#This Row],[send]]-IIITbl[[#This Row],[receive]]</f>
        <v>-2400</v>
      </c>
      <c r="G12" s="43">
        <f>_xlfn.XLOOKUP(IIITbl[[#This Row],[product]],press_montage_tbl[product],press_montage_tbl[CT],"NA")</f>
        <v>28.130000000000003</v>
      </c>
      <c r="H12" s="226">
        <f>IIITbl[[#This Row],[receive]]*IIITbl[[#This Row],[CT]]</f>
        <v>67512</v>
      </c>
      <c r="J12"/>
      <c r="K12"/>
      <c r="L12"/>
    </row>
    <row r="13" spans="1:16">
      <c r="A13" s="42" t="s">
        <v>278</v>
      </c>
      <c r="B13" s="43">
        <v>140030039</v>
      </c>
      <c r="D13" s="44">
        <v>2900</v>
      </c>
      <c r="E13" s="45"/>
      <c r="F13" s="62">
        <f>IIITbl[[#This Row],[send]]-IIITbl[[#This Row],[receive]]</f>
        <v>-2900</v>
      </c>
      <c r="G13" s="43">
        <f>_xlfn.XLOOKUP(IIITbl[[#This Row],[product]],press_montage_tbl[product],press_montage_tbl[CT],"NA")</f>
        <v>28.130000000000003</v>
      </c>
      <c r="H13" s="226">
        <f>IIITbl[[#This Row],[receive]]*IIITbl[[#This Row],[CT]]</f>
        <v>81577.000000000015</v>
      </c>
      <c r="J13"/>
      <c r="K13"/>
      <c r="L13"/>
    </row>
    <row r="14" spans="1:16">
      <c r="A14" s="42" t="s">
        <v>692</v>
      </c>
      <c r="B14" s="43">
        <v>140010230</v>
      </c>
      <c r="D14" s="44">
        <v>3000</v>
      </c>
      <c r="E14" s="45"/>
      <c r="F14" s="62">
        <f>IIITbl[[#This Row],[send]]-IIITbl[[#This Row],[receive]]</f>
        <v>-3000</v>
      </c>
      <c r="G14" s="43">
        <f>_xlfn.XLOOKUP(IIITbl[[#This Row],[product]],press_montage_tbl[product],press_montage_tbl[CT],"NA")</f>
        <v>49.85</v>
      </c>
      <c r="H14" s="226">
        <f>IIITbl[[#This Row],[receive]]*IIITbl[[#This Row],[CT]]</f>
        <v>149550</v>
      </c>
      <c r="J14"/>
      <c r="K14"/>
      <c r="L14"/>
    </row>
    <row r="15" spans="1:16">
      <c r="A15" s="42" t="s">
        <v>693</v>
      </c>
      <c r="B15" s="43">
        <v>140030039</v>
      </c>
      <c r="C15" s="44">
        <v>2378</v>
      </c>
      <c r="E15" s="45"/>
      <c r="F15" s="62">
        <f>IIITbl[[#This Row],[send]]-IIITbl[[#This Row],[receive]]</f>
        <v>2378</v>
      </c>
      <c r="G15" s="43">
        <f>_xlfn.XLOOKUP(IIITbl[[#This Row],[product]],press_montage_tbl[product],press_montage_tbl[CT],"NA")</f>
        <v>28.130000000000003</v>
      </c>
      <c r="H15" s="226">
        <f>IIITbl[[#This Row],[receive]]*IIITbl[[#This Row],[CT]]</f>
        <v>0</v>
      </c>
      <c r="J15"/>
      <c r="K15"/>
      <c r="L15"/>
    </row>
    <row r="16" spans="1:16">
      <c r="A16" s="42" t="s">
        <v>698</v>
      </c>
      <c r="B16" s="43">
        <v>140030039</v>
      </c>
      <c r="D16" s="44">
        <v>2378</v>
      </c>
      <c r="E16" s="45"/>
      <c r="F16" s="62">
        <f>IIITbl[[#This Row],[send]]-IIITbl[[#This Row],[receive]]</f>
        <v>-2378</v>
      </c>
      <c r="G16" s="43">
        <f>_xlfn.XLOOKUP(IIITbl[[#This Row],[product]],press_montage_tbl[product],press_montage_tbl[CT],"NA")</f>
        <v>28.130000000000003</v>
      </c>
      <c r="H16" s="226">
        <f>IIITbl[[#This Row],[receive]]*IIITbl[[#This Row],[CT]]</f>
        <v>66893.14</v>
      </c>
      <c r="J16"/>
      <c r="K16"/>
      <c r="L16"/>
    </row>
    <row r="17" spans="1:12">
      <c r="A17" s="42" t="s">
        <v>698</v>
      </c>
      <c r="B17" s="43">
        <v>140010230</v>
      </c>
      <c r="D17" s="44">
        <v>2100</v>
      </c>
      <c r="E17" s="45"/>
      <c r="F17" s="62">
        <f>IIITbl[[#This Row],[send]]-IIITbl[[#This Row],[receive]]</f>
        <v>-2100</v>
      </c>
      <c r="G17" s="43">
        <f>_xlfn.XLOOKUP(IIITbl[[#This Row],[product]],press_montage_tbl[product],press_montage_tbl[CT],"NA")</f>
        <v>49.85</v>
      </c>
      <c r="H17" s="226">
        <f>IIITbl[[#This Row],[receive]]*IIITbl[[#This Row],[CT]]</f>
        <v>104685</v>
      </c>
      <c r="J17"/>
      <c r="K17"/>
      <c r="L17"/>
    </row>
    <row r="18" spans="1:12">
      <c r="A18" s="42" t="s">
        <v>707</v>
      </c>
      <c r="B18" s="43">
        <v>140310083</v>
      </c>
      <c r="D18" s="44">
        <v>900</v>
      </c>
      <c r="E18" s="45"/>
      <c r="F18" s="62">
        <f>IIITbl[[#This Row],[send]]-IIITbl[[#This Row],[receive]]</f>
        <v>-900</v>
      </c>
      <c r="G18" s="43">
        <f>_xlfn.XLOOKUP(IIITbl[[#This Row],[product]],press_montage_tbl[product],press_montage_tbl[CT],"NA")</f>
        <v>47.5</v>
      </c>
      <c r="H18" s="226">
        <f>IIITbl[[#This Row],[receive]]*IIITbl[[#This Row],[CT]]</f>
        <v>42750</v>
      </c>
      <c r="J18"/>
      <c r="K18"/>
      <c r="L18"/>
    </row>
    <row r="19" spans="1:12">
      <c r="A19" s="42" t="s">
        <v>710</v>
      </c>
      <c r="B19" s="43">
        <v>140310083</v>
      </c>
      <c r="D19" s="44">
        <v>1500</v>
      </c>
      <c r="E19" s="45"/>
      <c r="F19" s="62">
        <f>IIITbl[[#This Row],[send]]-IIITbl[[#This Row],[receive]]</f>
        <v>-1500</v>
      </c>
      <c r="G19" s="43">
        <f>_xlfn.XLOOKUP(IIITbl[[#This Row],[product]],press_montage_tbl[product],press_montage_tbl[CT],"NA")</f>
        <v>47.5</v>
      </c>
      <c r="H19" s="226">
        <f>IIITbl[[#This Row],[receive]]*IIITbl[[#This Row],[CT]]</f>
        <v>71250</v>
      </c>
      <c r="J19"/>
      <c r="K19"/>
      <c r="L19"/>
    </row>
    <row r="20" spans="1:12">
      <c r="A20" s="42" t="s">
        <v>710</v>
      </c>
      <c r="B20" s="43">
        <v>140310071</v>
      </c>
      <c r="D20" s="44">
        <v>1500</v>
      </c>
      <c r="E20" s="45"/>
      <c r="F20" s="62">
        <f>IIITbl[[#This Row],[send]]-IIITbl[[#This Row],[receive]]</f>
        <v>-1500</v>
      </c>
      <c r="G20" s="43">
        <f>_xlfn.XLOOKUP(IIITbl[[#This Row],[product]],press_montage_tbl[product],press_montage_tbl[CT],"NA")</f>
        <v>35.83</v>
      </c>
      <c r="H20" s="226">
        <f>IIITbl[[#This Row],[receive]]*IIITbl[[#This Row],[CT]]</f>
        <v>53745</v>
      </c>
      <c r="J20"/>
      <c r="K20"/>
      <c r="L20"/>
    </row>
    <row r="21" spans="1:12">
      <c r="A21" s="42" t="s">
        <v>712</v>
      </c>
      <c r="B21" s="43">
        <v>140310083</v>
      </c>
      <c r="D21" s="44">
        <v>600</v>
      </c>
      <c r="E21" s="45"/>
      <c r="F21" s="62">
        <f>IIITbl[[#This Row],[send]]-IIITbl[[#This Row],[receive]]</f>
        <v>-600</v>
      </c>
      <c r="G21" s="43">
        <f>_xlfn.XLOOKUP(IIITbl[[#This Row],[product]],press_montage_tbl[product],press_montage_tbl[CT],"NA")</f>
        <v>47.5</v>
      </c>
      <c r="H21" s="226">
        <f>IIITbl[[#This Row],[receive]]*IIITbl[[#This Row],[CT]]</f>
        <v>28500</v>
      </c>
    </row>
    <row r="22" spans="1:12">
      <c r="A22" s="42" t="s">
        <v>712</v>
      </c>
      <c r="B22" s="43">
        <v>140310071</v>
      </c>
      <c r="D22" s="44">
        <v>2700</v>
      </c>
      <c r="E22" s="45"/>
      <c r="F22" s="62">
        <f>IIITbl[[#This Row],[send]]-IIITbl[[#This Row],[receive]]</f>
        <v>-2700</v>
      </c>
      <c r="G22" s="43">
        <f>_xlfn.XLOOKUP(IIITbl[[#This Row],[product]],press_montage_tbl[product],press_montage_tbl[CT],"NA")</f>
        <v>35.83</v>
      </c>
      <c r="H22" s="226">
        <f>IIITbl[[#This Row],[receive]]*IIITbl[[#This Row],[CT]]</f>
        <v>96741</v>
      </c>
    </row>
    <row r="23" spans="1:12">
      <c r="A23" s="42" t="s">
        <v>714</v>
      </c>
      <c r="B23" s="43">
        <v>140310071</v>
      </c>
      <c r="D23" s="44">
        <v>1800</v>
      </c>
      <c r="E23" s="45"/>
      <c r="F23" s="62">
        <f>IIITbl[[#This Row],[send]]-IIITbl[[#This Row],[receive]]</f>
        <v>-1800</v>
      </c>
      <c r="G23" s="43">
        <f>_xlfn.XLOOKUP(IIITbl[[#This Row],[product]],press_montage_tbl[product],press_montage_tbl[CT],"NA")</f>
        <v>35.83</v>
      </c>
      <c r="H23" s="226">
        <f>IIITbl[[#This Row],[receive]]*IIITbl[[#This Row],[CT]]</f>
        <v>64494</v>
      </c>
    </row>
    <row r="24" spans="1:12">
      <c r="A24" s="42" t="s">
        <v>717</v>
      </c>
      <c r="B24" s="43">
        <v>140310071</v>
      </c>
      <c r="D24" s="44">
        <v>1800</v>
      </c>
      <c r="E24" s="45"/>
      <c r="F24" s="62">
        <f>IIITbl[[#This Row],[send]]-IIITbl[[#This Row],[receive]]</f>
        <v>-1800</v>
      </c>
      <c r="G24" s="43">
        <f>_xlfn.XLOOKUP(IIITbl[[#This Row],[product]],press_montage_tbl[product],press_montage_tbl[CT],"NA")</f>
        <v>35.83</v>
      </c>
      <c r="H24" s="226">
        <f>IIITbl[[#This Row],[receive]]*IIITbl[[#This Row],[CT]]</f>
        <v>64494</v>
      </c>
    </row>
    <row r="25" spans="1:12">
      <c r="A25" s="42" t="s">
        <v>699</v>
      </c>
      <c r="B25" s="43">
        <v>140310083</v>
      </c>
      <c r="C25" s="44">
        <v>3000</v>
      </c>
      <c r="E25" s="45"/>
      <c r="F25" s="62">
        <f>IIITbl[[#This Row],[send]]-IIITbl[[#This Row],[receive]]</f>
        <v>3000</v>
      </c>
      <c r="G25" s="43">
        <f>_xlfn.XLOOKUP(IIITbl[[#This Row],[product]],press_montage_tbl[product],press_montage_tbl[CT],"NA")</f>
        <v>47.5</v>
      </c>
      <c r="H25" s="226">
        <f>IIITbl[[#This Row],[receive]]*IIITbl[[#This Row],[CT]]</f>
        <v>0</v>
      </c>
    </row>
    <row r="26" spans="1:12">
      <c r="A26" s="42" t="s">
        <v>699</v>
      </c>
      <c r="B26" s="43">
        <v>140310071</v>
      </c>
      <c r="C26" s="44">
        <v>3000</v>
      </c>
      <c r="E26" s="45"/>
      <c r="F26" s="62">
        <f>IIITbl[[#This Row],[send]]-IIITbl[[#This Row],[receive]]</f>
        <v>3000</v>
      </c>
      <c r="G26" s="43">
        <f>_xlfn.XLOOKUP(IIITbl[[#This Row],[product]],press_montage_tbl[product],press_montage_tbl[CT],"NA")</f>
        <v>35.83</v>
      </c>
      <c r="H26" s="226">
        <f>IIITbl[[#This Row],[receive]]*IIITbl[[#This Row],[CT]]</f>
        <v>0</v>
      </c>
    </row>
    <row r="27" spans="1:12">
      <c r="A27" s="42" t="s">
        <v>710</v>
      </c>
      <c r="B27" s="43">
        <v>140310071</v>
      </c>
      <c r="C27" s="44">
        <v>1200</v>
      </c>
      <c r="E27" s="45"/>
      <c r="F27" s="62">
        <f>IIITbl[[#This Row],[send]]-IIITbl[[#This Row],[receive]]</f>
        <v>1200</v>
      </c>
      <c r="G27" s="43">
        <f>_xlfn.XLOOKUP(IIITbl[[#This Row],[product]],press_montage_tbl[product],press_montage_tbl[CT],"NA")</f>
        <v>35.83</v>
      </c>
      <c r="H27" s="226">
        <f>IIITbl[[#This Row],[receive]]*IIITbl[[#This Row],[CT]]</f>
        <v>0</v>
      </c>
    </row>
    <row r="28" spans="1:12">
      <c r="A28" s="42" t="s">
        <v>712</v>
      </c>
      <c r="B28" s="43">
        <v>140310071</v>
      </c>
      <c r="C28" s="44">
        <v>5400</v>
      </c>
      <c r="E28" s="45"/>
      <c r="F28" s="62">
        <f>IIITbl[[#This Row],[send]]-IIITbl[[#This Row],[receive]]</f>
        <v>5400</v>
      </c>
      <c r="G28" s="43">
        <f>_xlfn.XLOOKUP(IIITbl[[#This Row],[product]],press_montage_tbl[product],press_montage_tbl[CT],"NA")</f>
        <v>35.83</v>
      </c>
      <c r="H28" s="226">
        <f>IIITbl[[#This Row],[receive]]*IIITbl[[#This Row],[CT]]</f>
        <v>0</v>
      </c>
    </row>
    <row r="29" spans="1:12">
      <c r="A29" s="42" t="s">
        <v>717</v>
      </c>
      <c r="B29" s="43">
        <v>140310071</v>
      </c>
      <c r="C29" s="44">
        <v>5100</v>
      </c>
      <c r="E29" s="45"/>
      <c r="F29" s="62">
        <f>IIITbl[[#This Row],[send]]-IIITbl[[#This Row],[receive]]</f>
        <v>5100</v>
      </c>
      <c r="G29" s="43">
        <f>_xlfn.XLOOKUP(IIITbl[[#This Row],[product]],press_montage_tbl[product],press_montage_tbl[CT],"NA")</f>
        <v>35.83</v>
      </c>
      <c r="H29" s="226">
        <f>IIITbl[[#This Row],[receive]]*IIITbl[[#This Row],[CT]]</f>
        <v>0</v>
      </c>
    </row>
    <row r="30" spans="1:12">
      <c r="A30" s="42" t="s">
        <v>718</v>
      </c>
      <c r="B30" s="43">
        <v>140310071</v>
      </c>
      <c r="C30" s="44">
        <v>900</v>
      </c>
      <c r="E30" s="45"/>
      <c r="F30" s="62">
        <f>IIITbl[[#This Row],[send]]-IIITbl[[#This Row],[receive]]</f>
        <v>900</v>
      </c>
      <c r="G30" s="43">
        <f>_xlfn.XLOOKUP(IIITbl[[#This Row],[product]],press_montage_tbl[product],press_montage_tbl[CT],"NA")</f>
        <v>35.83</v>
      </c>
      <c r="H30" s="226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H45"/>
  <sheetViews>
    <sheetView workbookViewId="0">
      <pane ySplit="1" topLeftCell="A2" activePane="bottomLeft" state="frozen"/>
      <selection pane="bottomLeft" activeCell="F12" sqref="C11:F12"/>
    </sheetView>
  </sheetViews>
  <sheetFormatPr defaultColWidth="20.7109375" defaultRowHeight="15"/>
  <cols>
    <col min="1" max="16384" width="20.7109375" style="1"/>
  </cols>
  <sheetData>
    <row r="1" spans="1:8" ht="39.950000000000003" customHeight="1"/>
    <row r="2" spans="1:8">
      <c r="A2" s="248"/>
      <c r="B2" s="248" t="s">
        <v>815</v>
      </c>
      <c r="C2" s="248" t="s">
        <v>820</v>
      </c>
      <c r="D2" s="248"/>
      <c r="E2" s="248"/>
      <c r="F2" s="248"/>
      <c r="G2" s="248"/>
      <c r="H2" s="248"/>
    </row>
    <row r="3" spans="1:8">
      <c r="A3" s="248">
        <v>140030039</v>
      </c>
      <c r="B3" s="429">
        <v>1000</v>
      </c>
      <c r="C3" s="429">
        <v>800</v>
      </c>
      <c r="D3" s="429"/>
      <c r="E3" s="429"/>
      <c r="F3" s="429"/>
      <c r="G3" s="248"/>
      <c r="H3" s="248"/>
    </row>
    <row r="4" spans="1:8">
      <c r="A4" s="248"/>
      <c r="B4" s="429"/>
      <c r="C4" s="429"/>
      <c r="D4" s="429"/>
      <c r="E4" s="429"/>
      <c r="F4" s="429"/>
      <c r="G4" s="248"/>
      <c r="H4" s="248"/>
    </row>
    <row r="5" spans="1:8">
      <c r="A5" s="248"/>
      <c r="B5" s="248"/>
      <c r="C5" s="248"/>
      <c r="D5" s="248"/>
      <c r="E5" s="248"/>
      <c r="F5" s="248"/>
      <c r="G5" s="248"/>
      <c r="H5" s="248"/>
    </row>
    <row r="6" spans="1:8">
      <c r="A6" s="248"/>
      <c r="B6" s="248"/>
      <c r="C6" s="248"/>
      <c r="D6" s="248"/>
      <c r="E6" s="248"/>
      <c r="F6" s="248"/>
      <c r="G6" s="248"/>
      <c r="H6" s="248"/>
    </row>
    <row r="7" spans="1:8">
      <c r="A7" s="248"/>
      <c r="B7" s="248"/>
      <c r="C7" s="248"/>
      <c r="D7" s="248"/>
      <c r="E7" s="248"/>
      <c r="F7" s="248"/>
      <c r="G7" s="248"/>
      <c r="H7" s="248"/>
    </row>
    <row r="10" spans="1:8" s="247" customFormat="1" ht="30" customHeight="1">
      <c r="A10" s="246" t="s">
        <v>201</v>
      </c>
      <c r="B10" s="246" t="s">
        <v>198</v>
      </c>
      <c r="C10" s="246" t="s">
        <v>181</v>
      </c>
      <c r="D10" s="246" t="s">
        <v>190</v>
      </c>
      <c r="E10" s="246" t="s">
        <v>187</v>
      </c>
      <c r="F10" s="246" t="s">
        <v>188</v>
      </c>
      <c r="G10" s="246" t="s">
        <v>1168</v>
      </c>
    </row>
    <row r="11" spans="1:8">
      <c r="A11" s="1">
        <v>1</v>
      </c>
      <c r="B11" s="1" t="e" cm="1">
        <f t="array" aca="1" ref="B11" ca="1">J_TODAY(1)</f>
        <v>#NAME?</v>
      </c>
      <c r="C11" s="1">
        <f t="shared" ref="C11:C17" si="0">$A$3</f>
        <v>140030039</v>
      </c>
      <c r="D11" s="1">
        <f>VALUE(MID(inputPlanTbl[[#This Row],[toDate]],6,2))</f>
        <v>6</v>
      </c>
      <c r="E11" s="1">
        <f>$B$3</f>
        <v>1000</v>
      </c>
      <c r="F11" s="1" t="str">
        <f>$B$2</f>
        <v>1404/06/15</v>
      </c>
    </row>
    <row r="12" spans="1:8">
      <c r="A12" s="1">
        <v>2</v>
      </c>
      <c r="B12" s="1" t="e" cm="1">
        <f t="array" aca="1" ref="B12" ca="1">J_TODAY(1)</f>
        <v>#NAME?</v>
      </c>
      <c r="C12" s="1">
        <f t="shared" si="0"/>
        <v>140030039</v>
      </c>
      <c r="D12" s="1">
        <f>VALUE(MID(inputPlanTbl[[#This Row],[toDate]],6,2))</f>
        <v>6</v>
      </c>
      <c r="E12" s="1">
        <f>$C$3</f>
        <v>800</v>
      </c>
      <c r="F12" s="1" t="str">
        <f>$C$2</f>
        <v>1404/06/20</v>
      </c>
    </row>
    <row r="13" spans="1:8">
      <c r="A13" s="1">
        <v>3</v>
      </c>
      <c r="B13" s="1" t="e" cm="1">
        <f t="array" aca="1" ref="B13" ca="1">J_TODAY(1)</f>
        <v>#NAME?</v>
      </c>
      <c r="C13" s="1">
        <f t="shared" si="0"/>
        <v>140030039</v>
      </c>
      <c r="D13" s="1" t="e">
        <f>VALUE(MID(inputPlanTbl[[#This Row],[toDate]],6,2))</f>
        <v>#VALUE!</v>
      </c>
      <c r="E13" s="1">
        <f>$D$3</f>
        <v>0</v>
      </c>
      <c r="F13" s="1">
        <f>$D$2</f>
        <v>0</v>
      </c>
    </row>
    <row r="14" spans="1:8">
      <c r="A14" s="1">
        <v>4</v>
      </c>
      <c r="B14" s="1" t="e" cm="1">
        <f t="array" aca="1" ref="B14" ca="1">J_TODAY(1)</f>
        <v>#NAME?</v>
      </c>
      <c r="C14" s="1">
        <f t="shared" si="0"/>
        <v>140030039</v>
      </c>
      <c r="D14" s="1" t="e">
        <f>VALUE(MID(inputPlanTbl[[#This Row],[toDate]],6,2))</f>
        <v>#VALUE!</v>
      </c>
      <c r="E14" s="1">
        <f>$E$3</f>
        <v>0</v>
      </c>
      <c r="F14" s="1">
        <f>$E$2</f>
        <v>0</v>
      </c>
    </row>
    <row r="15" spans="1:8">
      <c r="A15" s="1">
        <v>5</v>
      </c>
      <c r="B15" s="1" t="e" cm="1">
        <f t="array" aca="1" ref="B15" ca="1">J_TODAY(1)</f>
        <v>#NAME?</v>
      </c>
      <c r="C15" s="1">
        <f t="shared" si="0"/>
        <v>140030039</v>
      </c>
      <c r="D15" s="1" t="e">
        <f>VALUE(MID(inputPlanTbl[[#This Row],[toDate]],6,2))</f>
        <v>#VALUE!</v>
      </c>
      <c r="E15" s="1">
        <f>$F$3</f>
        <v>0</v>
      </c>
      <c r="F15" s="1">
        <f>$F$2</f>
        <v>0</v>
      </c>
    </row>
    <row r="16" spans="1:8">
      <c r="A16" s="1">
        <v>6</v>
      </c>
      <c r="B16" s="1" t="e" cm="1">
        <f t="array" aca="1" ref="B16" ca="1">J_TODAY(1)</f>
        <v>#NAME?</v>
      </c>
      <c r="C16" s="1">
        <f t="shared" si="0"/>
        <v>140030039</v>
      </c>
      <c r="D16" s="1" t="e">
        <f>VALUE(MID(inputPlanTbl[[#This Row],[toDate]],6,2))</f>
        <v>#VALUE!</v>
      </c>
      <c r="E16" s="1">
        <f>$G$3</f>
        <v>0</v>
      </c>
      <c r="F16" s="1">
        <f>$G$2</f>
        <v>0</v>
      </c>
    </row>
    <row r="17" spans="1:6">
      <c r="A17" s="1">
        <v>7</v>
      </c>
      <c r="B17" s="1" t="e" cm="1">
        <f t="array" aca="1" ref="B17" ca="1">J_TODAY(1)</f>
        <v>#NAME?</v>
      </c>
      <c r="C17" s="1">
        <f t="shared" si="0"/>
        <v>140030039</v>
      </c>
      <c r="D17" s="1" t="e">
        <f>VALUE(MID(inputPlanTbl[[#This Row],[toDate]],6,2))</f>
        <v>#VALUE!</v>
      </c>
      <c r="E17" s="1">
        <f>$H$3</f>
        <v>0</v>
      </c>
      <c r="F17" s="1">
        <f>$H$2</f>
        <v>0</v>
      </c>
    </row>
    <row r="18" spans="1:6">
      <c r="A18" s="1">
        <v>8</v>
      </c>
      <c r="B18" s="1" t="e" cm="1">
        <f t="array" aca="1" ref="B18" ca="1">J_TODAY(1)</f>
        <v>#NAME?</v>
      </c>
      <c r="C18" s="1">
        <f>$A$4</f>
        <v>0</v>
      </c>
      <c r="D18" s="1">
        <f>VALUE(MID(inputPlanTbl[[#This Row],[toDate]],6,2))</f>
        <v>6</v>
      </c>
      <c r="E18" s="1">
        <f>$B$4</f>
        <v>0</v>
      </c>
      <c r="F18" s="1" t="str">
        <f>$B$2</f>
        <v>1404/06/15</v>
      </c>
    </row>
    <row r="19" spans="1:6">
      <c r="A19" s="1">
        <v>9</v>
      </c>
      <c r="B19" s="1" t="e" cm="1">
        <f t="array" aca="1" ref="B19" ca="1">J_TODAY(1)</f>
        <v>#NAME?</v>
      </c>
      <c r="C19" s="1">
        <f t="shared" ref="C19:C24" si="1">$A$4</f>
        <v>0</v>
      </c>
      <c r="D19" s="1">
        <f>VALUE(MID(inputPlanTbl[[#This Row],[toDate]],6,2))</f>
        <v>6</v>
      </c>
      <c r="E19" s="1">
        <f>$C$4</f>
        <v>0</v>
      </c>
      <c r="F19" s="1" t="str">
        <f>$C$2</f>
        <v>1404/06/20</v>
      </c>
    </row>
    <row r="20" spans="1:6">
      <c r="B20" s="1" t="e" cm="1">
        <f t="array" aca="1" ref="B20" ca="1">J_TODAY(1)</f>
        <v>#NAME?</v>
      </c>
      <c r="C20" s="1">
        <f t="shared" si="1"/>
        <v>0</v>
      </c>
      <c r="D20" s="1" t="e">
        <f>VALUE(MID(inputPlanTbl[[#This Row],[toDate]],6,2))</f>
        <v>#VALUE!</v>
      </c>
      <c r="E20" s="1">
        <f>$D$4</f>
        <v>0</v>
      </c>
      <c r="F20" s="1">
        <f>$D$2</f>
        <v>0</v>
      </c>
    </row>
    <row r="21" spans="1:6">
      <c r="B21" s="1" t="e" cm="1">
        <f t="array" aca="1" ref="B21" ca="1">J_TODAY(1)</f>
        <v>#NAME?</v>
      </c>
      <c r="C21" s="1">
        <f t="shared" si="1"/>
        <v>0</v>
      </c>
      <c r="D21" s="1" t="e">
        <f>VALUE(MID(inputPlanTbl[[#This Row],[toDate]],6,2))</f>
        <v>#VALUE!</v>
      </c>
      <c r="E21" s="1">
        <f>$E$4</f>
        <v>0</v>
      </c>
      <c r="F21" s="1">
        <f>$E$2</f>
        <v>0</v>
      </c>
    </row>
    <row r="22" spans="1:6">
      <c r="B22" s="1" t="e" cm="1">
        <f t="array" aca="1" ref="B22" ca="1">J_TODAY(1)</f>
        <v>#NAME?</v>
      </c>
      <c r="C22" s="1">
        <f t="shared" si="1"/>
        <v>0</v>
      </c>
      <c r="D22" s="1" t="e">
        <f>VALUE(MID(inputPlanTbl[[#This Row],[toDate]],6,2))</f>
        <v>#VALUE!</v>
      </c>
      <c r="E22" s="1">
        <f>$F$4</f>
        <v>0</v>
      </c>
      <c r="F22" s="1">
        <f>$F$2</f>
        <v>0</v>
      </c>
    </row>
    <row r="23" spans="1:6">
      <c r="B23" s="1" t="e" cm="1">
        <f t="array" aca="1" ref="B23" ca="1">J_TODAY(1)</f>
        <v>#NAME?</v>
      </c>
      <c r="C23" s="1">
        <f t="shared" si="1"/>
        <v>0</v>
      </c>
      <c r="D23" s="1" t="e">
        <f>VALUE(MID(inputPlanTbl[[#This Row],[toDate]],6,2))</f>
        <v>#VALUE!</v>
      </c>
      <c r="E23" s="1">
        <f>$G$4</f>
        <v>0</v>
      </c>
      <c r="F23" s="1">
        <f>$G$2</f>
        <v>0</v>
      </c>
    </row>
    <row r="24" spans="1:6">
      <c r="B24" s="1" t="e" cm="1">
        <f t="array" aca="1" ref="B24" ca="1">J_TODAY(1)</f>
        <v>#NAME?</v>
      </c>
      <c r="C24" s="1">
        <f t="shared" si="1"/>
        <v>0</v>
      </c>
      <c r="D24" s="1" t="e">
        <f>VALUE(MID(inputPlanTbl[[#This Row],[toDate]],6,2))</f>
        <v>#VALUE!</v>
      </c>
      <c r="E24" s="1">
        <f>$H$4</f>
        <v>0</v>
      </c>
      <c r="F24" s="1">
        <f>$H$2</f>
        <v>0</v>
      </c>
    </row>
    <row r="25" spans="1:6">
      <c r="B25" s="1" t="e" cm="1">
        <f t="array" aca="1" ref="B25" ca="1">J_TODAY(1)</f>
        <v>#NAME?</v>
      </c>
      <c r="C25" s="1">
        <f>$A$5</f>
        <v>0</v>
      </c>
      <c r="D25" s="1">
        <f>VALUE(MID(inputPlanTbl[[#This Row],[toDate]],6,2))</f>
        <v>6</v>
      </c>
      <c r="E25" s="1">
        <f>$B$5</f>
        <v>0</v>
      </c>
      <c r="F25" s="1" t="str">
        <f>$B$2</f>
        <v>1404/06/15</v>
      </c>
    </row>
    <row r="26" spans="1:6">
      <c r="B26" s="1" t="e" cm="1">
        <f t="array" aca="1" ref="B26" ca="1">J_TODAY(1)</f>
        <v>#NAME?</v>
      </c>
      <c r="C26" s="1">
        <f t="shared" ref="C26:C31" si="2">$A$5</f>
        <v>0</v>
      </c>
      <c r="D26" s="1">
        <f>VALUE(MID(inputPlanTbl[[#This Row],[toDate]],6,2))</f>
        <v>6</v>
      </c>
      <c r="E26" s="1">
        <f>$C$5</f>
        <v>0</v>
      </c>
      <c r="F26" s="1" t="str">
        <f>$C$2</f>
        <v>1404/06/20</v>
      </c>
    </row>
    <row r="27" spans="1:6">
      <c r="B27" s="1" t="e" cm="1">
        <f t="array" aca="1" ref="B27" ca="1">J_TODAY(1)</f>
        <v>#NAME?</v>
      </c>
      <c r="C27" s="1">
        <f t="shared" si="2"/>
        <v>0</v>
      </c>
      <c r="D27" s="1" t="e">
        <f>VALUE(MID(inputPlanTbl[[#This Row],[toDate]],6,2))</f>
        <v>#VALUE!</v>
      </c>
      <c r="E27" s="1">
        <f>$D$5</f>
        <v>0</v>
      </c>
      <c r="F27" s="1">
        <f>$D$2</f>
        <v>0</v>
      </c>
    </row>
    <row r="28" spans="1:6">
      <c r="B28" s="1" t="e" cm="1">
        <f t="array" aca="1" ref="B28" ca="1">J_TODAY(1)</f>
        <v>#NAME?</v>
      </c>
      <c r="C28" s="1">
        <f t="shared" si="2"/>
        <v>0</v>
      </c>
      <c r="D28" s="1" t="e">
        <f>VALUE(MID(inputPlanTbl[[#This Row],[toDate]],6,2))</f>
        <v>#VALUE!</v>
      </c>
      <c r="E28" s="1">
        <f>$E$5</f>
        <v>0</v>
      </c>
      <c r="F28" s="1">
        <f>$E$2</f>
        <v>0</v>
      </c>
    </row>
    <row r="29" spans="1:6">
      <c r="B29" s="1" t="e" cm="1">
        <f t="array" aca="1" ref="B29" ca="1">J_TODAY(1)</f>
        <v>#NAME?</v>
      </c>
      <c r="C29" s="1">
        <f t="shared" si="2"/>
        <v>0</v>
      </c>
      <c r="D29" s="1" t="e">
        <f>VALUE(MID(inputPlanTbl[[#This Row],[toDate]],6,2))</f>
        <v>#VALUE!</v>
      </c>
      <c r="E29" s="1">
        <f>$F$5</f>
        <v>0</v>
      </c>
      <c r="F29" s="1">
        <f>$F$2</f>
        <v>0</v>
      </c>
    </row>
    <row r="30" spans="1:6">
      <c r="B30" s="1" t="e" cm="1">
        <f t="array" aca="1" ref="B30" ca="1">J_TODAY(1)</f>
        <v>#NAME?</v>
      </c>
      <c r="C30" s="1">
        <f t="shared" si="2"/>
        <v>0</v>
      </c>
      <c r="D30" s="1" t="e">
        <f>VALUE(MID(inputPlanTbl[[#This Row],[toDate]],6,2))</f>
        <v>#VALUE!</v>
      </c>
      <c r="E30" s="1">
        <f>$G$5</f>
        <v>0</v>
      </c>
      <c r="F30" s="1">
        <f>$G$2</f>
        <v>0</v>
      </c>
    </row>
    <row r="31" spans="1:6">
      <c r="B31" s="1" t="e" cm="1">
        <f t="array" aca="1" ref="B31" ca="1">J_TODAY(1)</f>
        <v>#NAME?</v>
      </c>
      <c r="C31" s="1">
        <f t="shared" si="2"/>
        <v>0</v>
      </c>
      <c r="D31" s="1" t="e">
        <f>VALUE(MID(inputPlanTbl[[#This Row],[toDate]],6,2))</f>
        <v>#VALUE!</v>
      </c>
      <c r="E31" s="1">
        <f>$H$5</f>
        <v>0</v>
      </c>
      <c r="F31" s="1">
        <f>$H$2</f>
        <v>0</v>
      </c>
    </row>
    <row r="32" spans="1:6">
      <c r="B32" s="1" t="e" cm="1">
        <f t="array" aca="1" ref="B32" ca="1">J_TODAY(1)</f>
        <v>#NAME?</v>
      </c>
      <c r="C32" s="1">
        <f>$A$6</f>
        <v>0</v>
      </c>
      <c r="D32" s="1">
        <f>VALUE(MID(inputPlanTbl[[#This Row],[toDate]],6,2))</f>
        <v>6</v>
      </c>
      <c r="E32" s="1">
        <f>$B$6</f>
        <v>0</v>
      </c>
      <c r="F32" s="1" t="str">
        <f>$B$2</f>
        <v>1404/06/15</v>
      </c>
    </row>
    <row r="33" spans="2:6">
      <c r="B33" s="1" t="e" cm="1">
        <f t="array" aca="1" ref="B33" ca="1">J_TODAY(1)</f>
        <v>#NAME?</v>
      </c>
      <c r="C33" s="1">
        <f t="shared" ref="C33:C38" si="3">$A$6</f>
        <v>0</v>
      </c>
      <c r="D33" s="1">
        <f>VALUE(MID(inputPlanTbl[[#This Row],[toDate]],6,2))</f>
        <v>6</v>
      </c>
      <c r="E33" s="1">
        <f>$C$6</f>
        <v>0</v>
      </c>
      <c r="F33" s="1" t="str">
        <f>$C$2</f>
        <v>1404/06/20</v>
      </c>
    </row>
    <row r="34" spans="2:6">
      <c r="B34" s="1" t="e" cm="1">
        <f t="array" aca="1" ref="B34" ca="1">J_TODAY(1)</f>
        <v>#NAME?</v>
      </c>
      <c r="C34" s="1">
        <f t="shared" si="3"/>
        <v>0</v>
      </c>
      <c r="D34" s="1" t="e">
        <f>VALUE(MID(inputPlanTbl[[#This Row],[toDate]],6,2))</f>
        <v>#VALUE!</v>
      </c>
      <c r="E34" s="1">
        <f>$D$6</f>
        <v>0</v>
      </c>
      <c r="F34" s="1">
        <f>$D$2</f>
        <v>0</v>
      </c>
    </row>
    <row r="35" spans="2:6">
      <c r="B35" s="1" t="e" cm="1">
        <f t="array" aca="1" ref="B35" ca="1">J_TODAY(1)</f>
        <v>#NAME?</v>
      </c>
      <c r="C35" s="1">
        <f t="shared" si="3"/>
        <v>0</v>
      </c>
      <c r="D35" s="1" t="e">
        <f>VALUE(MID(inputPlanTbl[[#This Row],[toDate]],6,2))</f>
        <v>#VALUE!</v>
      </c>
      <c r="E35" s="1">
        <f>$E$6</f>
        <v>0</v>
      </c>
      <c r="F35" s="1">
        <f>$E$2</f>
        <v>0</v>
      </c>
    </row>
    <row r="36" spans="2:6">
      <c r="B36" s="1" t="e" cm="1">
        <f t="array" aca="1" ref="B36" ca="1">J_TODAY(1)</f>
        <v>#NAME?</v>
      </c>
      <c r="C36" s="1">
        <f t="shared" si="3"/>
        <v>0</v>
      </c>
      <c r="D36" s="1" t="e">
        <f>VALUE(MID(inputPlanTbl[[#This Row],[toDate]],6,2))</f>
        <v>#VALUE!</v>
      </c>
      <c r="E36" s="1">
        <f>$F$6</f>
        <v>0</v>
      </c>
      <c r="F36" s="1">
        <f>$F$2</f>
        <v>0</v>
      </c>
    </row>
    <row r="37" spans="2:6">
      <c r="B37" s="1" t="e" cm="1">
        <f t="array" aca="1" ref="B37" ca="1">J_TODAY(1)</f>
        <v>#NAME?</v>
      </c>
      <c r="C37" s="1">
        <f t="shared" si="3"/>
        <v>0</v>
      </c>
      <c r="D37" s="1" t="e">
        <f>VALUE(MID(inputPlanTbl[[#This Row],[toDate]],6,2))</f>
        <v>#VALUE!</v>
      </c>
      <c r="E37" s="1">
        <f>$G$6</f>
        <v>0</v>
      </c>
      <c r="F37" s="1">
        <f>$G$2</f>
        <v>0</v>
      </c>
    </row>
    <row r="38" spans="2:6">
      <c r="B38" s="1" t="e" cm="1">
        <f t="array" aca="1" ref="B38" ca="1">J_TODAY(1)</f>
        <v>#NAME?</v>
      </c>
      <c r="C38" s="1">
        <f t="shared" si="3"/>
        <v>0</v>
      </c>
      <c r="D38" s="1" t="e">
        <f>VALUE(MID(inputPlanTbl[[#This Row],[toDate]],6,2))</f>
        <v>#VALUE!</v>
      </c>
      <c r="E38" s="1">
        <f>$H$6</f>
        <v>0</v>
      </c>
      <c r="F38" s="1">
        <f>$H$2</f>
        <v>0</v>
      </c>
    </row>
    <row r="39" spans="2:6">
      <c r="B39" s="1" t="e" cm="1">
        <f t="array" aca="1" ref="B39" ca="1">J_TODAY(1)</f>
        <v>#NAME?</v>
      </c>
      <c r="C39" s="1">
        <f>$A$7</f>
        <v>0</v>
      </c>
      <c r="D39" s="1">
        <f>VALUE(MID(inputPlanTbl[[#This Row],[toDate]],6,2))</f>
        <v>6</v>
      </c>
      <c r="E39" s="1">
        <f>$B$7</f>
        <v>0</v>
      </c>
      <c r="F39" s="1" t="str">
        <f>$B$2</f>
        <v>1404/06/15</v>
      </c>
    </row>
    <row r="40" spans="2:6">
      <c r="B40" s="1" t="e" cm="1">
        <f t="array" aca="1" ref="B40" ca="1">J_TODAY(1)</f>
        <v>#NAME?</v>
      </c>
      <c r="C40" s="1">
        <f t="shared" ref="C40:C45" si="4">$A$7</f>
        <v>0</v>
      </c>
      <c r="D40" s="1">
        <f>VALUE(MID(inputPlanTbl[[#This Row],[toDate]],6,2))</f>
        <v>6</v>
      </c>
      <c r="E40" s="1">
        <f>$C$7</f>
        <v>0</v>
      </c>
      <c r="F40" s="1" t="str">
        <f>$C$2</f>
        <v>1404/06/20</v>
      </c>
    </row>
    <row r="41" spans="2:6">
      <c r="B41" s="1" t="e" cm="1">
        <f t="array" aca="1" ref="B41" ca="1">J_TODAY(1)</f>
        <v>#NAME?</v>
      </c>
      <c r="C41" s="1">
        <f t="shared" si="4"/>
        <v>0</v>
      </c>
      <c r="D41" s="1" t="e">
        <f>VALUE(MID(inputPlanTbl[[#This Row],[toDate]],6,2))</f>
        <v>#VALUE!</v>
      </c>
      <c r="E41" s="1">
        <f>$D$7</f>
        <v>0</v>
      </c>
      <c r="F41" s="1">
        <f>$D$2</f>
        <v>0</v>
      </c>
    </row>
    <row r="42" spans="2:6">
      <c r="B42" s="1" t="e" cm="1">
        <f t="array" aca="1" ref="B42" ca="1">J_TODAY(1)</f>
        <v>#NAME?</v>
      </c>
      <c r="C42" s="1">
        <f t="shared" si="4"/>
        <v>0</v>
      </c>
      <c r="D42" s="1" t="e">
        <f>VALUE(MID(inputPlanTbl[[#This Row],[toDate]],6,2))</f>
        <v>#VALUE!</v>
      </c>
      <c r="E42" s="1">
        <f>$E$7</f>
        <v>0</v>
      </c>
      <c r="F42" s="1">
        <f>$E$2</f>
        <v>0</v>
      </c>
    </row>
    <row r="43" spans="2:6">
      <c r="B43" s="1" t="e" cm="1">
        <f t="array" aca="1" ref="B43" ca="1">J_TODAY(1)</f>
        <v>#NAME?</v>
      </c>
      <c r="C43" s="1">
        <f t="shared" si="4"/>
        <v>0</v>
      </c>
      <c r="D43" s="1" t="e">
        <f>VALUE(MID(inputPlanTbl[[#This Row],[toDate]],6,2))</f>
        <v>#VALUE!</v>
      </c>
      <c r="E43" s="1">
        <f>$F$7</f>
        <v>0</v>
      </c>
      <c r="F43" s="1">
        <f>$F$2</f>
        <v>0</v>
      </c>
    </row>
    <row r="44" spans="2:6">
      <c r="B44" s="1" t="e" cm="1">
        <f t="array" aca="1" ref="B44" ca="1">J_TODAY(1)</f>
        <v>#NAME?</v>
      </c>
      <c r="C44" s="1">
        <f t="shared" si="4"/>
        <v>0</v>
      </c>
      <c r="D44" s="1" t="e">
        <f>VALUE(MID(inputPlanTbl[[#This Row],[toDate]],6,2))</f>
        <v>#VALUE!</v>
      </c>
      <c r="E44" s="1">
        <f>$G$7</f>
        <v>0</v>
      </c>
      <c r="F44" s="1">
        <f>$G$2</f>
        <v>0</v>
      </c>
    </row>
    <row r="45" spans="2:6">
      <c r="B45" s="1" t="e" cm="1">
        <f t="array" aca="1" ref="B45" ca="1">J_TODAY(1)</f>
        <v>#NAME?</v>
      </c>
      <c r="C45" s="1">
        <f t="shared" si="4"/>
        <v>0</v>
      </c>
      <c r="D45" s="1" t="e">
        <f>VALUE(MID(inputPlanTbl[[#This Row],[toDate]],6,2))</f>
        <v>#VALUE!</v>
      </c>
      <c r="E45" s="1">
        <f>$H$7</f>
        <v>0</v>
      </c>
      <c r="F45" s="1">
        <f>$H$2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>
      <c r="A3" s="25" t="s">
        <v>206</v>
      </c>
      <c r="B3" t="s">
        <v>209</v>
      </c>
    </row>
    <row r="4" spans="1:2">
      <c r="A4" s="26">
        <v>140010117</v>
      </c>
      <c r="B4" s="29">
        <v>44000</v>
      </c>
    </row>
    <row r="5" spans="1:2">
      <c r="A5" s="27" t="s">
        <v>240</v>
      </c>
      <c r="B5" s="29">
        <v>3000</v>
      </c>
    </row>
    <row r="6" spans="1:2">
      <c r="A6" s="28" t="s">
        <v>241</v>
      </c>
      <c r="B6" s="29">
        <v>3000</v>
      </c>
    </row>
    <row r="7" spans="1:2">
      <c r="A7" s="27"/>
      <c r="B7" s="29"/>
    </row>
    <row r="8" spans="1:2">
      <c r="A8" s="27">
        <v>2</v>
      </c>
      <c r="B8" s="29">
        <v>7000</v>
      </c>
    </row>
    <row r="9" spans="1:2">
      <c r="A9" s="28" t="s">
        <v>278</v>
      </c>
      <c r="B9" s="29">
        <v>2500</v>
      </c>
    </row>
    <row r="10" spans="1:2">
      <c r="A10" s="28" t="s">
        <v>279</v>
      </c>
      <c r="B10" s="29">
        <v>2500</v>
      </c>
    </row>
    <row r="11" spans="1:2">
      <c r="A11" s="28" t="s">
        <v>280</v>
      </c>
      <c r="B11" s="29">
        <v>2000</v>
      </c>
    </row>
    <row r="12" spans="1:2">
      <c r="A12" s="27"/>
      <c r="B12" s="29"/>
    </row>
    <row r="13" spans="1:2">
      <c r="A13" s="27" t="s">
        <v>1051</v>
      </c>
      <c r="B13" s="29">
        <v>3000</v>
      </c>
    </row>
    <row r="14" spans="1:2">
      <c r="A14" s="28" t="s">
        <v>707</v>
      </c>
      <c r="B14" s="29">
        <v>3000</v>
      </c>
    </row>
    <row r="15" spans="1:2">
      <c r="A15" s="27"/>
      <c r="B15" s="29"/>
    </row>
    <row r="16" spans="1:2">
      <c r="A16" s="27">
        <v>3</v>
      </c>
      <c r="B16" s="29">
        <v>12000</v>
      </c>
    </row>
    <row r="17" spans="1:2">
      <c r="A17" s="28" t="s">
        <v>712</v>
      </c>
      <c r="B17" s="29">
        <v>3000</v>
      </c>
    </row>
    <row r="18" spans="1:2">
      <c r="A18" s="28" t="s">
        <v>708</v>
      </c>
      <c r="B18" s="29">
        <v>3000</v>
      </c>
    </row>
    <row r="19" spans="1:2">
      <c r="A19" s="28" t="s">
        <v>717</v>
      </c>
      <c r="B19" s="29">
        <v>3000</v>
      </c>
    </row>
    <row r="20" spans="1:2">
      <c r="A20" s="28" t="s">
        <v>724</v>
      </c>
      <c r="B20" s="29">
        <v>3000</v>
      </c>
    </row>
    <row r="21" spans="1:2">
      <c r="A21" s="27"/>
      <c r="B21" s="29"/>
    </row>
    <row r="22" spans="1:2">
      <c r="A22" s="27">
        <v>4</v>
      </c>
      <c r="B22" s="29">
        <v>2000</v>
      </c>
    </row>
    <row r="23" spans="1:2">
      <c r="A23" s="28" t="s">
        <v>758</v>
      </c>
      <c r="B23" s="29">
        <v>2000</v>
      </c>
    </row>
    <row r="24" spans="1:2">
      <c r="A24" s="27"/>
      <c r="B24" s="29"/>
    </row>
    <row r="25" spans="1:2">
      <c r="A25" s="27">
        <v>6</v>
      </c>
      <c r="B25" s="29">
        <v>17000</v>
      </c>
    </row>
    <row r="26" spans="1:2">
      <c r="A26" s="28" t="s">
        <v>801</v>
      </c>
      <c r="B26" s="29">
        <v>3400</v>
      </c>
    </row>
    <row r="27" spans="1:2">
      <c r="A27" s="28" t="s">
        <v>805</v>
      </c>
      <c r="B27" s="29">
        <v>3400</v>
      </c>
    </row>
    <row r="28" spans="1:2">
      <c r="A28" s="28" t="s">
        <v>811</v>
      </c>
      <c r="B28" s="29">
        <v>3400</v>
      </c>
    </row>
    <row r="29" spans="1:2">
      <c r="A29" s="28" t="s">
        <v>822</v>
      </c>
      <c r="B29" s="29">
        <v>3400</v>
      </c>
    </row>
    <row r="30" spans="1:2">
      <c r="A30" s="28" t="s">
        <v>826</v>
      </c>
      <c r="B30" s="29">
        <v>3400</v>
      </c>
    </row>
    <row r="31" spans="1:2">
      <c r="A31" s="27"/>
      <c r="B31" s="29"/>
    </row>
    <row r="32" spans="1:2">
      <c r="A32" s="26">
        <v>140010230</v>
      </c>
      <c r="B32" s="29">
        <v>52400</v>
      </c>
    </row>
    <row r="33" spans="1:2">
      <c r="A33" s="27">
        <v>2</v>
      </c>
      <c r="B33" s="29">
        <v>22000</v>
      </c>
    </row>
    <row r="34" spans="1:2">
      <c r="A34" s="28" t="s">
        <v>278</v>
      </c>
      <c r="B34" s="29">
        <v>6000</v>
      </c>
    </row>
    <row r="35" spans="1:2">
      <c r="A35" s="28" t="s">
        <v>279</v>
      </c>
      <c r="B35" s="29">
        <v>5000</v>
      </c>
    </row>
    <row r="36" spans="1:2">
      <c r="A36" s="28" t="s">
        <v>280</v>
      </c>
      <c r="B36" s="29">
        <v>6000</v>
      </c>
    </row>
    <row r="37" spans="1:2">
      <c r="A37" s="28" t="s">
        <v>281</v>
      </c>
      <c r="B37" s="29">
        <v>5000</v>
      </c>
    </row>
    <row r="38" spans="1:2">
      <c r="A38" s="27"/>
      <c r="B38" s="29"/>
    </row>
    <row r="39" spans="1:2">
      <c r="A39" s="27">
        <v>3</v>
      </c>
      <c r="B39" s="29">
        <v>3000</v>
      </c>
    </row>
    <row r="40" spans="1:2">
      <c r="A40" s="28" t="s">
        <v>724</v>
      </c>
      <c r="B40" s="29">
        <v>3000</v>
      </c>
    </row>
    <row r="41" spans="1:2">
      <c r="A41" s="27"/>
      <c r="B41" s="29"/>
    </row>
    <row r="42" spans="1:2">
      <c r="A42" s="27">
        <v>4</v>
      </c>
      <c r="B42" s="29">
        <v>9000</v>
      </c>
    </row>
    <row r="43" spans="1:2">
      <c r="A43" s="28" t="s">
        <v>758</v>
      </c>
      <c r="B43" s="29">
        <v>6000</v>
      </c>
    </row>
    <row r="44" spans="1:2">
      <c r="A44" s="28" t="s">
        <v>752</v>
      </c>
      <c r="B44" s="29">
        <v>3000</v>
      </c>
    </row>
    <row r="45" spans="1:2">
      <c r="A45" s="27"/>
      <c r="B45" s="29"/>
    </row>
    <row r="46" spans="1:2">
      <c r="A46" s="27">
        <v>6</v>
      </c>
      <c r="B46" s="29">
        <v>18000</v>
      </c>
    </row>
    <row r="47" spans="1:2">
      <c r="A47" s="28" t="s">
        <v>801</v>
      </c>
      <c r="B47" s="29">
        <v>3600</v>
      </c>
    </row>
    <row r="48" spans="1:2">
      <c r="A48" s="28" t="s">
        <v>805</v>
      </c>
      <c r="B48" s="29">
        <v>3600</v>
      </c>
    </row>
    <row r="49" spans="1:2">
      <c r="A49" s="28" t="s">
        <v>811</v>
      </c>
      <c r="B49" s="29">
        <v>3600</v>
      </c>
    </row>
    <row r="50" spans="1:2">
      <c r="A50" s="28" t="s">
        <v>822</v>
      </c>
      <c r="B50" s="29">
        <v>3600</v>
      </c>
    </row>
    <row r="51" spans="1:2">
      <c r="A51" s="28" t="s">
        <v>826</v>
      </c>
      <c r="B51" s="29">
        <v>3600</v>
      </c>
    </row>
    <row r="52" spans="1:2">
      <c r="A52" s="27"/>
      <c r="B52" s="29"/>
    </row>
    <row r="53" spans="1:2">
      <c r="A53" s="27">
        <v>5</v>
      </c>
      <c r="B53" s="29">
        <v>400</v>
      </c>
    </row>
    <row r="54" spans="1:2">
      <c r="A54" s="28" t="s">
        <v>826</v>
      </c>
      <c r="B54" s="29">
        <v>400</v>
      </c>
    </row>
    <row r="55" spans="1:2">
      <c r="A55" s="27"/>
      <c r="B55" s="29"/>
    </row>
    <row r="56" spans="1:2">
      <c r="A56" s="26">
        <v>140010255</v>
      </c>
      <c r="B56" s="29">
        <v>4500</v>
      </c>
    </row>
    <row r="57" spans="1:2">
      <c r="A57" s="26"/>
      <c r="B57" s="29"/>
    </row>
    <row r="58" spans="1:2">
      <c r="A58" s="26">
        <v>140020181</v>
      </c>
      <c r="B58" s="29">
        <v>18100</v>
      </c>
    </row>
    <row r="59" spans="1:2">
      <c r="A59" s="26"/>
      <c r="B59" s="29"/>
    </row>
    <row r="60" spans="1:2">
      <c r="A60" s="26">
        <v>140030039</v>
      </c>
      <c r="B60" s="29">
        <v>29300</v>
      </c>
    </row>
    <row r="61" spans="1:2">
      <c r="A61" s="26"/>
      <c r="B61" s="29"/>
    </row>
    <row r="62" spans="1:2">
      <c r="A62" s="26">
        <v>140030040</v>
      </c>
      <c r="B62" s="29">
        <v>50540</v>
      </c>
    </row>
    <row r="63" spans="1:2">
      <c r="A63" s="26"/>
      <c r="B63" s="29"/>
    </row>
    <row r="64" spans="1:2">
      <c r="A64" s="26">
        <v>140310058</v>
      </c>
      <c r="B64" s="29">
        <v>10000</v>
      </c>
    </row>
    <row r="65" spans="1:2">
      <c r="A65" s="27">
        <v>2</v>
      </c>
      <c r="B65" s="29">
        <v>6000</v>
      </c>
    </row>
    <row r="66" spans="1:2">
      <c r="A66" s="28" t="s">
        <v>252</v>
      </c>
      <c r="B66" s="29">
        <v>2000</v>
      </c>
    </row>
    <row r="67" spans="1:2">
      <c r="A67" s="28" t="s">
        <v>278</v>
      </c>
      <c r="B67" s="29">
        <v>2000</v>
      </c>
    </row>
    <row r="68" spans="1:2">
      <c r="A68" s="28" t="s">
        <v>692</v>
      </c>
      <c r="B68" s="29">
        <v>2000</v>
      </c>
    </row>
    <row r="69" spans="1:2">
      <c r="A69" s="27"/>
      <c r="B69" s="29"/>
    </row>
    <row r="70" spans="1:2">
      <c r="A70" s="27">
        <v>3</v>
      </c>
      <c r="B70" s="29">
        <v>4000</v>
      </c>
    </row>
    <row r="71" spans="1:2">
      <c r="A71" s="28" t="s">
        <v>712</v>
      </c>
      <c r="B71" s="29">
        <v>2000</v>
      </c>
    </row>
    <row r="72" spans="1:2">
      <c r="A72" s="28" t="s">
        <v>703</v>
      </c>
      <c r="B72" s="29">
        <v>2000</v>
      </c>
    </row>
    <row r="73" spans="1:2">
      <c r="A73" s="27"/>
      <c r="B73" s="29"/>
    </row>
    <row r="74" spans="1:2">
      <c r="A74" s="26">
        <v>140450027</v>
      </c>
      <c r="B74" s="29">
        <v>6400</v>
      </c>
    </row>
    <row r="75" spans="1:2">
      <c r="A75" s="26"/>
      <c r="B75" s="29"/>
    </row>
    <row r="76" spans="1:2">
      <c r="A76" s="26">
        <v>140450035</v>
      </c>
      <c r="B76" s="29">
        <v>2800</v>
      </c>
    </row>
    <row r="77" spans="1:2">
      <c r="A77" s="26"/>
      <c r="B77" s="29"/>
    </row>
    <row r="78" spans="1:2">
      <c r="A78" s="26">
        <v>140310007</v>
      </c>
      <c r="B78" s="29">
        <v>70000</v>
      </c>
    </row>
    <row r="79" spans="1:2">
      <c r="A79" s="26"/>
      <c r="B79" s="29"/>
    </row>
    <row r="80" spans="1:2">
      <c r="A80" s="26">
        <v>140310031</v>
      </c>
      <c r="B80" s="29">
        <v>9000</v>
      </c>
    </row>
    <row r="81" spans="1:2">
      <c r="A81" s="26"/>
      <c r="B81" s="29"/>
    </row>
    <row r="82" spans="1:2">
      <c r="A82" s="26">
        <v>141320055</v>
      </c>
      <c r="B82" s="29">
        <v>60000</v>
      </c>
    </row>
    <row r="83" spans="1:2">
      <c r="A83" s="26"/>
      <c r="B83" s="29"/>
    </row>
    <row r="84" spans="1:2">
      <c r="A84" s="26">
        <v>140310096</v>
      </c>
      <c r="B84" s="29">
        <v>7000</v>
      </c>
    </row>
    <row r="85" spans="1:2">
      <c r="A85" s="26"/>
      <c r="B85" s="29"/>
    </row>
    <row r="86" spans="1:2">
      <c r="A86" s="26">
        <v>140640007</v>
      </c>
      <c r="B86" s="29">
        <v>15000</v>
      </c>
    </row>
    <row r="87" spans="1:2">
      <c r="A87" s="27">
        <v>2</v>
      </c>
      <c r="B87" s="29">
        <v>15000</v>
      </c>
    </row>
    <row r="88" spans="1:2">
      <c r="A88" s="28" t="s">
        <v>208</v>
      </c>
      <c r="B88" s="29">
        <v>15000</v>
      </c>
    </row>
    <row r="89" spans="1:2">
      <c r="A89" s="27"/>
      <c r="B89" s="29"/>
    </row>
    <row r="90" spans="1:2">
      <c r="A90" s="26">
        <v>140310071</v>
      </c>
      <c r="B90" s="29">
        <v>70000</v>
      </c>
    </row>
    <row r="91" spans="1:2">
      <c r="A91" s="27">
        <v>3</v>
      </c>
      <c r="B91" s="29">
        <v>70000</v>
      </c>
    </row>
    <row r="92" spans="1:2">
      <c r="A92" s="28" t="s">
        <v>708</v>
      </c>
      <c r="B92" s="29">
        <v>5000</v>
      </c>
    </row>
    <row r="93" spans="1:2">
      <c r="A93" s="28" t="s">
        <v>703</v>
      </c>
      <c r="B93" s="29">
        <v>5000</v>
      </c>
    </row>
    <row r="94" spans="1:2">
      <c r="A94" s="28" t="s">
        <v>713</v>
      </c>
      <c r="B94" s="29">
        <v>12000</v>
      </c>
    </row>
    <row r="95" spans="1:2">
      <c r="A95" s="28" t="s">
        <v>719</v>
      </c>
      <c r="B95" s="29">
        <v>12000</v>
      </c>
    </row>
    <row r="96" spans="1:2">
      <c r="A96" s="28" t="s">
        <v>725</v>
      </c>
      <c r="B96" s="29">
        <v>12000</v>
      </c>
    </row>
    <row r="97" spans="1:2">
      <c r="A97" s="28" t="s">
        <v>732</v>
      </c>
      <c r="B97" s="29">
        <v>12000</v>
      </c>
    </row>
    <row r="98" spans="1:2">
      <c r="A98" s="28" t="s">
        <v>738</v>
      </c>
      <c r="B98" s="29">
        <v>12000</v>
      </c>
    </row>
    <row r="99" spans="1:2">
      <c r="A99" s="27"/>
      <c r="B99" s="29"/>
    </row>
    <row r="100" spans="1:2">
      <c r="A100" s="26">
        <v>140310083</v>
      </c>
      <c r="B100" s="29">
        <v>30000</v>
      </c>
    </row>
    <row r="101" spans="1:2">
      <c r="A101" s="27">
        <v>3</v>
      </c>
      <c r="B101" s="29">
        <v>30000</v>
      </c>
    </row>
    <row r="102" spans="1:2">
      <c r="A102" s="28" t="s">
        <v>708</v>
      </c>
      <c r="B102" s="29">
        <v>3000</v>
      </c>
    </row>
    <row r="103" spans="1:2">
      <c r="A103" s="28" t="s">
        <v>703</v>
      </c>
      <c r="B103" s="29">
        <v>3000</v>
      </c>
    </row>
    <row r="104" spans="1:2">
      <c r="A104" s="28" t="s">
        <v>713</v>
      </c>
      <c r="B104" s="29">
        <v>5000</v>
      </c>
    </row>
    <row r="105" spans="1:2">
      <c r="A105" s="28" t="s">
        <v>719</v>
      </c>
      <c r="B105" s="29">
        <v>5000</v>
      </c>
    </row>
    <row r="106" spans="1:2">
      <c r="A106" s="28" t="s">
        <v>725</v>
      </c>
      <c r="B106" s="29">
        <v>5000</v>
      </c>
    </row>
    <row r="107" spans="1:2">
      <c r="A107" s="28" t="s">
        <v>732</v>
      </c>
      <c r="B107" s="29">
        <v>5000</v>
      </c>
    </row>
    <row r="108" spans="1:2">
      <c r="A108" s="28" t="s">
        <v>738</v>
      </c>
      <c r="B108" s="29">
        <v>4000</v>
      </c>
    </row>
    <row r="109" spans="1:2">
      <c r="A109" s="27"/>
      <c r="B109" s="29"/>
    </row>
    <row r="110" spans="1:2">
      <c r="A110" s="26">
        <v>140530039</v>
      </c>
      <c r="B110" s="29">
        <v>20000</v>
      </c>
    </row>
    <row r="111" spans="1:2">
      <c r="A111" s="27">
        <v>3</v>
      </c>
      <c r="B111" s="29">
        <v>20000</v>
      </c>
    </row>
    <row r="112" spans="1:2">
      <c r="A112" s="28" t="s">
        <v>718</v>
      </c>
      <c r="B112" s="29">
        <v>3000</v>
      </c>
    </row>
    <row r="113" spans="1:2">
      <c r="A113" s="28" t="s">
        <v>1111</v>
      </c>
      <c r="B113" s="29">
        <v>5000</v>
      </c>
    </row>
    <row r="114" spans="1:2">
      <c r="A114" s="28" t="s">
        <v>731</v>
      </c>
      <c r="B114" s="29">
        <v>5000</v>
      </c>
    </row>
    <row r="115" spans="1:2">
      <c r="A115" s="28" t="s">
        <v>737</v>
      </c>
      <c r="B115" s="29">
        <v>7000</v>
      </c>
    </row>
    <row r="116" spans="1:2">
      <c r="A116" s="27"/>
      <c r="B116" s="29"/>
    </row>
    <row r="117" spans="1:2">
      <c r="A117" s="26">
        <v>140550019</v>
      </c>
      <c r="B117" s="29">
        <v>8864</v>
      </c>
    </row>
    <row r="118" spans="1:2">
      <c r="A118" s="27">
        <v>10</v>
      </c>
      <c r="B118" s="29">
        <v>8864</v>
      </c>
    </row>
    <row r="119" spans="1:2">
      <c r="A119" s="27"/>
      <c r="B119" s="29"/>
    </row>
    <row r="120" spans="1:2">
      <c r="A120" s="26">
        <v>140450047</v>
      </c>
      <c r="B120" s="29">
        <v>11000</v>
      </c>
    </row>
    <row r="121" spans="1:2">
      <c r="A121" s="27">
        <v>4</v>
      </c>
      <c r="B121" s="29">
        <v>11000</v>
      </c>
    </row>
    <row r="122" spans="1:2">
      <c r="A122" s="28" t="s">
        <v>738</v>
      </c>
      <c r="B122" s="29">
        <v>3000</v>
      </c>
    </row>
    <row r="123" spans="1:2">
      <c r="A123" s="28" t="s">
        <v>735</v>
      </c>
      <c r="B123" s="29">
        <v>5000</v>
      </c>
    </row>
    <row r="124" spans="1:2">
      <c r="A124" s="28" t="s">
        <v>741</v>
      </c>
      <c r="B124" s="29">
        <v>3000</v>
      </c>
    </row>
    <row r="125" spans="1:2">
      <c r="A125" s="27"/>
      <c r="B125" s="29"/>
    </row>
    <row r="126" spans="1:2">
      <c r="A126" s="26" t="s">
        <v>207</v>
      </c>
      <c r="B126" s="29">
        <v>518904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/>
  <cols>
    <col min="1" max="1" width="11" style="1" customWidth="1"/>
    <col min="2" max="2" width="249.28515625" style="1" customWidth="1"/>
    <col min="3" max="16384" width="9.140625" style="1"/>
  </cols>
  <sheetData>
    <row r="1" spans="1:2" ht="24.95" customHeight="1">
      <c r="A1" s="1" t="s">
        <v>181</v>
      </c>
      <c r="B1" s="1" t="s">
        <v>211</v>
      </c>
    </row>
    <row r="2" spans="1:2">
      <c r="B2" s="8"/>
    </row>
    <row r="3" spans="1:2">
      <c r="B3" s="8"/>
    </row>
    <row r="4" spans="1:2">
      <c r="B4" s="8"/>
    </row>
    <row r="5" spans="1:2">
      <c r="B5" s="8"/>
    </row>
    <row r="6" spans="1:2">
      <c r="B6" s="8"/>
    </row>
    <row r="7" spans="1:2">
      <c r="B7" s="8"/>
    </row>
    <row r="8" spans="1:2">
      <c r="B8" s="8"/>
    </row>
    <row r="9" spans="1:2">
      <c r="B9" s="8"/>
    </row>
    <row r="10" spans="1:2">
      <c r="B10" s="8"/>
    </row>
    <row r="11" spans="1:2">
      <c r="B11" s="8"/>
    </row>
    <row r="12" spans="1:2">
      <c r="B12" s="8"/>
    </row>
    <row r="13" spans="1:2">
      <c r="B13" s="8"/>
    </row>
    <row r="14" spans="1:2">
      <c r="B14" s="8"/>
    </row>
    <row r="15" spans="1:2">
      <c r="B15" s="8"/>
    </row>
    <row r="16" spans="1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/>
  <cols>
    <col min="1" max="1" width="11" style="1" customWidth="1"/>
    <col min="2" max="2" width="133" style="1" customWidth="1"/>
    <col min="3" max="16384" width="9.140625" style="1"/>
  </cols>
  <sheetData>
    <row r="1" spans="1:2" ht="24.95" customHeight="1">
      <c r="A1" s="1" t="s">
        <v>181</v>
      </c>
      <c r="B1" s="1" t="s">
        <v>211</v>
      </c>
    </row>
    <row r="2" spans="1:2">
      <c r="B2" s="35"/>
    </row>
    <row r="3" spans="1:2">
      <c r="B3" s="35"/>
    </row>
    <row r="4" spans="1:2">
      <c r="B4" s="35"/>
    </row>
    <row r="5" spans="1:2">
      <c r="B5" s="35"/>
    </row>
    <row r="6" spans="1:2">
      <c r="B6" s="35"/>
    </row>
    <row r="7" spans="1:2">
      <c r="B7" s="35"/>
    </row>
    <row r="8" spans="1:2">
      <c r="B8" s="35"/>
    </row>
    <row r="9" spans="1:2">
      <c r="B9" s="35"/>
    </row>
    <row r="10" spans="1:2">
      <c r="B10" s="35"/>
    </row>
    <row r="11" spans="1:2">
      <c r="B11" s="35"/>
    </row>
    <row r="12" spans="1:2">
      <c r="B12" s="35"/>
    </row>
    <row r="13" spans="1:2">
      <c r="B13" s="35"/>
    </row>
    <row r="14" spans="1:2">
      <c r="B14" s="35"/>
    </row>
    <row r="15" spans="1:2">
      <c r="B15" s="35"/>
    </row>
    <row r="16" spans="1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35"/>
    </row>
    <row r="33" spans="2:2">
      <c r="B33" s="35"/>
    </row>
    <row r="34" spans="2:2">
      <c r="B34" s="35"/>
    </row>
    <row r="35" spans="2:2">
      <c r="B35" s="35"/>
    </row>
    <row r="36" spans="2:2">
      <c r="B36" s="35"/>
    </row>
    <row r="37" spans="2:2">
      <c r="B37" s="35"/>
    </row>
    <row r="38" spans="2:2">
      <c r="B38" s="35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>
      <c r="A1" s="25" t="s">
        <v>1053</v>
      </c>
      <c r="B1" s="26">
        <v>1</v>
      </c>
    </row>
    <row r="2" spans="1:5">
      <c r="A2" s="25" t="s">
        <v>1054</v>
      </c>
      <c r="B2" t="s">
        <v>1012</v>
      </c>
    </row>
    <row r="4" spans="1:5">
      <c r="A4" s="25" t="s">
        <v>206</v>
      </c>
      <c r="B4" t="s">
        <v>1041</v>
      </c>
      <c r="C4" t="s">
        <v>1039</v>
      </c>
      <c r="D4" t="s">
        <v>1040</v>
      </c>
      <c r="E4" t="s">
        <v>1071</v>
      </c>
    </row>
    <row r="5" spans="1:5">
      <c r="A5" s="26" t="s">
        <v>662</v>
      </c>
      <c r="B5">
        <v>1</v>
      </c>
      <c r="C5">
        <v>3000</v>
      </c>
      <c r="D5">
        <v>7100</v>
      </c>
      <c r="E5" s="227">
        <v>0.59481569859593209</v>
      </c>
    </row>
    <row r="6" spans="1:5">
      <c r="A6" s="26" t="s">
        <v>253</v>
      </c>
      <c r="B6">
        <v>1</v>
      </c>
      <c r="C6">
        <v>13000</v>
      </c>
      <c r="D6">
        <v>5325</v>
      </c>
      <c r="E6" s="227">
        <v>0.4647739723716533</v>
      </c>
    </row>
    <row r="7" spans="1:5">
      <c r="A7" s="26" t="s">
        <v>668</v>
      </c>
      <c r="B7">
        <v>1</v>
      </c>
      <c r="C7">
        <v>7413</v>
      </c>
      <c r="D7">
        <v>8055</v>
      </c>
      <c r="E7" s="227">
        <v>0.67370979696967237</v>
      </c>
    </row>
    <row r="8" spans="1:5">
      <c r="A8" s="26" t="s">
        <v>278</v>
      </c>
      <c r="B8">
        <v>1</v>
      </c>
      <c r="C8">
        <v>3000</v>
      </c>
      <c r="D8">
        <v>7850</v>
      </c>
      <c r="E8" s="227">
        <v>0.66425210949950231</v>
      </c>
    </row>
    <row r="9" spans="1:5">
      <c r="A9" s="26" t="s">
        <v>690</v>
      </c>
      <c r="B9">
        <v>1</v>
      </c>
      <c r="C9">
        <v>9347</v>
      </c>
      <c r="D9">
        <v>5753</v>
      </c>
      <c r="E9" s="227">
        <v>0.52577513938482023</v>
      </c>
    </row>
    <row r="10" spans="1:5">
      <c r="A10" s="26" t="s">
        <v>691</v>
      </c>
      <c r="B10">
        <v>1</v>
      </c>
      <c r="C10">
        <v>3000</v>
      </c>
      <c r="D10">
        <v>5875</v>
      </c>
      <c r="E10" s="227">
        <v>0.58222013873496359</v>
      </c>
    </row>
    <row r="11" spans="1:5">
      <c r="A11" s="26" t="s">
        <v>256</v>
      </c>
      <c r="B11">
        <v>1</v>
      </c>
      <c r="C11">
        <v>3000</v>
      </c>
      <c r="D11">
        <v>6199</v>
      </c>
      <c r="E11" s="227">
        <v>0.57913755670066946</v>
      </c>
    </row>
    <row r="12" spans="1:5">
      <c r="A12" s="26" t="s">
        <v>692</v>
      </c>
      <c r="B12">
        <v>1</v>
      </c>
      <c r="C12">
        <v>0</v>
      </c>
      <c r="D12">
        <v>5372</v>
      </c>
      <c r="E12" s="227">
        <v>0.40263555347026159</v>
      </c>
    </row>
    <row r="13" spans="1:5">
      <c r="A13" s="26" t="s">
        <v>693</v>
      </c>
      <c r="B13">
        <v>1</v>
      </c>
      <c r="C13">
        <v>0</v>
      </c>
      <c r="D13">
        <v>3850</v>
      </c>
      <c r="E13" s="227">
        <v>0.81563940436994897</v>
      </c>
    </row>
    <row r="14" spans="1:5">
      <c r="A14" s="26" t="s">
        <v>694</v>
      </c>
      <c r="B14">
        <v>1</v>
      </c>
      <c r="C14">
        <v>0</v>
      </c>
      <c r="D14">
        <v>3750</v>
      </c>
      <c r="E14" s="227">
        <v>0.88267804050683418</v>
      </c>
    </row>
    <row r="15" spans="1:5">
      <c r="A15" s="26" t="s">
        <v>695</v>
      </c>
      <c r="B15">
        <v>1</v>
      </c>
      <c r="C15">
        <v>6000</v>
      </c>
      <c r="D15">
        <v>3450</v>
      </c>
      <c r="E15" s="227">
        <v>0.94225205556631508</v>
      </c>
    </row>
    <row r="16" spans="1:5">
      <c r="A16" s="26" t="s">
        <v>254</v>
      </c>
      <c r="B16">
        <v>1</v>
      </c>
      <c r="C16">
        <v>3000</v>
      </c>
      <c r="D16">
        <v>4100</v>
      </c>
      <c r="E16" s="227">
        <v>0.93794840103057098</v>
      </c>
    </row>
    <row r="17" spans="1:5">
      <c r="A17" s="26" t="s">
        <v>280</v>
      </c>
      <c r="B17">
        <v>1</v>
      </c>
      <c r="C17">
        <v>1000</v>
      </c>
      <c r="D17">
        <v>2025</v>
      </c>
      <c r="E17" s="227">
        <v>0.43494231869640998</v>
      </c>
    </row>
    <row r="18" spans="1:5">
      <c r="A18" s="26" t="s">
        <v>698</v>
      </c>
      <c r="B18">
        <v>1</v>
      </c>
      <c r="C18">
        <v>3000</v>
      </c>
      <c r="D18">
        <v>2175</v>
      </c>
      <c r="E18" s="227">
        <v>0.24852040548405332</v>
      </c>
    </row>
    <row r="19" spans="1:5">
      <c r="A19" s="26" t="s">
        <v>281</v>
      </c>
      <c r="B19">
        <v>1</v>
      </c>
      <c r="C19">
        <v>8400</v>
      </c>
      <c r="D19">
        <v>4250</v>
      </c>
      <c r="E19" s="227">
        <v>0.72118895290831087</v>
      </c>
    </row>
    <row r="20" spans="1:5">
      <c r="A20" s="26" t="s">
        <v>255</v>
      </c>
      <c r="B20">
        <v>1</v>
      </c>
      <c r="C20">
        <v>11000</v>
      </c>
      <c r="D20">
        <v>3975</v>
      </c>
      <c r="E20" s="227">
        <v>0.70021106663008403</v>
      </c>
    </row>
    <row r="21" spans="1:5">
      <c r="A21" s="26" t="s">
        <v>699</v>
      </c>
      <c r="B21">
        <v>1</v>
      </c>
      <c r="C21">
        <v>13400</v>
      </c>
      <c r="D21">
        <v>4173</v>
      </c>
      <c r="E21" s="227">
        <v>0.68583531887076388</v>
      </c>
    </row>
    <row r="22" spans="1:5">
      <c r="A22" s="26" t="s">
        <v>700</v>
      </c>
      <c r="B22">
        <v>1</v>
      </c>
      <c r="C22">
        <v>3200</v>
      </c>
      <c r="D22">
        <v>3825</v>
      </c>
      <c r="E22" s="227">
        <v>0.6080522610495861</v>
      </c>
    </row>
    <row r="23" spans="1:5">
      <c r="A23" s="26" t="s">
        <v>207</v>
      </c>
      <c r="B23">
        <v>18</v>
      </c>
      <c r="C23">
        <v>90760</v>
      </c>
      <c r="D23">
        <v>87102</v>
      </c>
      <c r="E23" s="227">
        <v>0.63692156615779716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tabSelected="1" workbookViewId="0">
      <selection activeCell="I1" sqref="I1"/>
    </sheetView>
  </sheetViews>
  <sheetFormatPr defaultRowHeight="1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>
      <c r="F1" s="1" t="s">
        <v>652</v>
      </c>
      <c r="G1" s="1">
        <f>lastBatchId</f>
        <v>1653</v>
      </c>
      <c r="H1" s="170" t="s">
        <v>653</v>
      </c>
      <c r="I1" s="318">
        <v>1237</v>
      </c>
    </row>
    <row r="2" spans="1:23">
      <c r="A2" s="1" t="s">
        <v>270</v>
      </c>
      <c r="B2" s="1">
        <v>30000</v>
      </c>
      <c r="C2" s="1" t="s">
        <v>271</v>
      </c>
      <c r="W2" s="57" t="s">
        <v>276</v>
      </c>
    </row>
    <row r="3" spans="1:23">
      <c r="A3" s="1" t="s">
        <v>1046</v>
      </c>
      <c r="B3" s="1">
        <f>76.15+9.5+10.5</f>
        <v>96.15</v>
      </c>
      <c r="C3" s="1" t="s">
        <v>271</v>
      </c>
      <c r="D3" s="1">
        <f>91.82+16</f>
        <v>107.82</v>
      </c>
      <c r="F3" s="1">
        <f>unityCycleTime-30</f>
        <v>66.150000000000006</v>
      </c>
      <c r="G3" s="12">
        <f>F3/unityCycleTime</f>
        <v>0.68798751950078008</v>
      </c>
    </row>
    <row r="4" spans="1:23">
      <c r="A4" s="1" t="s">
        <v>664</v>
      </c>
      <c r="B4" s="1">
        <f>B2/unityCycleTime</f>
        <v>312.01248049921998</v>
      </c>
      <c r="C4" s="1" t="s">
        <v>272</v>
      </c>
    </row>
    <row r="6" spans="1:23">
      <c r="A6" s="1" t="s">
        <v>1034</v>
      </c>
    </row>
    <row r="7" spans="1:23">
      <c r="A7" s="1" t="s">
        <v>267</v>
      </c>
    </row>
    <row r="8" spans="1:23">
      <c r="A8" s="1" t="s">
        <v>1033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15"/>
  <cols>
    <col min="1" max="1" width="4" style="372" customWidth="1"/>
    <col min="2" max="2" width="10" style="372" customWidth="1"/>
    <col min="3" max="4" width="5.42578125" style="372" customWidth="1"/>
    <col min="5" max="5" width="15" style="373" customWidth="1"/>
    <col min="6" max="6" width="10" style="373" customWidth="1"/>
    <col min="7" max="8" width="6" style="372" customWidth="1"/>
    <col min="9" max="9" width="22.5703125" style="372" customWidth="1"/>
    <col min="10" max="10" width="10" style="372" customWidth="1"/>
    <col min="11" max="16384" width="8.7109375" style="372"/>
  </cols>
  <sheetData>
    <row r="1" spans="1:10" ht="52.35" customHeight="1" thickBot="1">
      <c r="A1" s="386"/>
      <c r="B1" s="387"/>
      <c r="C1" s="387"/>
      <c r="D1" s="470" t="s">
        <v>1360</v>
      </c>
      <c r="E1" s="471"/>
      <c r="F1" s="471"/>
      <c r="G1" s="471"/>
      <c r="H1" s="472"/>
      <c r="I1" s="466" t="s">
        <v>1363</v>
      </c>
      <c r="J1" s="467"/>
    </row>
    <row r="2" spans="1:10" ht="6.95" customHeight="1" thickBot="1">
      <c r="I2" s="374"/>
      <c r="J2" s="374"/>
    </row>
    <row r="3" spans="1:10" ht="15.75">
      <c r="A3" s="409" t="str">
        <f>_xlfn.CONCAT("کد محصول:","",_xlfn.VALUETOTEXT(pid))</f>
        <v>کد محصول:140310007</v>
      </c>
      <c r="B3" s="410"/>
      <c r="C3" s="410"/>
      <c r="D3" s="411" t="str">
        <f>_xlfn.CONCAT("شرح محصول:"," ",_xlfn.VALUETOTEXT(_xlfn.XLOOKUP(pid,bom[Id],bom[شرح محصول],"NA",1)))</f>
        <v>شرح محصول: کابل برق دوشاخه دوقلو(9/6)</v>
      </c>
      <c r="E3" s="412"/>
      <c r="F3" s="412"/>
      <c r="G3" s="410"/>
      <c r="H3" s="410"/>
      <c r="I3" s="410"/>
      <c r="J3" s="413" t="str">
        <f>_xlfn.CONCAT("نام مشتری:"," ",_xlfn.VALUETOTEXT(_xlfn.XLOOKUP(pid,bom[Id],bom[نام مشتری],"NA",1)))</f>
        <v>نام مشتری: پاکشوما</v>
      </c>
    </row>
    <row r="4" spans="1:10" ht="15.75">
      <c r="A4" s="414" t="str">
        <f>_xlfn.CONCAT("نوع کابل:"," ",_xlfn.VALUETOTEXT(_xlfn.XLOOKUP(pid,bom[Id],bom[نوع کابل],"NA",1)))</f>
        <v>نوع کابل: 3*0.75</v>
      </c>
      <c r="B4" s="415"/>
      <c r="C4" s="415"/>
      <c r="D4" s="416" t="str">
        <f>_xlfn.CONCAT("کد کابل:"," ",_xlfn.VALUETOTEXT(_xlfn.XLOOKUP(pid,bom[Id],bom[کد کابل],"NA",1)))</f>
        <v>کد کابل: 120030094</v>
      </c>
      <c r="E4" s="417"/>
      <c r="F4" s="418" t="str">
        <f>_xlfn.CONCAT("رنگ کابل: "," ",_xlfn.VALUETOTEXT(_xlfn.XLOOKUP(pid,bom[Id],bom[رنگ کابل],"NA",1)))</f>
        <v>رنگ کابل:  طوسی روشن معمولی</v>
      </c>
      <c r="G4" s="415"/>
      <c r="H4" s="415"/>
      <c r="I4" s="419" t="str">
        <f>_xlfn.CONCAT("تاریخ صدور:"," ",_xlfn.VALUETOTEXT(cutOrdDdate))</f>
        <v>تاریخ صدور: 1404/06/11</v>
      </c>
      <c r="J4" s="420"/>
    </row>
    <row r="5" spans="1:10" ht="16.5" thickBot="1">
      <c r="A5" s="421" t="str">
        <f>_xlfn.CONCAT("طول برش:"," ",_xlfn.VALUETOTEXT(_xlfn.XLOOKUP(pid,bom[Id],bom[طول برش],"NA",1)))</f>
        <v>طول برش: 215</v>
      </c>
      <c r="B5" s="422"/>
      <c r="C5" s="423"/>
      <c r="D5" s="424" t="str">
        <f>_xlfn.CONCAT("غلاف کوتاه:"," ",_xlfn.VALUETOTEXT(_xlfn.XLOOKUP(pid,bom[Id],bom[غلافبرداری کوتاه],"NA",1)))</f>
        <v>غلاف کوتاه: 2.5</v>
      </c>
      <c r="E5" s="425"/>
      <c r="F5" s="424" t="str">
        <f>_xlfn.CONCAT("غلاف بلند:"," ",_xlfn.VALUETOTEXT(_xlfn.XLOOKUP(pid,bom[Id],bom[غلافبرداری بلند],"NA",1)))</f>
        <v>غلاف بلند: 31</v>
      </c>
      <c r="G5" s="423"/>
      <c r="H5" s="426"/>
      <c r="I5" s="427" t="str">
        <f>_xlfn.CONCAT("شماره بچ:"," ",_xlfn.VALUETOTEXT(cutOrdId))</f>
        <v>شماره بچ: 217</v>
      </c>
      <c r="J5" s="428" t="str">
        <f>_xlfn.CONCAT("تعداد:",_xlfn.VALUETOTEXT(cutOrdAmount))</f>
        <v>تعداد:3000</v>
      </c>
    </row>
    <row r="6" spans="1:10" ht="6.95" customHeight="1" thickBot="1">
      <c r="G6" s="373"/>
    </row>
    <row r="7" spans="1:10" ht="17.100000000000001" customHeight="1">
      <c r="A7" s="456" t="s">
        <v>619</v>
      </c>
      <c r="B7" s="462" t="s">
        <v>624</v>
      </c>
      <c r="C7" s="464" t="s">
        <v>623</v>
      </c>
      <c r="D7" s="465"/>
      <c r="E7" s="462" t="s">
        <v>620</v>
      </c>
      <c r="F7" s="468" t="s">
        <v>1366</v>
      </c>
      <c r="G7" s="468" t="s">
        <v>1364</v>
      </c>
      <c r="H7" s="462" t="s">
        <v>622</v>
      </c>
      <c r="I7" s="462" t="s">
        <v>625</v>
      </c>
      <c r="J7" s="473" t="s">
        <v>1365</v>
      </c>
    </row>
    <row r="8" spans="1:10" ht="17.100000000000001" customHeight="1">
      <c r="A8" s="457"/>
      <c r="B8" s="463"/>
      <c r="C8" s="388" t="s">
        <v>632</v>
      </c>
      <c r="D8" s="389" t="s">
        <v>633</v>
      </c>
      <c r="E8" s="463"/>
      <c r="F8" s="469"/>
      <c r="G8" s="469"/>
      <c r="H8" s="463"/>
      <c r="I8" s="463"/>
      <c r="J8" s="474"/>
    </row>
    <row r="9" spans="1:10" ht="24.95" customHeight="1">
      <c r="A9" s="375" t="s">
        <v>570</v>
      </c>
      <c r="B9" s="376"/>
      <c r="C9" s="376"/>
      <c r="D9" s="377"/>
      <c r="E9" s="376"/>
      <c r="F9" s="376"/>
      <c r="G9" s="376"/>
      <c r="H9" s="378"/>
      <c r="I9" s="395"/>
      <c r="J9" s="379"/>
    </row>
    <row r="10" spans="1:10" ht="24.95" customHeight="1">
      <c r="A10" s="380" t="s">
        <v>321</v>
      </c>
      <c r="B10" s="381"/>
      <c r="C10" s="381"/>
      <c r="D10" s="382"/>
      <c r="E10" s="381"/>
      <c r="F10" s="381"/>
      <c r="G10" s="381"/>
      <c r="H10" s="381"/>
      <c r="I10" s="396"/>
      <c r="J10" s="383"/>
    </row>
    <row r="11" spans="1:10" ht="24.95" customHeight="1">
      <c r="A11" s="380" t="s">
        <v>329</v>
      </c>
      <c r="B11" s="381"/>
      <c r="C11" s="381"/>
      <c r="D11" s="382"/>
      <c r="E11" s="381"/>
      <c r="F11" s="381"/>
      <c r="G11" s="381"/>
      <c r="H11" s="381"/>
      <c r="I11" s="396"/>
      <c r="J11" s="383"/>
    </row>
    <row r="12" spans="1:10" ht="24.95" customHeight="1">
      <c r="A12" s="380" t="s">
        <v>334</v>
      </c>
      <c r="B12" s="381"/>
      <c r="C12" s="381"/>
      <c r="D12" s="382"/>
      <c r="E12" s="381"/>
      <c r="F12" s="381"/>
      <c r="G12" s="381"/>
      <c r="H12" s="381"/>
      <c r="I12" s="396"/>
      <c r="J12" s="383"/>
    </row>
    <row r="13" spans="1:10" ht="24.95" customHeight="1">
      <c r="A13" s="380" t="s">
        <v>370</v>
      </c>
      <c r="B13" s="381"/>
      <c r="C13" s="381"/>
      <c r="D13" s="382"/>
      <c r="E13" s="381"/>
      <c r="F13" s="381"/>
      <c r="G13" s="381"/>
      <c r="H13" s="381"/>
      <c r="I13" s="396"/>
      <c r="J13" s="383"/>
    </row>
    <row r="14" spans="1:10" ht="24.95" customHeight="1" thickBot="1">
      <c r="A14" s="390" t="s">
        <v>307</v>
      </c>
      <c r="B14" s="391"/>
      <c r="C14" s="392"/>
      <c r="D14" s="393"/>
      <c r="E14" s="391"/>
      <c r="F14" s="391"/>
      <c r="G14" s="394"/>
      <c r="H14" s="394"/>
      <c r="I14" s="394"/>
      <c r="J14" s="384"/>
    </row>
    <row r="15" spans="1:10" s="385" customFormat="1" ht="56.85" customHeight="1" thickBot="1">
      <c r="A15" s="461" t="s">
        <v>626</v>
      </c>
      <c r="B15" s="459"/>
      <c r="C15" s="459"/>
      <c r="D15" s="460"/>
      <c r="E15" s="458" t="s">
        <v>627</v>
      </c>
      <c r="F15" s="459"/>
      <c r="G15" s="459"/>
      <c r="H15" s="460"/>
      <c r="I15" s="397" t="s">
        <v>628</v>
      </c>
      <c r="J15" s="430">
        <f>remain</f>
        <v>-9500</v>
      </c>
    </row>
  </sheetData>
  <mergeCells count="13">
    <mergeCell ref="I1:J1"/>
    <mergeCell ref="H7:H8"/>
    <mergeCell ref="G7:G8"/>
    <mergeCell ref="E7:E8"/>
    <mergeCell ref="F7:F8"/>
    <mergeCell ref="D1:H1"/>
    <mergeCell ref="J7:J8"/>
    <mergeCell ref="A7:A8"/>
    <mergeCell ref="E15:H15"/>
    <mergeCell ref="A15:D15"/>
    <mergeCell ref="I7:I8"/>
    <mergeCell ref="B7:B8"/>
    <mergeCell ref="C7:D7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/>
  <cols>
    <col min="1" max="1" width="4.7109375" customWidth="1"/>
    <col min="2" max="2" width="17.5703125" customWidth="1"/>
    <col min="3" max="3" width="7.42578125" customWidth="1"/>
    <col min="4" max="9" width="5.42578125" customWidth="1"/>
    <col min="10" max="10" width="7.42578125" customWidth="1"/>
    <col min="11" max="12" width="10" customWidth="1"/>
  </cols>
  <sheetData>
    <row r="1" spans="1:12" ht="42.6" customHeight="1" thickBot="1">
      <c r="A1" s="482"/>
      <c r="B1" s="483"/>
      <c r="C1" s="479" t="s">
        <v>629</v>
      </c>
      <c r="D1" s="480"/>
      <c r="E1" s="480"/>
      <c r="F1" s="480"/>
      <c r="G1" s="480"/>
      <c r="H1" s="480"/>
      <c r="I1" s="481"/>
      <c r="J1" s="486" t="s">
        <v>1346</v>
      </c>
      <c r="K1" s="487"/>
      <c r="L1" s="488"/>
    </row>
    <row r="2" spans="1:12" ht="6.95" customHeight="1" thickBot="1">
      <c r="A2" s="359"/>
      <c r="B2" s="359"/>
      <c r="C2" s="360"/>
      <c r="D2" s="360"/>
      <c r="E2" s="360"/>
      <c r="F2" s="360"/>
      <c r="G2" s="360"/>
      <c r="H2" s="360"/>
      <c r="I2" s="360"/>
      <c r="J2" s="361"/>
      <c r="K2" s="361"/>
      <c r="L2" s="361"/>
    </row>
    <row r="3" spans="1:12" ht="17.100000000000001" customHeight="1">
      <c r="A3" s="484" t="str">
        <f>_xlfn.CONCAT("کد محصول:"," ",_xlfn.VALUETOTEXT(pid))</f>
        <v>کد محصول: 140310007</v>
      </c>
      <c r="B3" s="485"/>
      <c r="C3" s="354" t="str">
        <f>_xlfn.CONCAT("شرح محصول:"," ",_xlfn.VALUETOTEXT(_xlfn.XLOOKUP(pid,bom[Id],bom[شرح محصول],"NA",1)))</f>
        <v>شرح محصول: کابل برق دوشاخه دوقلو(9/6)</v>
      </c>
      <c r="D3" s="337"/>
      <c r="E3" s="337"/>
      <c r="F3" s="337"/>
      <c r="G3" s="337"/>
      <c r="H3" s="337"/>
      <c r="I3" s="337"/>
      <c r="J3" s="337"/>
      <c r="K3" s="337"/>
      <c r="L3" s="355"/>
    </row>
    <row r="4" spans="1:12" ht="17.100000000000001" customHeight="1">
      <c r="A4" s="346" t="str">
        <f>_xlfn.CONCAT("نوع کابل:"," ",_xlfn.VALUETOTEXT(_xlfn.XLOOKUP(pid,bom[Id],bom[نوع کابل],"NA",1)))</f>
        <v>نوع کابل: 3*0.75</v>
      </c>
      <c r="B4" s="343"/>
      <c r="C4" s="342" t="str">
        <f>_xlfn.CONCAT("رنگ کابل:"," ",_xlfn.VALUETOTEXT(_xlfn.XLOOKUP(pid,bom[Id],bom[رنگ کابل],"NA",1)))</f>
        <v>رنگ کابل: طوسی روشن معمولی</v>
      </c>
      <c r="D4" s="342"/>
      <c r="E4" s="342"/>
      <c r="F4" s="342"/>
      <c r="G4" s="341" t="str">
        <f>_xlfn.CONCAT("کد کابل:"," ",_xlfn.VALUETOTEXT(_xlfn.XLOOKUP(pid,bom[Id],bom[کد کابل],"NA",1)))</f>
        <v>کد کابل: 120030094</v>
      </c>
      <c r="H4" s="342"/>
      <c r="I4" s="342"/>
      <c r="J4" s="342"/>
      <c r="K4" s="353" t="str">
        <f>_xlfn.CONCAT("نام مشتری:"," ",_xlfn.VALUETOTEXT(_xlfn.XLOOKUP(pid,bom[Id],bom[نام مشتری],"NA",1)))</f>
        <v>نام مشتری: پاکشوما</v>
      </c>
      <c r="L4" s="347"/>
    </row>
    <row r="5" spans="1:12" ht="17.100000000000001" customHeight="1">
      <c r="A5" s="346" t="str">
        <f>_xlfn.CONCAT("طول برش:"," ",_xlfn.VALUETOTEXT(_xlfn.XLOOKUP(pid,bom[Id],bom[طول برش],"NA",1)))</f>
        <v>طول برش: 215</v>
      </c>
      <c r="B5" s="343"/>
      <c r="C5" s="342" t="str">
        <f>_xlfn.CONCAT("غلاف کوتاه:"," ",_xlfn.VALUETOTEXT(_xlfn.XLOOKUP(pid,bom[Id],bom[غلافبرداری کوتاه],"NA",1)))</f>
        <v>غلاف کوتاه: 2.5</v>
      </c>
      <c r="D5" s="342"/>
      <c r="E5" s="342"/>
      <c r="F5" s="342"/>
      <c r="G5" s="341" t="str">
        <f>_xlfn.CONCAT("غلاف بلند:"," ",_xlfn.VALUETOTEXT(_xlfn.XLOOKUP(pid,bom[Id],bom[غلافبرداری بلند],"NA",1)))</f>
        <v>غلاف بلند: 31</v>
      </c>
      <c r="H5" s="342"/>
      <c r="I5" s="342"/>
      <c r="J5" s="343"/>
      <c r="K5" s="342" t="str">
        <f>_xlfn.CONCAT("تاریخ:"," ",_xlfn.VALUETOTEXT(cutOrdDdate))</f>
        <v>تاریخ: 1404/06/11</v>
      </c>
      <c r="L5" s="347"/>
    </row>
    <row r="6" spans="1:12" ht="17.100000000000001" customHeight="1">
      <c r="A6" s="346" t="str">
        <f>_xlfn.CONCAT("روکش آبی:"," ",_xlfn.VALUETOTEXT(_xlfn.XLOOKUP(pid,bom[Id],bom[روکشبرداری آبی],"NA",1)))</f>
        <v>روکش آبی: 15</v>
      </c>
      <c r="B6" s="343"/>
      <c r="C6" s="342" t="str">
        <f>_xlfn.CONCAT("روکش قهوه ای:"," ",_xlfn.VALUETOTEXT(_xlfn.XLOOKUP(pid,bom[Id],bom[روکشبرداری قهوه ایی],"NA",1)))</f>
        <v>روکش قهوه ای: 15</v>
      </c>
      <c r="D6" s="342"/>
      <c r="E6" s="342"/>
      <c r="F6" s="342"/>
      <c r="G6" s="341" t="str">
        <f>_xlfn.CONCAT("روکش زرد:"," ",_xlfn.VALUETOTEXT(_xlfn.XLOOKUP(pid,bom[Id],bom[روکشبرداری زرد],"NA",1)))</f>
        <v>روکش زرد: 6</v>
      </c>
      <c r="H6" s="342"/>
      <c r="I6" s="342"/>
      <c r="J6" s="343"/>
      <c r="K6" s="342" t="str">
        <f>_xlfn.CONCAT("روکش مغزی:"," ",_xlfn.VALUETOTEXT(_xlfn.XLOOKUP(pid,bom[Id],bom[روکش مغزی],"NA",1)))</f>
        <v>روکش مغزی: 6</v>
      </c>
      <c r="L6" s="347"/>
    </row>
    <row r="7" spans="1:12" ht="17.100000000000001" customHeight="1">
      <c r="A7" s="346" t="str">
        <f>_xlfn.CONCAT("سرسیم آبی:"," ",_xlfn.VALUETOTEXT(_xlfn.XLOOKUP(pid,bom[Id],bom[سر سیم آبی],"NA",1)))</f>
        <v>سرسیم آبی: 0</v>
      </c>
      <c r="B7" s="343"/>
      <c r="C7" s="342" t="str">
        <f>_xlfn.CONCAT("سرسیم قهوه ای:"," ",_xlfn.VALUETOTEXT(_xlfn.XLOOKUP(pid,bom[Id],bom[سر سیم  قهوه ای],"NA",1)))</f>
        <v>سرسیم قهوه ای: 0</v>
      </c>
      <c r="D7" s="342"/>
      <c r="E7" s="342"/>
      <c r="F7" s="342"/>
      <c r="G7" s="341" t="str">
        <f>_xlfn.CONCAT("سرسیم زرد:"," ",_xlfn.VALUETOTEXT(_xlfn.XLOOKUP(pid,bom[Id],bom[سر سیم  زرد],"NA",1)))</f>
        <v>سرسیم زرد: مهره خور 4</v>
      </c>
      <c r="H7" s="342"/>
      <c r="I7" s="342"/>
      <c r="J7" s="343"/>
      <c r="K7" s="342" t="str">
        <f>_xlfn.CONCAT("نوع مغزی:"," ",_xlfn.VALUETOTEXT(_xlfn.XLOOKUP(pid,bom[Id],bom[نوع مغزی دوشاخه],"NA",1)))</f>
        <v>نوع مغزی: ارت کنار همی</v>
      </c>
      <c r="L7" s="347"/>
    </row>
    <row r="8" spans="1:12" ht="17.100000000000001" customHeight="1">
      <c r="A8" s="346" t="str">
        <f>_xlfn.CONCAT("طول سیم آبی:"," ",_xlfn.VALUETOTEXT(_xlfn.XLOOKUP(pid,bom[Id],bom[طول سیم آبی],"NA",1)))</f>
        <v>طول سیم آبی: 24</v>
      </c>
      <c r="B8" s="371"/>
      <c r="C8" s="342" t="str">
        <f>_xlfn.CONCAT("طول سیم قهوه ای:"," ",_xlfn.VALUETOTEXT(_xlfn.XLOOKUP(pid,bom[Id],bom[طول سیم قهوه ایی],"NA",1)))</f>
        <v>طول سیم قهوه ای: 24</v>
      </c>
      <c r="D8" s="342"/>
      <c r="E8" s="342"/>
      <c r="F8" s="342"/>
      <c r="G8" s="341" t="str">
        <f>_xlfn.CONCAT("طول سیم زرد:"," ",_xlfn.VALUETOTEXT(_xlfn.XLOOKUP(pid,bom[Id],bom[طول سیم ارت],"NA",1)))</f>
        <v>طول سیم زرد: 31</v>
      </c>
      <c r="H8" s="342"/>
      <c r="I8" s="342"/>
      <c r="J8" s="343"/>
      <c r="K8" s="342" t="str">
        <f>_xlfn.CONCAT("شماره بچ:"," ",_xlfn.VALUETOTEXT(batchId))</f>
        <v>شماره بچ: 1653</v>
      </c>
      <c r="L8" s="347"/>
    </row>
    <row r="9" spans="1:12" ht="17.100000000000001" customHeight="1" thickBot="1">
      <c r="A9" s="370" t="str">
        <f>_xlfn.CONCAT("مهاربند:"," ",_xlfn.VALUETOTEXT(_xlfn.XLOOKUP(pid,bom[Id],bom[مهاربند],"NA",1)))</f>
        <v>مهاربند: پاکشوما9.5 سانت</v>
      </c>
      <c r="B9" s="340"/>
      <c r="C9" s="339" t="str">
        <f>_xlfn.CONCAT("حکاکی تزریق دوشاخه:"," ")</f>
        <v xml:space="preserve">حکاکی تزریق دوشاخه: </v>
      </c>
      <c r="D9" s="339"/>
      <c r="E9" s="339"/>
      <c r="F9" s="408" t="s">
        <v>630</v>
      </c>
      <c r="G9" s="344" t="str">
        <f>_xlfn.CONCAT("دوبل:"," ")</f>
        <v xml:space="preserve">دوبل: </v>
      </c>
      <c r="H9" s="339"/>
      <c r="I9" s="339"/>
      <c r="J9" s="340"/>
      <c r="K9" s="339" t="str">
        <f>_xlfn.CONCAT("تعداد:"," ",_xlfn.VALUETOTEXT(batchAmount))</f>
        <v>تعداد: 300</v>
      </c>
      <c r="L9" s="352"/>
    </row>
    <row r="10" spans="1:12" ht="6.95" customHeight="1" thickBot="1">
      <c r="A10" s="362"/>
      <c r="B10" s="362"/>
      <c r="C10" s="363"/>
      <c r="D10" s="363"/>
      <c r="E10" s="363"/>
      <c r="F10" s="363"/>
      <c r="G10" s="363"/>
      <c r="H10" s="363"/>
      <c r="I10" s="363"/>
      <c r="J10" s="364"/>
      <c r="K10" s="364"/>
      <c r="L10" s="364"/>
    </row>
    <row r="11" spans="1:12" s="336" customFormat="1" ht="15" customHeight="1">
      <c r="A11" s="489" t="s">
        <v>619</v>
      </c>
      <c r="B11" s="477" t="s">
        <v>631</v>
      </c>
      <c r="C11" s="477" t="s">
        <v>624</v>
      </c>
      <c r="D11" s="338" t="s">
        <v>623</v>
      </c>
      <c r="E11" s="338" t="s">
        <v>623</v>
      </c>
      <c r="F11" s="338" t="s">
        <v>621</v>
      </c>
      <c r="G11" s="338" t="s">
        <v>621</v>
      </c>
      <c r="H11" s="338" t="s">
        <v>621</v>
      </c>
      <c r="I11" s="338" t="s">
        <v>621</v>
      </c>
      <c r="J11" s="338" t="s">
        <v>1351</v>
      </c>
      <c r="K11" s="338" t="s">
        <v>1352</v>
      </c>
      <c r="L11" s="475" t="s">
        <v>250</v>
      </c>
    </row>
    <row r="12" spans="1:12" s="336" customFormat="1" ht="15" customHeight="1">
      <c r="A12" s="490"/>
      <c r="B12" s="478"/>
      <c r="C12" s="478"/>
      <c r="D12" s="369" t="s">
        <v>632</v>
      </c>
      <c r="E12" s="369" t="s">
        <v>633</v>
      </c>
      <c r="F12" s="369" t="s">
        <v>1353</v>
      </c>
      <c r="G12" s="369" t="s">
        <v>622</v>
      </c>
      <c r="H12" s="369" t="s">
        <v>1354</v>
      </c>
      <c r="I12" s="369" t="s">
        <v>1355</v>
      </c>
      <c r="J12" s="369" t="s">
        <v>1356</v>
      </c>
      <c r="K12" s="369" t="s">
        <v>1357</v>
      </c>
      <c r="L12" s="476"/>
    </row>
    <row r="13" spans="1:12" ht="20.100000000000001" customHeight="1">
      <c r="A13" s="365">
        <v>1</v>
      </c>
      <c r="B13" s="366" t="s">
        <v>1347</v>
      </c>
      <c r="C13" s="366"/>
      <c r="D13" s="367"/>
      <c r="E13" s="367"/>
      <c r="F13" s="367"/>
      <c r="G13" s="367"/>
      <c r="H13" s="367"/>
      <c r="I13" s="367"/>
      <c r="J13" s="367"/>
      <c r="K13" s="367"/>
      <c r="L13" s="368"/>
    </row>
    <row r="14" spans="1:12" ht="20.100000000000001" customHeight="1">
      <c r="A14" s="348">
        <v>2</v>
      </c>
      <c r="B14" s="349" t="s">
        <v>634</v>
      </c>
      <c r="C14" s="349"/>
      <c r="D14" s="350"/>
      <c r="E14" s="350"/>
      <c r="F14" s="350"/>
      <c r="G14" s="350"/>
      <c r="H14" s="350"/>
      <c r="I14" s="350"/>
      <c r="J14" s="350"/>
      <c r="K14" s="350"/>
      <c r="L14" s="351"/>
    </row>
    <row r="15" spans="1:12" ht="20.100000000000001" customHeight="1">
      <c r="A15" s="348">
        <v>3</v>
      </c>
      <c r="B15" s="349" t="s">
        <v>635</v>
      </c>
      <c r="C15" s="349"/>
      <c r="D15" s="350"/>
      <c r="E15" s="350"/>
      <c r="F15" s="350"/>
      <c r="G15" s="350"/>
      <c r="H15" s="350"/>
      <c r="I15" s="350"/>
      <c r="J15" s="350"/>
      <c r="K15" s="350"/>
      <c r="L15" s="351"/>
    </row>
    <row r="16" spans="1:12" ht="20.100000000000001" customHeight="1">
      <c r="A16" s="348">
        <v>4</v>
      </c>
      <c r="B16" s="349" t="s">
        <v>636</v>
      </c>
      <c r="C16" s="349"/>
      <c r="D16" s="350"/>
      <c r="E16" s="350"/>
      <c r="F16" s="350"/>
      <c r="G16" s="350"/>
      <c r="H16" s="350"/>
      <c r="I16" s="350"/>
      <c r="J16" s="350"/>
      <c r="K16" s="350"/>
      <c r="L16" s="351"/>
    </row>
    <row r="17" spans="1:12" ht="20.100000000000001" customHeight="1">
      <c r="A17" s="348">
        <v>5</v>
      </c>
      <c r="B17" s="349" t="s">
        <v>637</v>
      </c>
      <c r="C17" s="349"/>
      <c r="D17" s="350"/>
      <c r="E17" s="350"/>
      <c r="F17" s="350"/>
      <c r="G17" s="350"/>
      <c r="H17" s="350"/>
      <c r="I17" s="350"/>
      <c r="J17" s="350"/>
      <c r="K17" s="350"/>
      <c r="L17" s="351"/>
    </row>
    <row r="18" spans="1:12" ht="20.100000000000001" customHeight="1">
      <c r="A18" s="348">
        <v>6</v>
      </c>
      <c r="B18" s="349" t="s">
        <v>638</v>
      </c>
      <c r="C18" s="349"/>
      <c r="D18" s="350"/>
      <c r="E18" s="350"/>
      <c r="F18" s="350"/>
      <c r="G18" s="350"/>
      <c r="H18" s="350"/>
      <c r="I18" s="350"/>
      <c r="J18" s="350"/>
      <c r="K18" s="350"/>
      <c r="L18" s="351"/>
    </row>
    <row r="19" spans="1:12" ht="20.100000000000001" customHeight="1">
      <c r="A19" s="348">
        <v>7</v>
      </c>
      <c r="B19" s="349" t="s">
        <v>639</v>
      </c>
      <c r="C19" s="349"/>
      <c r="D19" s="350"/>
      <c r="E19" s="350"/>
      <c r="F19" s="350"/>
      <c r="G19" s="350"/>
      <c r="H19" s="350"/>
      <c r="I19" s="350"/>
      <c r="J19" s="350"/>
      <c r="K19" s="350"/>
      <c r="L19" s="351"/>
    </row>
    <row r="20" spans="1:12" ht="20.100000000000001" customHeight="1">
      <c r="A20" s="348">
        <v>8</v>
      </c>
      <c r="B20" s="349" t="s">
        <v>640</v>
      </c>
      <c r="C20" s="349"/>
      <c r="D20" s="350"/>
      <c r="E20" s="350"/>
      <c r="F20" s="350"/>
      <c r="G20" s="350"/>
      <c r="H20" s="350"/>
      <c r="I20" s="350"/>
      <c r="J20" s="350"/>
      <c r="K20" s="350"/>
      <c r="L20" s="351"/>
    </row>
    <row r="21" spans="1:12" ht="20.100000000000001" customHeight="1">
      <c r="A21" s="348">
        <v>9</v>
      </c>
      <c r="B21" s="349" t="s">
        <v>296</v>
      </c>
      <c r="C21" s="349"/>
      <c r="D21" s="350"/>
      <c r="E21" s="350"/>
      <c r="F21" s="350"/>
      <c r="G21" s="350"/>
      <c r="H21" s="350"/>
      <c r="I21" s="350"/>
      <c r="J21" s="350"/>
      <c r="K21" s="350"/>
      <c r="L21" s="351"/>
    </row>
    <row r="22" spans="1:12" ht="20.100000000000001" customHeight="1">
      <c r="A22" s="348">
        <v>10</v>
      </c>
      <c r="B22" s="349" t="s">
        <v>641</v>
      </c>
      <c r="C22" s="349"/>
      <c r="D22" s="350"/>
      <c r="E22" s="350"/>
      <c r="F22" s="350"/>
      <c r="G22" s="350"/>
      <c r="H22" s="350"/>
      <c r="I22" s="350"/>
      <c r="J22" s="350"/>
      <c r="K22" s="350"/>
      <c r="L22" s="351"/>
    </row>
    <row r="23" spans="1:12" ht="20.100000000000001" customHeight="1">
      <c r="A23" s="348">
        <v>11</v>
      </c>
      <c r="B23" s="349" t="s">
        <v>642</v>
      </c>
      <c r="C23" s="349"/>
      <c r="D23" s="350"/>
      <c r="E23" s="350"/>
      <c r="F23" s="350"/>
      <c r="G23" s="350"/>
      <c r="H23" s="350"/>
      <c r="I23" s="350"/>
      <c r="J23" s="350"/>
      <c r="K23" s="350"/>
      <c r="L23" s="351"/>
    </row>
    <row r="24" spans="1:12" ht="20.100000000000001" customHeight="1">
      <c r="A24" s="348">
        <v>12</v>
      </c>
      <c r="B24" s="349" t="s">
        <v>643</v>
      </c>
      <c r="C24" s="349"/>
      <c r="D24" s="350"/>
      <c r="E24" s="350"/>
      <c r="F24" s="350"/>
      <c r="G24" s="350"/>
      <c r="H24" s="350"/>
      <c r="I24" s="350"/>
      <c r="J24" s="350"/>
      <c r="K24" s="350"/>
      <c r="L24" s="351"/>
    </row>
    <row r="25" spans="1:12" ht="20.100000000000001" customHeight="1">
      <c r="A25" s="348">
        <v>13</v>
      </c>
      <c r="B25" s="349" t="s">
        <v>644</v>
      </c>
      <c r="C25" s="349"/>
      <c r="D25" s="350"/>
      <c r="E25" s="350"/>
      <c r="F25" s="350"/>
      <c r="G25" s="350"/>
      <c r="H25" s="350"/>
      <c r="I25" s="350"/>
      <c r="J25" s="350"/>
      <c r="K25" s="350"/>
      <c r="L25" s="351"/>
    </row>
    <row r="26" spans="1:12" ht="20.100000000000001" customHeight="1">
      <c r="A26" s="348">
        <v>14</v>
      </c>
      <c r="B26" s="349" t="s">
        <v>645</v>
      </c>
      <c r="C26" s="349"/>
      <c r="D26" s="350"/>
      <c r="E26" s="350"/>
      <c r="F26" s="350"/>
      <c r="G26" s="350"/>
      <c r="H26" s="350"/>
      <c r="I26" s="350"/>
      <c r="J26" s="350"/>
      <c r="K26" s="350"/>
      <c r="L26" s="351"/>
    </row>
    <row r="27" spans="1:12" ht="20.100000000000001" customHeight="1">
      <c r="A27" s="348">
        <v>15</v>
      </c>
      <c r="B27" s="349" t="s">
        <v>1350</v>
      </c>
      <c r="C27" s="349"/>
      <c r="D27" s="350"/>
      <c r="E27" s="350"/>
      <c r="F27" s="350"/>
      <c r="G27" s="350"/>
      <c r="H27" s="350"/>
      <c r="I27" s="350"/>
      <c r="J27" s="350"/>
      <c r="K27" s="350"/>
      <c r="L27" s="351"/>
    </row>
    <row r="28" spans="1:12" ht="20.100000000000001" customHeight="1">
      <c r="A28" s="348">
        <v>16</v>
      </c>
      <c r="B28" s="349" t="s">
        <v>1358</v>
      </c>
      <c r="C28" s="349"/>
      <c r="D28" s="350"/>
      <c r="E28" s="350"/>
      <c r="F28" s="350"/>
      <c r="G28" s="350"/>
      <c r="H28" s="350"/>
      <c r="I28" s="350"/>
      <c r="J28" s="350"/>
      <c r="K28" s="350"/>
      <c r="L28" s="351"/>
    </row>
    <row r="29" spans="1:12" ht="20.100000000000001" customHeight="1">
      <c r="A29" s="348">
        <v>17</v>
      </c>
      <c r="B29" s="349" t="s">
        <v>1359</v>
      </c>
      <c r="C29" s="349"/>
      <c r="D29" s="350"/>
      <c r="E29" s="350"/>
      <c r="F29" s="350"/>
      <c r="G29" s="350"/>
      <c r="H29" s="350"/>
      <c r="I29" s="350"/>
      <c r="J29" s="350"/>
      <c r="K29" s="350"/>
      <c r="L29" s="351"/>
    </row>
    <row r="30" spans="1:12" ht="20.100000000000001" customHeight="1">
      <c r="A30" s="348">
        <v>18</v>
      </c>
      <c r="B30" s="349" t="s">
        <v>646</v>
      </c>
      <c r="C30" s="349"/>
      <c r="D30" s="350"/>
      <c r="E30" s="350"/>
      <c r="F30" s="350"/>
      <c r="G30" s="350"/>
      <c r="H30" s="350"/>
      <c r="I30" s="350"/>
      <c r="J30" s="350"/>
      <c r="K30" s="350"/>
      <c r="L30" s="351"/>
    </row>
    <row r="31" spans="1:12" ht="20.100000000000001" customHeight="1">
      <c r="A31" s="348">
        <v>19</v>
      </c>
      <c r="B31" s="349" t="s">
        <v>647</v>
      </c>
      <c r="C31" s="349"/>
      <c r="D31" s="350"/>
      <c r="E31" s="350"/>
      <c r="F31" s="350"/>
      <c r="G31" s="350"/>
      <c r="H31" s="350"/>
      <c r="I31" s="350"/>
      <c r="J31" s="350"/>
      <c r="K31" s="350"/>
      <c r="L31" s="351"/>
    </row>
    <row r="32" spans="1:12" ht="20.100000000000001" customHeight="1">
      <c r="A32" s="348">
        <v>20</v>
      </c>
      <c r="B32" s="349" t="s">
        <v>648</v>
      </c>
      <c r="C32" s="349"/>
      <c r="D32" s="350"/>
      <c r="E32" s="350"/>
      <c r="F32" s="350"/>
      <c r="G32" s="350"/>
      <c r="H32" s="350"/>
      <c r="I32" s="350"/>
      <c r="J32" s="350"/>
      <c r="K32" s="350"/>
      <c r="L32" s="351"/>
    </row>
    <row r="33" spans="1:12" ht="20.100000000000001" customHeight="1">
      <c r="A33" s="348">
        <v>21</v>
      </c>
      <c r="B33" s="349" t="s">
        <v>1348</v>
      </c>
      <c r="C33" s="349"/>
      <c r="D33" s="350"/>
      <c r="E33" s="350"/>
      <c r="F33" s="350"/>
      <c r="G33" s="350"/>
      <c r="H33" s="350"/>
      <c r="I33" s="350"/>
      <c r="J33" s="350"/>
      <c r="K33" s="350"/>
      <c r="L33" s="351"/>
    </row>
    <row r="34" spans="1:12" ht="20.100000000000001" customHeight="1">
      <c r="A34" s="348">
        <v>22</v>
      </c>
      <c r="B34" s="349" t="s">
        <v>649</v>
      </c>
      <c r="C34" s="349"/>
      <c r="D34" s="350"/>
      <c r="E34" s="350"/>
      <c r="F34" s="350"/>
      <c r="G34" s="350"/>
      <c r="H34" s="350"/>
      <c r="I34" s="350"/>
      <c r="J34" s="350"/>
      <c r="K34" s="350"/>
      <c r="L34" s="351"/>
    </row>
    <row r="35" spans="1:12" ht="20.100000000000001" customHeight="1">
      <c r="A35" s="348">
        <v>23</v>
      </c>
      <c r="B35" s="349" t="s">
        <v>245</v>
      </c>
      <c r="C35" s="349"/>
      <c r="D35" s="350"/>
      <c r="E35" s="350"/>
      <c r="F35" s="350"/>
      <c r="G35" s="350"/>
      <c r="H35" s="350"/>
      <c r="I35" s="350"/>
      <c r="J35" s="350"/>
      <c r="K35" s="350"/>
      <c r="L35" s="351"/>
    </row>
    <row r="36" spans="1:12" ht="20.100000000000001" customHeight="1">
      <c r="A36" s="348">
        <v>24</v>
      </c>
      <c r="B36" s="349"/>
      <c r="C36" s="349"/>
      <c r="D36" s="350"/>
      <c r="E36" s="350"/>
      <c r="F36" s="350"/>
      <c r="G36" s="350"/>
      <c r="H36" s="350"/>
      <c r="I36" s="350"/>
      <c r="J36" s="350"/>
      <c r="K36" s="350"/>
      <c r="L36" s="351"/>
    </row>
    <row r="37" spans="1:12" ht="20.100000000000001" customHeight="1" thickBot="1">
      <c r="A37" s="333">
        <v>25</v>
      </c>
      <c r="B37" s="345"/>
      <c r="C37" s="345"/>
      <c r="D37" s="334"/>
      <c r="E37" s="334"/>
      <c r="F37" s="334"/>
      <c r="G37" s="334"/>
      <c r="H37" s="334"/>
      <c r="I37" s="334"/>
      <c r="J37" s="334"/>
      <c r="K37" s="334"/>
      <c r="L37" s="335"/>
    </row>
    <row r="38" spans="1:12" ht="6.95" customHeight="1" thickBot="1">
      <c r="A38" s="362"/>
      <c r="B38" s="362"/>
      <c r="C38" s="363"/>
      <c r="D38" s="363"/>
      <c r="E38" s="363"/>
      <c r="F38" s="363"/>
      <c r="G38" s="363"/>
      <c r="H38" s="363"/>
      <c r="I38" s="363"/>
      <c r="J38" s="364"/>
      <c r="K38" s="364"/>
      <c r="L38" s="364"/>
    </row>
    <row r="39" spans="1:12" ht="56.85" customHeight="1" thickBot="1">
      <c r="A39" s="356" t="s">
        <v>650</v>
      </c>
      <c r="B39" s="357"/>
      <c r="C39" s="357"/>
      <c r="D39" s="357"/>
      <c r="E39" s="357"/>
      <c r="F39" s="357"/>
      <c r="G39" s="358" t="s">
        <v>1349</v>
      </c>
      <c r="H39" s="357"/>
      <c r="I39" s="357"/>
      <c r="J39" s="357"/>
      <c r="K39" s="357"/>
      <c r="L39" s="431">
        <f>cutOrdId</f>
        <v>217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bom</vt:lpstr>
      <vt:lpstr>plans</vt:lpstr>
      <vt:lpstr>cutts</vt:lpstr>
      <vt:lpstr>packes</vt:lpstr>
      <vt:lpstr>progress</vt:lpstr>
      <vt:lpstr>report</vt:lpstr>
      <vt:lpstr>III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bakhtiar sadeghi</cp:lastModifiedBy>
  <cp:lastPrinted>2025-09-03T05:20:22Z</cp:lastPrinted>
  <dcterms:created xsi:type="dcterms:W3CDTF">2024-09-22T06:24:54Z</dcterms:created>
  <dcterms:modified xsi:type="dcterms:W3CDTF">2025-10-15T17:35:13Z</dcterms:modified>
</cp:coreProperties>
</file>