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xampp\htdocs\z-laravel\NES\prj\"/>
    </mc:Choice>
  </mc:AlternateContent>
  <xr:revisionPtr revIDLastSave="0" documentId="13_ncr:1_{E8B43AA4-433B-4B93-BCE1-6699A9F9ABB4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database" sheetId="1" r:id="rId1"/>
    <sheet name="types" sheetId="4" r:id="rId2"/>
    <sheet name="casts" sheetId="3" r:id="rId3"/>
    <sheet name="relations" sheetId="2" r:id="rId4"/>
    <sheet name="Artisans" sheetId="8" r:id="rId5"/>
  </sheets>
  <calcPr calcId="191029"/>
  <webPublishing allowPng="1" targetScreenSize="1024x768" codePage="2859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8" l="1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45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A2" i="8" a="1"/>
  <c r="A2" i="8" s="1"/>
  <c r="B3" i="8" l="1"/>
  <c r="C3" i="8" s="1"/>
  <c r="B7" i="8"/>
  <c r="C7" i="8" s="1"/>
  <c r="B11" i="8"/>
  <c r="C11" i="8" s="1"/>
  <c r="B15" i="8"/>
  <c r="C15" i="8" s="1"/>
  <c r="B23" i="8"/>
  <c r="C23" i="8" s="1"/>
  <c r="B4" i="8"/>
  <c r="C4" i="8" s="1"/>
  <c r="B8" i="8"/>
  <c r="C8" i="8" s="1"/>
  <c r="B12" i="8"/>
  <c r="C12" i="8" s="1"/>
  <c r="B16" i="8"/>
  <c r="C16" i="8" s="1"/>
  <c r="B20" i="8"/>
  <c r="C20" i="8" s="1"/>
  <c r="B19" i="8"/>
  <c r="C19" i="8" s="1"/>
  <c r="B22" i="8"/>
  <c r="C22" i="8" s="1"/>
  <c r="B18" i="8"/>
  <c r="C18" i="8" s="1"/>
  <c r="B14" i="8"/>
  <c r="C14" i="8" s="1"/>
  <c r="B10" i="8"/>
  <c r="C10" i="8" s="1"/>
  <c r="B6" i="8"/>
  <c r="C6" i="8" s="1"/>
  <c r="B21" i="8"/>
  <c r="C21" i="8" s="1"/>
  <c r="B17" i="8"/>
  <c r="C17" i="8" s="1"/>
  <c r="B13" i="8"/>
  <c r="C13" i="8" s="1"/>
  <c r="B9" i="8"/>
  <c r="C9" i="8" s="1"/>
  <c r="B5" i="8"/>
  <c r="C5" i="8" s="1"/>
  <c r="B2" i="8" l="1"/>
  <c r="C2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<sst xmlns="http://schemas.openxmlformats.org/spreadsheetml/2006/main" count="1057" uniqueCount="462">
  <si>
    <t>index</t>
  </si>
  <si>
    <t>relation</t>
  </si>
  <si>
    <t>belongsTo</t>
  </si>
  <si>
    <t>Many-To-Many</t>
  </si>
  <si>
    <t>Has-One-Through</t>
  </si>
  <si>
    <t>Has-Many-Through</t>
  </si>
  <si>
    <t>Column3</t>
  </si>
  <si>
    <t>orders</t>
  </si>
  <si>
    <t>id</t>
  </si>
  <si>
    <t>product_id</t>
  </si>
  <si>
    <t>quantity</t>
  </si>
  <si>
    <t>description</t>
  </si>
  <si>
    <t>status</t>
  </si>
  <si>
    <t>notification_date</t>
  </si>
  <si>
    <t>type</t>
  </si>
  <si>
    <t>boolean</t>
  </si>
  <si>
    <t>category</t>
  </si>
  <si>
    <t>TINYINT</t>
  </si>
  <si>
    <t>number</t>
  </si>
  <si>
    <t>عدد صحیح بسیار کوچک: از -128 تا 127 (یا 0 تا 255 اگر UNSIGNED)</t>
  </si>
  <si>
    <t>SMALLINT</t>
  </si>
  <si>
    <t>عدد صحیح کوچک: از -32,768 تا 32,767</t>
  </si>
  <si>
    <t>MEDIUMINT</t>
  </si>
  <si>
    <t>عدد صحیح متوسط: از -8,388,608 تا 8,388,607</t>
  </si>
  <si>
    <r>
      <t>INT</t>
    </r>
    <r>
      <rPr>
        <sz val="11"/>
        <color theme="1"/>
        <rFont val="Calibri"/>
        <family val="2"/>
        <scheme val="minor"/>
      </rPr>
      <t xml:space="preserve"> / </t>
    </r>
    <r>
      <rPr>
        <sz val="10"/>
        <color theme="1"/>
        <rFont val="Arial Unicode MS"/>
      </rPr>
      <t>INTEGER</t>
    </r>
  </si>
  <si>
    <t>عدد صحیح معمولی: از -2,147,483,648 تا 2,147,483,647</t>
  </si>
  <si>
    <t>BIGINT</t>
  </si>
  <si>
    <t>عدد صحیح بسیار بزرگ: از -9,223,372,036,854,775,808 تا 9,223,372,036,854,775,807</t>
  </si>
  <si>
    <t>DECIMAL(M,D)</t>
  </si>
  <si>
    <t>عدد اعشاری دقیق با M رقم کلی و D رقم اعشار (مثلاً DECIMAL(10,2))</t>
  </si>
  <si>
    <t>FLOAT</t>
  </si>
  <si>
    <t>عدد اعشاری تقریبی با دقت متوسط (32 بیت)</t>
  </si>
  <si>
    <t>DOUBLE</t>
  </si>
  <si>
    <t>عدد اعشاری تقریبی با دقت بالا (64 بیت)</t>
  </si>
  <si>
    <t>string</t>
  </si>
  <si>
    <t>رشته با طول ثابت (حداکثر 255 کاراکتر)</t>
  </si>
  <si>
    <t>رشته با طول متغیر (حداکثر 255 کاراکتر)</t>
  </si>
  <si>
    <t>TEXT</t>
  </si>
  <si>
    <t>متن کوتاه (حداکثر ~65,535 کاراکتر)</t>
  </si>
  <si>
    <t>MEDIUMTEXT</t>
  </si>
  <si>
    <t>متن متوسط (حداکثر ~16 میلیون کاراکتر)</t>
  </si>
  <si>
    <t>LONGTEXT</t>
  </si>
  <si>
    <t>متن بسیار طولانی (حداکثر ~4 میلیارد کاراکتر)</t>
  </si>
  <si>
    <t>TINYTEXT</t>
  </si>
  <si>
    <t>متن خیلی کوتاه (حداکثر ~255 کاراکتر) — تقریباً منسوخ</t>
  </si>
  <si>
    <t>DATE</t>
  </si>
  <si>
    <t>date</t>
  </si>
  <si>
    <r>
      <t xml:space="preserve">فقط تاریخ به فرمت </t>
    </r>
    <r>
      <rPr>
        <sz val="10"/>
        <color theme="1"/>
        <rFont val="Arial Unicode MS"/>
      </rPr>
      <t>YYYY-MM-DD</t>
    </r>
    <r>
      <rPr>
        <sz val="11"/>
        <color theme="1"/>
        <rFont val="Calibri"/>
        <family val="2"/>
        <scheme val="minor"/>
      </rPr>
      <t xml:space="preserve"> (مثلاً 2025-04-05)</t>
    </r>
  </si>
  <si>
    <t>TIME</t>
  </si>
  <si>
    <r>
      <t xml:space="preserve">فقط زمان به فرمت </t>
    </r>
    <r>
      <rPr>
        <sz val="10"/>
        <color theme="1"/>
        <rFont val="Arial Unicode MS"/>
      </rPr>
      <t>HH:MM:SS</t>
    </r>
    <r>
      <rPr>
        <sz val="11"/>
        <color theme="1"/>
        <rFont val="Calibri"/>
        <family val="2"/>
        <scheme val="minor"/>
      </rPr>
      <t xml:space="preserve"> (مثلاً 14:30:00)</t>
    </r>
  </si>
  <si>
    <t>DATETIME</t>
  </si>
  <si>
    <r>
      <t xml:space="preserve">تاریخ و زمان (از سال 1000 تا 9999) به فرمت </t>
    </r>
    <r>
      <rPr>
        <sz val="10"/>
        <color theme="1"/>
        <rFont val="Arial Unicode MS"/>
      </rPr>
      <t>YYYY-MM-DD HH:MM:SS</t>
    </r>
  </si>
  <si>
    <t>TIMESTAMP</t>
  </si>
  <si>
    <t>تاریخ و زمان با محدوده کوچکتر (1970–2038) و تبدیل زمانهای منطقه‌ای</t>
  </si>
  <si>
    <t>YEAR</t>
  </si>
  <si>
    <r>
      <t xml:space="preserve">سال به فرمت </t>
    </r>
    <r>
      <rPr>
        <sz val="10"/>
        <color theme="1"/>
        <rFont val="Arial Unicode MS"/>
      </rPr>
      <t>YYYY</t>
    </r>
    <r>
      <rPr>
        <sz val="11"/>
        <color theme="1"/>
        <rFont val="Calibri"/>
        <family val="2"/>
        <scheme val="minor"/>
      </rPr>
      <t xml:space="preserve"> (مثلاً 2025)</t>
    </r>
  </si>
  <si>
    <t>مقدار منطقی: در واقع 0 (FALSE) یا 1 (TRUE)</t>
  </si>
  <si>
    <t>BIT(M)</t>
  </si>
  <si>
    <t>binary</t>
  </si>
  <si>
    <t>داده باینری شامل M بیت (معمولاً 1 بیت)</t>
  </si>
  <si>
    <t>BLOB</t>
  </si>
  <si>
    <t>داده باینری کوچک (تا ~65 کیلوبایت)</t>
  </si>
  <si>
    <t>MEDIUMBLOB</t>
  </si>
  <si>
    <t>داده باینری متوسط (تا ~16 مگابایت)</t>
  </si>
  <si>
    <t>LONGBLOB</t>
  </si>
  <si>
    <t>داده باینری بزرگ (تا ~4 گیگابایت)</t>
  </si>
  <si>
    <t>UUID</t>
  </si>
  <si>
    <t>identifier</t>
  </si>
  <si>
    <t>شناسه منحصر به فرد 36 کاراکتری (مثلاً a1b2c3d4-e5f6-7890-g1h2-i3j4k5l6m7n8) — معمولاً به صورت VARCHAR(36) ذخیره می‌شود</t>
  </si>
  <si>
    <t>JSON</t>
  </si>
  <si>
    <t>special</t>
  </si>
  <si>
    <t>داده‌های ساختاریافته به فرمت JSON (مثلاً {"name": "ali", "age": 30})</t>
  </si>
  <si>
    <t>BOOLEAN</t>
  </si>
  <si>
    <t>ENUM</t>
  </si>
  <si>
    <t>CHAR( )</t>
  </si>
  <si>
    <t>VARCHAR( )</t>
  </si>
  <si>
    <t>ENUM( )</t>
  </si>
  <si>
    <t>no</t>
  </si>
  <si>
    <t>yes</t>
  </si>
  <si>
    <t>active</t>
  </si>
  <si>
    <t>integer</t>
  </si>
  <si>
    <t>تبدیل به عدد صحیح</t>
  </si>
  <si>
    <t>INT, TINYINT</t>
  </si>
  <si>
    <t>int</t>
  </si>
  <si>
    <t>'age' =&gt; 'integer'</t>
  </si>
  <si>
    <t>real, float, double</t>
  </si>
  <si>
    <t>تبدیل به عدد اعشاری</t>
  </si>
  <si>
    <t>DECIMAL, FLOAT</t>
  </si>
  <si>
    <t>float</t>
  </si>
  <si>
    <t>'price' =&gt; 'float'</t>
  </si>
  <si>
    <t>decimal:{digits}</t>
  </si>
  <si>
    <t>تبدیل به float با تعداد مشخص اعشار</t>
  </si>
  <si>
    <t>DECIMAL(10,2)</t>
  </si>
  <si>
    <t>'amount' =&gt; 'decimal:2'</t>
  </si>
  <si>
    <t>تبدیل به رشته</t>
  </si>
  <si>
    <t>VARCHAR, TEXT</t>
  </si>
  <si>
    <t>'name' =&gt; 'string'</t>
  </si>
  <si>
    <t>تبدیل به مقدار منطقی</t>
  </si>
  <si>
    <t>TINYINT(1), BOOLEAN</t>
  </si>
  <si>
    <t>bool (true / false)</t>
  </si>
  <si>
    <t>'is_active' =&gt; 'boolean'</t>
  </si>
  <si>
    <t>object</t>
  </si>
  <si>
    <t>تبدیل JSON به شیء PHP (stdClass)</t>
  </si>
  <si>
    <t>JSON, TEXT</t>
  </si>
  <si>
    <t>stdClass</t>
  </si>
  <si>
    <t>'options' =&gt; 'object'</t>
  </si>
  <si>
    <t>array</t>
  </si>
  <si>
    <t>تبدیل JSON به آرایه PHP</t>
  </si>
  <si>
    <t>'tags' =&gt; 'array'</t>
  </si>
  <si>
    <t>collection</t>
  </si>
  <si>
    <t>تبدیل به Illuminate\Support\Collection</t>
  </si>
  <si>
    <t>Collection</t>
  </si>
  <si>
    <t>'items' =&gt; 'collection'</t>
  </si>
  <si>
    <t>تبدیل به شیء Carbon فقط با تاریخ</t>
  </si>
  <si>
    <t>DATE, DATETIME</t>
  </si>
  <si>
    <t>Carbon (فرمت: Y-m-d)</t>
  </si>
  <si>
    <t>'birth_date' =&gt; 'date'</t>
  </si>
  <si>
    <t>datetime</t>
  </si>
  <si>
    <t>تبدیل به شیء Carbon با تاریخ و زمان</t>
  </si>
  <si>
    <t>DATETIME, TIMESTAMP</t>
  </si>
  <si>
    <t>Carbon</t>
  </si>
  <si>
    <t>'created_at' =&gt; 'datetime'</t>
  </si>
  <si>
    <t>timestamp</t>
  </si>
  <si>
    <t>تبدیل به Carbon از timestamp عددی</t>
  </si>
  <si>
    <t>BIGINT, INT</t>
  </si>
  <si>
    <t>'time' =&gt; 'timestamp'</t>
  </si>
  <si>
    <t>encrypted</t>
  </si>
  <si>
    <t>security</t>
  </si>
  <si>
    <t>رمزگذاری داده قبل از ذخیره در دیتابیس</t>
  </si>
  <si>
    <t>TEXT, VARCHAR</t>
  </si>
  <si>
    <t>رشته رمزگذاری‌شده</t>
  </si>
  <si>
    <t>'ssn' =&gt; 'encrypted'</t>
  </si>
  <si>
    <t>encrypted:array</t>
  </si>
  <si>
    <t>رمزگذاری یک آرایه JSON</t>
  </si>
  <si>
    <t>آرایه رمزشده</t>
  </si>
  <si>
    <t>'private_data' =&gt; 'encrypted:array'</t>
  </si>
  <si>
    <t>encrypted:collection</t>
  </si>
  <si>
    <t>رمزگذاری یک Collection</t>
  </si>
  <si>
    <t>Collection رمزشده</t>
  </si>
  <si>
    <t>'meta' =&gt; 'encrypted:collection'</t>
  </si>
  <si>
    <t>datetime:format</t>
  </si>
  <si>
    <t>تبدیل به Carbon با فرمت خاص</t>
  </si>
  <si>
    <t>'event_at' =&gt; 'datetime:Y-m-d H:i'</t>
  </si>
  <si>
    <t>immutable_datetime</t>
  </si>
  <si>
    <t>مثل datetime اما با شیء CarbonImmutable</t>
  </si>
  <si>
    <t>CarbonImmutable</t>
  </si>
  <si>
    <t>'locked_at' =&gt; 'immutable_datetime'</t>
  </si>
  <si>
    <t>immutable_date</t>
  </si>
  <si>
    <t>مثل date اما غیرقابل تغییر</t>
  </si>
  <si>
    <t>'expire_date' =&gt; 'immutable_date'</t>
  </si>
  <si>
    <t>custom_class</t>
  </si>
  <si>
    <t>custom</t>
  </si>
  <si>
    <t>casting سفارشی با کلاس</t>
  </si>
  <si>
    <t>هر نوع</t>
  </si>
  <si>
    <t>وابسته به کلاس</t>
  </si>
  <si>
    <t>database type</t>
  </si>
  <si>
    <t>'address' =&gt; AddressCast::class</t>
  </si>
  <si>
    <t>example</t>
  </si>
  <si>
    <t>php output</t>
  </si>
  <si>
    <t>cast</t>
  </si>
  <si>
    <t>delivery_id</t>
  </si>
  <si>
    <t>order_id</t>
  </si>
  <si>
    <t>deadlines</t>
  </si>
  <si>
    <t>due_date</t>
  </si>
  <si>
    <t>deliveries</t>
  </si>
  <si>
    <t>cutts</t>
  </si>
  <si>
    <t>maximum_batch_size</t>
  </si>
  <si>
    <t>printing_date</t>
  </si>
  <si>
    <t>cutting_date</t>
  </si>
  <si>
    <t>batches</t>
  </si>
  <si>
    <t>cut_id</t>
  </si>
  <si>
    <t>products</t>
  </si>
  <si>
    <t>name</t>
  </si>
  <si>
    <t>plug_type</t>
  </si>
  <si>
    <t>cable_name</t>
  </si>
  <si>
    <t>cable_length</t>
  </si>
  <si>
    <t>cable_color</t>
  </si>
  <si>
    <t>cable_tall_strip_length</t>
  </si>
  <si>
    <t>cable_short_strip_length</t>
  </si>
  <si>
    <t>blue_wire_cut_length</t>
  </si>
  <si>
    <t>brown_wire_cut_length</t>
  </si>
  <si>
    <t>yellow_wire_cut_length</t>
  </si>
  <si>
    <t>blue_wire_strip_length</t>
  </si>
  <si>
    <t>brown_wire_strip_length</t>
  </si>
  <si>
    <t>yellow_wire_strip_length</t>
  </si>
  <si>
    <t>cord_length</t>
  </si>
  <si>
    <t>double_wire_length</t>
  </si>
  <si>
    <t>employees</t>
  </si>
  <si>
    <t>first_name</t>
  </si>
  <si>
    <t>last_name</t>
  </si>
  <si>
    <t>gender</t>
  </si>
  <si>
    <t>timesheets</t>
  </si>
  <si>
    <t>batch_id</t>
  </si>
  <si>
    <t>activity_id</t>
  </si>
  <si>
    <t>activities</t>
  </si>
  <si>
    <t>customer_id</t>
  </si>
  <si>
    <t>customers</t>
  </si>
  <si>
    <t>cycletimes</t>
  </si>
  <si>
    <t>cycletime</t>
  </si>
  <si>
    <t>created_by</t>
  </si>
  <si>
    <t>timestamps</t>
  </si>
  <si>
    <t>softdelete</t>
  </si>
  <si>
    <t>interchangable_category</t>
  </si>
  <si>
    <t>effeciencies</t>
  </si>
  <si>
    <t>employee_id</t>
  </si>
  <si>
    <t>user_id</t>
  </si>
  <si>
    <t>users</t>
  </si>
  <si>
    <t>roles</t>
  </si>
  <si>
    <t>role_id</t>
  </si>
  <si>
    <t>email</t>
  </si>
  <si>
    <t>password</t>
  </si>
  <si>
    <t>phones</t>
  </si>
  <si>
    <t>email_verified_at</t>
  </si>
  <si>
    <t>For-all-tables-except-those-in-which-this-field-is-explicitly-defined</t>
  </si>
  <si>
    <t>molds</t>
  </si>
  <si>
    <t>number_of_cavity</t>
  </si>
  <si>
    <t>applicators</t>
  </si>
  <si>
    <t>blue_wire_applicator_id</t>
  </si>
  <si>
    <t>brown_wire_applicator_id</t>
  </si>
  <si>
    <t>yellow_wire_applicator_id</t>
  </si>
  <si>
    <t>is_main_for_sms</t>
  </si>
  <si>
    <t>is_main_for_eitaa</t>
  </si>
  <si>
    <t>assigned_by</t>
  </si>
  <si>
    <t>assigned_at</t>
  </si>
  <si>
    <t>department_id</t>
  </si>
  <si>
    <t>sub_department_id</t>
  </si>
  <si>
    <t>hire_date</t>
  </si>
  <si>
    <t>departments</t>
  </si>
  <si>
    <t>employee_number</t>
  </si>
  <si>
    <t>sub_departments</t>
  </si>
  <si>
    <t>VARCHAR</t>
  </si>
  <si>
    <t>applicators.id</t>
  </si>
  <si>
    <t>nullable</t>
  </si>
  <si>
    <t>comment</t>
  </si>
  <si>
    <t>is-unique</t>
  </si>
  <si>
    <t>unsigned</t>
  </si>
  <si>
    <t>auto increment</t>
  </si>
  <si>
    <t>fillable</t>
  </si>
  <si>
    <t>default</t>
  </si>
  <si>
    <t>fieldType</t>
  </si>
  <si>
    <t>fieldName</t>
  </si>
  <si>
    <t>tableName</t>
  </si>
  <si>
    <t>molds_id</t>
  </si>
  <si>
    <t>double_wire_applicator_id</t>
  </si>
  <si>
    <t>seen</t>
  </si>
  <si>
    <t>months</t>
  </si>
  <si>
    <t>delivery_order</t>
  </si>
  <si>
    <t>daily_effeciency</t>
  </si>
  <si>
    <t>pre_number</t>
  </si>
  <si>
    <t>+98</t>
  </si>
  <si>
    <t>One-To-One:hasOne</t>
  </si>
  <si>
    <t>One-To-One:belongsTo</t>
  </si>
  <si>
    <t>One-To-Many:hasMany</t>
  </si>
  <si>
    <t>One-To-Many:belongsTo</t>
  </si>
  <si>
    <t>local</t>
  </si>
  <si>
    <t>one</t>
  </si>
  <si>
    <t>many</t>
  </si>
  <si>
    <t>relat</t>
  </si>
  <si>
    <t>has</t>
  </si>
  <si>
    <t>have</t>
  </si>
  <si>
    <t>شناسه کاربر (کلید اصلی)</t>
  </si>
  <si>
    <t>جنسیت کاربر</t>
  </si>
  <si>
    <t>نام کوچک کاربر</t>
  </si>
  <si>
    <t>نام خانوادگی کاربر</t>
  </si>
  <si>
    <t>ایمیل کاربر</t>
  </si>
  <si>
    <t>گذرواژه کاربر</t>
  </si>
  <si>
    <t>تاریخ و زمان تأیید ایمیل</t>
  </si>
  <si>
    <t>شناسه نقش (کلید اصلی)</t>
  </si>
  <si>
    <t>نام نقش</t>
  </si>
  <si>
    <t>شناسه رکورد در جدول ارتباطی کاربر-نقش</t>
  </si>
  <si>
    <t>شناسه کاربر در جدول ارتباطی کاربر-نقش</t>
  </si>
  <si>
    <t>شناسه نقش در جدول ارتباطی کاربر-نقش</t>
  </si>
  <si>
    <t>شناسه کاربری که نقش را اختصاص داده</t>
  </si>
  <si>
    <t>تاریخ و زمان اختصاص نقش</t>
  </si>
  <si>
    <t>شناسه شماره تلفن</t>
  </si>
  <si>
    <t>شناسه کاربر مربوط به شماره تلفن</t>
  </si>
  <si>
    <t>پیش‌شماره تلفن</t>
  </si>
  <si>
    <t>شماره تلفن اصلی</t>
  </si>
  <si>
    <t>نوع شماره تلفن (مثلاً همراه، ثابت)</t>
  </si>
  <si>
    <t>تعیین اینکه این شماره اصلی برای پیامک باشد</t>
  </si>
  <si>
    <t>تعیین اینکه این شماره اصلی برای ایتا باشد</t>
  </si>
  <si>
    <t>شناسه مشتری</t>
  </si>
  <si>
    <t>نام مشتری</t>
  </si>
  <si>
    <t>شناسه محصول</t>
  </si>
  <si>
    <t>نام محصول</t>
  </si>
  <si>
    <t>شناسه مشتری مربوط به محصول</t>
  </si>
  <si>
    <t>نام کابل محصول</t>
  </si>
  <si>
    <t>طول کابل محصول</t>
  </si>
  <si>
    <t>رنگ کابل محصول</t>
  </si>
  <si>
    <t>طول لخت‌کردن کابل در سمت بلند</t>
  </si>
  <si>
    <t>طول لخت‌کردن کابل در سمت کوتاه</t>
  </si>
  <si>
    <t>طول برش سیم آبی</t>
  </si>
  <si>
    <t>طول برش سیم قهوه‌ای</t>
  </si>
  <si>
    <t>طول برش سیم زرد</t>
  </si>
  <si>
    <t>طول لخت‌کردن سیم آبی</t>
  </si>
  <si>
    <t>طول لخت‌کردن سیم قهوه‌ای</t>
  </si>
  <si>
    <t>طول لخت‌کردن سیم زرد</t>
  </si>
  <si>
    <t>شناسه اپلیکاتور سیم آبی</t>
  </si>
  <si>
    <t>شناسه اپلیکاتور سیم قهوه‌ای</t>
  </si>
  <si>
    <t>شناسه اپلیکاتور سیم زرد</t>
  </si>
  <si>
    <t>شناسه قالب مربوط به محصول</t>
  </si>
  <si>
    <t>طول سیم رابط</t>
  </si>
  <si>
    <t>شناسه اپلیکاتور سیم دوتایی</t>
  </si>
  <si>
    <t>طول سیم دوتایی</t>
  </si>
  <si>
    <t>نوع دوشاخه محصول</t>
  </si>
  <si>
    <t>شناسه اپلیکاتور</t>
  </si>
  <si>
    <t>نام اپلیکاتور</t>
  </si>
  <si>
    <t>شناسه قالب</t>
  </si>
  <si>
    <t>نام قالب</t>
  </si>
  <si>
    <t>دسته‌بندی قالب</t>
  </si>
  <si>
    <t>تعداد حفره‌های قالب</t>
  </si>
  <si>
    <t>شناسه سفارش</t>
  </si>
  <si>
    <t>شناسه محصول در سفارش</t>
  </si>
  <si>
    <t>شناسه دسته‌بندی سفارش</t>
  </si>
  <si>
    <t>مقدار سفارش داده شده</t>
  </si>
  <si>
    <t>تاریخ اعلام نیاز یا نوتیفیکیشن</t>
  </si>
  <si>
    <t>وضعیت مشاهده شدن سفارش</t>
  </si>
  <si>
    <t>وضعیت سفارش</t>
  </si>
  <si>
    <t>شناسه ماه</t>
  </si>
  <si>
    <t>نام دسته سفارش مربوط به ماه</t>
  </si>
  <si>
    <t>شناسه مهلت (ددلاین)</t>
  </si>
  <si>
    <t>شناسه سفارش مربوط به ددلاین</t>
  </si>
  <si>
    <t>مقدار موردنیاز در ددلاین</t>
  </si>
  <si>
    <t>تاریخ سررسید سفارش</t>
  </si>
  <si>
    <t>شناسه جدول واسط تحویل–سفارش</t>
  </si>
  <si>
    <t>شناسه تحویل در جدول واسط</t>
  </si>
  <si>
    <t>شناسه سفارش در جدول واسط</t>
  </si>
  <si>
    <t>مقدار تحویل داده شده در جدول واسط</t>
  </si>
  <si>
    <t>شناسه تحویل</t>
  </si>
  <si>
    <t>شناسه محصول در تحویل</t>
  </si>
  <si>
    <t>تاریخ تحویل</t>
  </si>
  <si>
    <t>مقدار تحویل داده شده</t>
  </si>
  <si>
    <t>شناسه برش (cutting)</t>
  </si>
  <si>
    <t>شناسه سفارش مربوط به برش</t>
  </si>
  <si>
    <t>مقدار برش انجام شده</t>
  </si>
  <si>
    <t>حداکثر اندازه هر بچ برش</t>
  </si>
  <si>
    <t>تاریخ چاپ برچسب برش</t>
  </si>
  <si>
    <t>تاریخ انجام برش</t>
  </si>
  <si>
    <t>شناسه بچ (batch)</t>
  </si>
  <si>
    <t>شناسه برش مربوط به بچ</t>
  </si>
  <si>
    <t>مقدار تولید در بچ</t>
  </si>
  <si>
    <t>تاریخ چاپ برچسب بچ</t>
  </si>
  <si>
    <t>شناسه کارمند</t>
  </si>
  <si>
    <t>شناسه کاربر مربوط به کارمند</t>
  </si>
  <si>
    <t>شناسه دپارتمان کارمند</t>
  </si>
  <si>
    <t>شناسه زیردپارتمان کارمند</t>
  </si>
  <si>
    <t>شماره پرسنلی کارمند</t>
  </si>
  <si>
    <t>تاریخ استخدام کارمند</t>
  </si>
  <si>
    <t>شناسه دپارتمان</t>
  </si>
  <si>
    <t>نام دپارتمان</t>
  </si>
  <si>
    <t>شناسه زیردپارتمان</t>
  </si>
  <si>
    <t>شناسه دپارتمان مربوط به زیردپارتمان</t>
  </si>
  <si>
    <t>نام زیردپارتمان</t>
  </si>
  <si>
    <t>شناسه فعالیت</t>
  </si>
  <si>
    <t>نام فعالیت</t>
  </si>
  <si>
    <t>دسته‌بندی قابل جایگزینی برای فعالیت</t>
  </si>
  <si>
    <t>شناسه زمان‌سیکل</t>
  </si>
  <si>
    <t>شناسه محصول مربوط به زمان‌سیکل</t>
  </si>
  <si>
    <t>شناسه فعالیت مربوط به زمان‌سیکل</t>
  </si>
  <si>
    <t>مقدار زمان‌سیکل</t>
  </si>
  <si>
    <t>شناسه تایم‌شیت</t>
  </si>
  <si>
    <t>شناسه کارمند در تایم‌شیت</t>
  </si>
  <si>
    <t>شناسه بچ در تایم‌شیت</t>
  </si>
  <si>
    <t>شناسه فعالیت در تایم‌شیت</t>
  </si>
  <si>
    <t>مقدار انجام‌شده در تایم‌شیت</t>
  </si>
  <si>
    <t>تاریخ ثبت تایم‌شیت</t>
  </si>
  <si>
    <t>شناسه راندمان</t>
  </si>
  <si>
    <t>شناسه کارمند در راندمان</t>
  </si>
  <si>
    <t>تاریخ راندمان</t>
  </si>
  <si>
    <t>مقدار راندمان روزانه</t>
  </si>
  <si>
    <t>توضیحات عمومی (برای تمام جداول به جز مواردی که تعریف خاص دارند)</t>
  </si>
  <si>
    <t>وضعیت عمومی (برای تمام جداول به جز مواردی که تعریف خاص دارند)</t>
  </si>
  <si>
    <t>شناسه کاربر ایجادکننده رکورد (برای تمام جداول به جز مواردی که تعریف خاص دارند)</t>
  </si>
  <si>
    <t>تاریخ ایجاد و آخرین ویرایش رکورد (timestamps)</t>
  </si>
  <si>
    <t>وضعیت حذف نرم (soft delete)</t>
  </si>
  <si>
    <t>male female</t>
  </si>
  <si>
    <t>Ref Tv Triple</t>
  </si>
  <si>
    <t>plug cord</t>
  </si>
  <si>
    <t>active force hold canceled enough</t>
  </si>
  <si>
    <t>role_user</t>
  </si>
  <si>
    <t>'Users',</t>
  </si>
  <si>
    <t>'Roles',</t>
  </si>
  <si>
    <t>'RoleUser',</t>
  </si>
  <si>
    <t>'Phones',</t>
  </si>
  <si>
    <t>'Customers',</t>
  </si>
  <si>
    <t>'Products',</t>
  </si>
  <si>
    <t>'Applicators',</t>
  </si>
  <si>
    <t>'Molds',</t>
  </si>
  <si>
    <t>'Orders',</t>
  </si>
  <si>
    <t>'Months',</t>
  </si>
  <si>
    <t>'Deadlines',</t>
  </si>
  <si>
    <t>'DeliveryOrder',</t>
  </si>
  <si>
    <t>'Deliveries',</t>
  </si>
  <si>
    <t>'Cutts',</t>
  </si>
  <si>
    <t>'Batches',</t>
  </si>
  <si>
    <t>'Employees',</t>
  </si>
  <si>
    <t>'Departments',</t>
  </si>
  <si>
    <t>'SubDepartments',</t>
  </si>
  <si>
    <t>'Activities',</t>
  </si>
  <si>
    <t>'Cycletimes',</t>
  </si>
  <si>
    <t>'Timesheets',</t>
  </si>
  <si>
    <t>کپی و پیست</t>
  </si>
  <si>
    <t>فرمول</t>
  </si>
  <si>
    <t>نام جداول</t>
  </si>
  <si>
    <t>fieldType argument</t>
  </si>
  <si>
    <t>factory considarations</t>
  </si>
  <si>
    <t>must be 10 digits</t>
  </si>
  <si>
    <t>must be 10 digits start digit=9</t>
  </si>
  <si>
    <t>same as  3x0.75  3x1 2x1 2x76</t>
  </si>
  <si>
    <t>between 0 to 300</t>
  </si>
  <si>
    <t xml:space="preserve">only gray white black </t>
  </si>
  <si>
    <t>between 0 to 50</t>
  </si>
  <si>
    <t>between 0 to 10</t>
  </si>
  <si>
    <t>between 0 to 6</t>
  </si>
  <si>
    <t>beween 5 to 20</t>
  </si>
  <si>
    <t>beween 15 to 30</t>
  </si>
  <si>
    <t>Primary</t>
  </si>
  <si>
    <t>Foreign</t>
  </si>
  <si>
    <t>foreign key name</t>
  </si>
  <si>
    <t>between 2 to 8</t>
  </si>
  <si>
    <t>between 140306 to 140406</t>
  </si>
  <si>
    <t>month_id</t>
  </si>
  <si>
    <t>between 2000 to 80000</t>
  </si>
  <si>
    <t>part_quantity</t>
  </si>
  <si>
    <t>between 1000 to 10000 by deviding related orders.quantiy to some part</t>
  </si>
  <si>
    <t>extremly 30 days after orders.notification_date</t>
  </si>
  <si>
    <t>ascending</t>
  </si>
  <si>
    <t xml:space="preserve">between 100 to 1500 </t>
  </si>
  <si>
    <t xml:space="preserve">between 1000 to 3000 </t>
  </si>
  <si>
    <t>300 or 500</t>
  </si>
  <si>
    <t>up to 5000</t>
  </si>
  <si>
    <t>between 1 to 10 with 2 decimal</t>
  </si>
  <si>
    <t>up to 1 with 2 decimal</t>
  </si>
  <si>
    <t>molds.id</t>
  </si>
  <si>
    <t>migrate</t>
  </si>
  <si>
    <t>مفردسازی</t>
  </si>
  <si>
    <t>'Effeciencies',</t>
  </si>
  <si>
    <t>0001_01_01_000001_create_cache_table.php</t>
  </si>
  <si>
    <t>0001_01_01_000002_create_jobs_table.php</t>
  </si>
  <si>
    <t>2025_09_01_145725_create_applicators_table.php</t>
  </si>
  <si>
    <t>2025_09_01_145725_create_customers_table.php</t>
  </si>
  <si>
    <t>2025_09_01_145725_create_molds_table.php</t>
  </si>
  <si>
    <t>2025_09_01_145725_create_phones_table.php</t>
  </si>
  <si>
    <t>2025_09_01_145725_create_products_table.php</t>
  </si>
  <si>
    <t>2025_09_01_145725_create_roles_table.php</t>
  </si>
  <si>
    <t>2025_09_01_145725_create_role_users_table.php</t>
  </si>
  <si>
    <t>2025_09_01_145725_create_users_table.php</t>
  </si>
  <si>
    <t>2025_09_01_145726_create_deadlines_table.php</t>
  </si>
  <si>
    <t>2025_09_01_145726_create_delivery_orders_table.php</t>
  </si>
  <si>
    <t>2025_09_01_145726_create_months_table.php</t>
  </si>
  <si>
    <t>2025_09_01_145726_create_orders_table.php</t>
  </si>
  <si>
    <t>2025_09_01_145727_create_batches_table.php</t>
  </si>
  <si>
    <t>2025_09_01_145727_create_cuts_table.php</t>
  </si>
  <si>
    <t>2025_09_01_145727_create_deliveries_table.php</t>
  </si>
  <si>
    <t>2025_09_01_145727_create_departments_table.php</t>
  </si>
  <si>
    <t>2025_09_01_145727_create_employees_table.php</t>
  </si>
  <si>
    <t>2025_09_01_145728_create_activities_table.php</t>
  </si>
  <si>
    <t>2025_09_01_145728_create_cycletimes_table.php</t>
  </si>
  <si>
    <t>2025_09_01_145728_create_sub_departments_table.php</t>
  </si>
  <si>
    <t>2025_09_01_145728_create_timesheets_table.php</t>
  </si>
  <si>
    <t>2025_09_01_145729_create_effeciencies_table.php</t>
  </si>
  <si>
    <t>&gt;&gt; dir 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</si>
</sst>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1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1" fillId="2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2" borderId="2" xfId="0" applyFill="1" applyBorder="1" applyAlignment="1">
      <alignment horizontal="left" vertic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/>
    </xf>
    <xf numFmtId="0" fontId="4" fillId="0" borderId="0" xfId="0" applyFont="1"/>
    <xf numFmtId="0" fontId="4" fillId="4" borderId="0" xfId="0" applyFont="1" applyFill="1"/>
    <xf numFmtId="0" fontId="0" fillId="4" borderId="0" xfId="0" applyFill="1" applyAlignment="1">
      <alignment horizontal="left"/>
    </xf>
    <xf numFmtId="0" fontId="0" fillId="0" borderId="1" xfId="0" applyFont="1" applyBorder="1"/>
    <xf numFmtId="0" fontId="0" fillId="0" borderId="3" xfId="0" applyFont="1" applyBorder="1"/>
    <xf numFmtId="0" fontId="5" fillId="5" borderId="2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2" borderId="2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2" xfId="0" applyFont="1" applyBorder="1"/>
    <xf numFmtId="0" fontId="0" fillId="0" borderId="4" xfId="0" applyFont="1" applyBorder="1"/>
  </cellXfs>
  <cellStyles count="1">
    <cellStyle name="Normal" xfId="0" builtinId="0"/>
  </cellStyles>
  <dxfs count="27"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6DE7CF-2A3E-4D02-8688-8DC5D244FFAD}" name="database" displayName="database" ref="A1:N116" totalsRowShown="0" headerRowDxfId="26">
  <autoFilter ref="A1:N116" xr:uid="{546DE7CF-2A3E-4D02-8688-8DC5D244FFAD}"/>
  <tableColumns count="14">
    <tableColumn id="1" xr3:uid="{B16AA799-1322-4B2F-8B74-4D8880DA0F72}" name="tableName"/>
    <tableColumn id="2" xr3:uid="{2AA16467-9DA0-4E32-9269-83D752E93482}" name="fieldName"/>
    <tableColumn id="3" xr3:uid="{B188A785-759C-4B27-B4C2-AC8449EEFC8A}" name="fieldType"/>
    <tableColumn id="17" xr3:uid="{356ED114-99FB-4676-B5FB-E92D77D686ED}" name="fieldType argument" dataDxfId="25"/>
    <tableColumn id="13" xr3:uid="{16271AEB-B2FE-40DA-B0E6-7AE3BEF55CF0}" name="default" dataDxfId="24"/>
    <tableColumn id="6" xr3:uid="{AE6A1989-09F5-4870-9C50-67D610668F63}" name="index" dataDxfId="23"/>
    <tableColumn id="19" xr3:uid="{EE2E0B46-A8CB-44B1-923E-23333F390505}" name="foreign key name" dataDxfId="22"/>
    <tableColumn id="4" xr3:uid="{A5CB9B2B-1651-47C7-AD40-5C6808D4F8F1}" name="fillable" dataDxfId="21"/>
    <tableColumn id="10" xr3:uid="{33E9BB65-CABC-4DC4-BBDB-B21C898413FF}" name="nullable" dataDxfId="20"/>
    <tableColumn id="11" xr3:uid="{AC73DC12-F730-4582-B430-FDB42AE6FDB1}" name="auto increment" dataDxfId="19"/>
    <tableColumn id="12" xr3:uid="{773158F7-8A51-406C-A80A-2BA1FC8A7921}" name="unsigned" dataDxfId="18"/>
    <tableColumn id="14" xr3:uid="{400F2864-16CC-42CB-B407-67A68CD4F2F1}" name="is-unique" dataDxfId="17"/>
    <tableColumn id="18" xr3:uid="{D0FC1550-A296-4B02-A210-563751CC979E}" name="factory considarations" dataDxfId="16"/>
    <tableColumn id="9" xr3:uid="{CE92B4FE-C568-46BD-85F5-1B598D9D666B}" name="comment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794CA-D96D-40D7-A71B-AFEEF755DD78}" name="types" displayName="types" ref="A1:C28" totalsRowShown="0" headerRowDxfId="15">
  <autoFilter ref="A1:C28" xr:uid="{42C794CA-D96D-40D7-A71B-AFEEF755DD78}"/>
  <tableColumns count="3">
    <tableColumn id="1" xr3:uid="{5AC2E5A9-2221-4DF4-A593-5E6F316E13F7}" name="type" dataDxfId="14"/>
    <tableColumn id="2" xr3:uid="{932F2A86-FD80-4FF6-B42C-85A3895FF8A0}" name="category" dataDxfId="13"/>
    <tableColumn id="3" xr3:uid="{9651E6D3-2222-48CA-9652-185C16768B43}" name="description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F5A3B1-F1F4-4B35-98F5-E3373497A11A}" name="casts" displayName="casts" ref="A1:F19" totalsRowShown="0">
  <autoFilter ref="A1:F19" xr:uid="{9CF5A3B1-F1F4-4B35-98F5-E3373497A11A}"/>
  <tableColumns count="6">
    <tableColumn id="1" xr3:uid="{9B86C876-4127-4CA0-949F-58B32DE79B4F}" name="cast"/>
    <tableColumn id="2" xr3:uid="{E93669C4-9073-4680-864B-61D40079BB9D}" name="category"/>
    <tableColumn id="3" xr3:uid="{2B96103B-1FCC-47B7-8FD9-02751211D6A1}" name="Column3"/>
    <tableColumn id="4" xr3:uid="{BA6F82A5-C6ED-431A-90FF-682D710BECC5}" name="database type"/>
    <tableColumn id="5" xr3:uid="{F1535D03-5507-4E08-83C0-5896CDE97408}" name="php output"/>
    <tableColumn id="6" xr3:uid="{E133963F-44AD-4F08-A11E-3725BB661113}" name="exampl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67B2D4-FBDA-42FF-B30A-EBF5A6B8D05C}" name="relations" displayName="relations" ref="A1:C11" totalsRowShown="0" headerRowDxfId="11" dataDxfId="10">
  <autoFilter ref="A1:C11" xr:uid="{BF67B2D4-FBDA-42FF-B30A-EBF5A6B8D05C}"/>
  <tableColumns count="3">
    <tableColumn id="2" xr3:uid="{35121613-5BE4-46F4-9736-B09295C9EFD0}" name="relation" dataDxfId="9"/>
    <tableColumn id="1" xr3:uid="{4A272B96-356D-46CF-A619-84029C4AD56F}" name="local" dataDxfId="8"/>
    <tableColumn id="3" xr3:uid="{93D2F0C5-1423-45B9-A531-426C32B0F16C}" name="relat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N116"/>
  <sheetViews>
    <sheetView workbookViewId="0">
      <pane ySplit="1" topLeftCell="A3" activePane="bottomLeft" state="frozen"/>
      <selection pane="bottomLeft" activeCell="A12" sqref="A12:A15"/>
    </sheetView>
  </sheetViews>
  <sheetFormatPr defaultRowHeight="15"/>
  <cols>
    <col min="1" max="1" width="12.7109375" customWidth="1"/>
    <col min="2" max="2" width="25" bestFit="1" customWidth="1"/>
    <col min="3" max="3" width="12.7109375" customWidth="1"/>
    <col min="4" max="4" width="7.7109375" style="1" customWidth="1"/>
    <col min="5" max="7" width="7.7109375" customWidth="1"/>
    <col min="8" max="12" width="7.7109375" style="2" customWidth="1"/>
    <col min="13" max="13" width="25.28515625" style="2" customWidth="1"/>
    <col min="14" max="14" width="40.7109375" customWidth="1"/>
    <col min="20" max="20" width="12.42578125" customWidth="1"/>
  </cols>
  <sheetData>
    <row r="1" spans="1:14" s="11" customFormat="1" ht="39.950000000000003" customHeight="1">
      <c r="A1" s="11" t="s">
        <v>241</v>
      </c>
      <c r="B1" s="11" t="s">
        <v>240</v>
      </c>
      <c r="C1" s="11" t="s">
        <v>239</v>
      </c>
      <c r="D1" s="17" t="s">
        <v>404</v>
      </c>
      <c r="E1" s="17" t="s">
        <v>238</v>
      </c>
      <c r="F1" s="17" t="s">
        <v>0</v>
      </c>
      <c r="G1" s="17" t="s">
        <v>418</v>
      </c>
      <c r="H1" s="17" t="s">
        <v>237</v>
      </c>
      <c r="I1" s="17" t="s">
        <v>232</v>
      </c>
      <c r="J1" s="17" t="s">
        <v>236</v>
      </c>
      <c r="K1" s="17" t="s">
        <v>235</v>
      </c>
      <c r="L1" s="17" t="s">
        <v>234</v>
      </c>
      <c r="M1" s="17" t="s">
        <v>405</v>
      </c>
      <c r="N1" s="11" t="s">
        <v>233</v>
      </c>
    </row>
    <row r="2" spans="1:14" ht="16.5">
      <c r="A2" t="s">
        <v>206</v>
      </c>
      <c r="B2" t="s">
        <v>8</v>
      </c>
      <c r="C2" t="s">
        <v>22</v>
      </c>
      <c r="D2" s="12"/>
      <c r="E2" s="2"/>
      <c r="F2" s="21" t="s">
        <v>416</v>
      </c>
      <c r="G2" s="21"/>
      <c r="J2" s="2" t="s">
        <v>78</v>
      </c>
      <c r="K2" s="2" t="s">
        <v>78</v>
      </c>
      <c r="M2" s="13"/>
      <c r="N2" t="s">
        <v>260</v>
      </c>
    </row>
    <row r="3" spans="1:14" ht="16.5">
      <c r="A3" t="s">
        <v>206</v>
      </c>
      <c r="B3" t="s">
        <v>190</v>
      </c>
      <c r="C3" t="s">
        <v>73</v>
      </c>
      <c r="D3" s="12" t="s">
        <v>375</v>
      </c>
      <c r="E3" s="2"/>
      <c r="F3" s="21"/>
      <c r="G3" s="21"/>
      <c r="H3" s="2" t="s">
        <v>78</v>
      </c>
      <c r="I3" s="2" t="s">
        <v>77</v>
      </c>
      <c r="M3" s="13"/>
      <c r="N3" t="s">
        <v>261</v>
      </c>
    </row>
    <row r="4" spans="1:14" ht="16.5">
      <c r="A4" t="s">
        <v>206</v>
      </c>
      <c r="B4" t="s">
        <v>188</v>
      </c>
      <c r="C4" t="s">
        <v>230</v>
      </c>
      <c r="D4" s="12">
        <v>255</v>
      </c>
      <c r="E4" s="2"/>
      <c r="F4" s="21"/>
      <c r="G4" s="21"/>
      <c r="H4" s="2" t="s">
        <v>78</v>
      </c>
      <c r="I4" s="2" t="s">
        <v>77</v>
      </c>
      <c r="M4" s="13"/>
      <c r="N4" t="s">
        <v>262</v>
      </c>
    </row>
    <row r="5" spans="1:14" ht="16.5">
      <c r="A5" t="s">
        <v>206</v>
      </c>
      <c r="B5" t="s">
        <v>189</v>
      </c>
      <c r="C5" t="s">
        <v>230</v>
      </c>
      <c r="D5" s="12">
        <v>255</v>
      </c>
      <c r="E5" s="2"/>
      <c r="F5" s="21"/>
      <c r="G5" s="21"/>
      <c r="H5" s="2" t="s">
        <v>78</v>
      </c>
      <c r="I5" s="2" t="s">
        <v>77</v>
      </c>
      <c r="M5" s="13"/>
      <c r="N5" t="s">
        <v>263</v>
      </c>
    </row>
    <row r="6" spans="1:14" ht="16.5">
      <c r="A6" t="s">
        <v>206</v>
      </c>
      <c r="B6" t="s">
        <v>209</v>
      </c>
      <c r="C6" t="s">
        <v>230</v>
      </c>
      <c r="D6" s="12">
        <v>255</v>
      </c>
      <c r="E6" s="2"/>
      <c r="F6" s="21"/>
      <c r="G6" s="21"/>
      <c r="H6" s="2" t="s">
        <v>78</v>
      </c>
      <c r="I6" s="2" t="s">
        <v>77</v>
      </c>
      <c r="L6" s="2" t="s">
        <v>78</v>
      </c>
      <c r="M6" s="13"/>
      <c r="N6" s="16" t="s">
        <v>264</v>
      </c>
    </row>
    <row r="7" spans="1:14" ht="16.5">
      <c r="A7" t="s">
        <v>206</v>
      </c>
      <c r="B7" t="s">
        <v>210</v>
      </c>
      <c r="C7" t="s">
        <v>37</v>
      </c>
      <c r="D7" s="12"/>
      <c r="E7" s="2"/>
      <c r="F7" s="21"/>
      <c r="G7" s="21"/>
      <c r="H7" s="2" t="s">
        <v>78</v>
      </c>
      <c r="I7" s="2" t="s">
        <v>77</v>
      </c>
      <c r="M7" s="13"/>
      <c r="N7" t="s">
        <v>265</v>
      </c>
    </row>
    <row r="8" spans="1:14" ht="16.5">
      <c r="A8" t="s">
        <v>206</v>
      </c>
      <c r="B8" t="s">
        <v>212</v>
      </c>
      <c r="C8" t="s">
        <v>50</v>
      </c>
      <c r="D8" s="12"/>
      <c r="E8" s="2"/>
      <c r="F8" s="21"/>
      <c r="G8" s="21"/>
      <c r="M8" s="13"/>
      <c r="N8" t="s">
        <v>266</v>
      </c>
    </row>
    <row r="9" spans="1:14" ht="16.5">
      <c r="A9" t="s">
        <v>207</v>
      </c>
      <c r="B9" t="s">
        <v>8</v>
      </c>
      <c r="C9" t="s">
        <v>22</v>
      </c>
      <c r="D9" s="12"/>
      <c r="E9" s="2"/>
      <c r="F9" s="21" t="s">
        <v>416</v>
      </c>
      <c r="G9" s="21"/>
      <c r="J9" s="2" t="s">
        <v>78</v>
      </c>
      <c r="K9" s="2" t="s">
        <v>78</v>
      </c>
      <c r="M9" s="13"/>
      <c r="N9" t="s">
        <v>267</v>
      </c>
    </row>
    <row r="10" spans="1:14" ht="16.5">
      <c r="A10" t="s">
        <v>207</v>
      </c>
      <c r="B10" t="s">
        <v>172</v>
      </c>
      <c r="C10" t="s">
        <v>230</v>
      </c>
      <c r="D10" s="12">
        <v>255</v>
      </c>
      <c r="E10" s="2"/>
      <c r="F10" s="21"/>
      <c r="G10" s="21"/>
      <c r="H10" s="2" t="s">
        <v>78</v>
      </c>
      <c r="I10" s="2" t="s">
        <v>77</v>
      </c>
      <c r="M10" s="13"/>
      <c r="N10" t="s">
        <v>268</v>
      </c>
    </row>
    <row r="11" spans="1:14" ht="16.5">
      <c r="A11" t="s">
        <v>379</v>
      </c>
      <c r="B11" t="s">
        <v>8</v>
      </c>
      <c r="C11" t="s">
        <v>22</v>
      </c>
      <c r="D11" s="12"/>
      <c r="E11" s="2"/>
      <c r="F11" s="21" t="s">
        <v>416</v>
      </c>
      <c r="G11" s="21"/>
      <c r="J11" s="2" t="s">
        <v>78</v>
      </c>
      <c r="K11" s="2" t="s">
        <v>78</v>
      </c>
      <c r="M11" s="13"/>
      <c r="N11" t="s">
        <v>269</v>
      </c>
    </row>
    <row r="12" spans="1:14" ht="16.5">
      <c r="A12" t="s">
        <v>379</v>
      </c>
      <c r="B12" t="s">
        <v>205</v>
      </c>
      <c r="C12" t="s">
        <v>22</v>
      </c>
      <c r="D12" s="12"/>
      <c r="E12" s="2"/>
      <c r="F12" s="21" t="s">
        <v>417</v>
      </c>
      <c r="G12" s="21"/>
      <c r="H12" s="2" t="s">
        <v>78</v>
      </c>
      <c r="I12" s="2" t="s">
        <v>77</v>
      </c>
      <c r="K12" s="2" t="s">
        <v>78</v>
      </c>
      <c r="M12" s="13"/>
      <c r="N12" t="s">
        <v>270</v>
      </c>
    </row>
    <row r="13" spans="1:14" ht="16.5">
      <c r="A13" t="s">
        <v>379</v>
      </c>
      <c r="B13" t="s">
        <v>208</v>
      </c>
      <c r="C13" t="s">
        <v>22</v>
      </c>
      <c r="D13" s="12"/>
      <c r="E13" s="2"/>
      <c r="F13" s="21" t="s">
        <v>417</v>
      </c>
      <c r="G13" s="21"/>
      <c r="H13" s="2" t="s">
        <v>78</v>
      </c>
      <c r="I13" s="2" t="s">
        <v>77</v>
      </c>
      <c r="K13" s="2" t="s">
        <v>78</v>
      </c>
      <c r="M13" s="13"/>
      <c r="N13" t="s">
        <v>271</v>
      </c>
    </row>
    <row r="14" spans="1:14" ht="16.5">
      <c r="A14" t="s">
        <v>379</v>
      </c>
      <c r="B14" t="s">
        <v>222</v>
      </c>
      <c r="C14" t="s">
        <v>22</v>
      </c>
      <c r="D14" s="12"/>
      <c r="E14" s="2"/>
      <c r="F14" s="21"/>
      <c r="G14" s="21"/>
      <c r="K14" s="2" t="s">
        <v>78</v>
      </c>
      <c r="M14" s="13"/>
      <c r="N14" t="s">
        <v>272</v>
      </c>
    </row>
    <row r="15" spans="1:14" ht="16.5">
      <c r="A15" t="s">
        <v>379</v>
      </c>
      <c r="B15" t="s">
        <v>223</v>
      </c>
      <c r="C15" t="s">
        <v>50</v>
      </c>
      <c r="D15" s="12"/>
      <c r="E15" s="2"/>
      <c r="F15" s="21"/>
      <c r="G15" s="21"/>
      <c r="M15" s="13"/>
      <c r="N15" t="s">
        <v>273</v>
      </c>
    </row>
    <row r="16" spans="1:14" ht="16.5">
      <c r="A16" t="s">
        <v>211</v>
      </c>
      <c r="B16" t="s">
        <v>8</v>
      </c>
      <c r="C16" t="s">
        <v>22</v>
      </c>
      <c r="D16" s="12"/>
      <c r="E16" s="2"/>
      <c r="F16" s="21" t="s">
        <v>416</v>
      </c>
      <c r="G16" s="21"/>
      <c r="J16" s="2" t="s">
        <v>78</v>
      </c>
      <c r="K16" s="2" t="s">
        <v>78</v>
      </c>
      <c r="M16" s="13"/>
      <c r="N16" t="s">
        <v>274</v>
      </c>
    </row>
    <row r="17" spans="1:14" ht="16.5">
      <c r="A17" t="s">
        <v>211</v>
      </c>
      <c r="B17" t="s">
        <v>205</v>
      </c>
      <c r="C17" t="s">
        <v>22</v>
      </c>
      <c r="D17" s="12"/>
      <c r="E17" s="2"/>
      <c r="F17" s="21" t="s">
        <v>417</v>
      </c>
      <c r="G17" s="21"/>
      <c r="H17" s="2" t="s">
        <v>78</v>
      </c>
      <c r="I17" s="2" t="s">
        <v>77</v>
      </c>
      <c r="K17" s="2" t="s">
        <v>78</v>
      </c>
      <c r="M17" s="13"/>
      <c r="N17" t="s">
        <v>275</v>
      </c>
    </row>
    <row r="18" spans="1:14" ht="16.5">
      <c r="A18" t="s">
        <v>211</v>
      </c>
      <c r="B18" t="s">
        <v>248</v>
      </c>
      <c r="C18" t="s">
        <v>75</v>
      </c>
      <c r="D18" s="12">
        <v>5</v>
      </c>
      <c r="E18" s="14" t="s">
        <v>249</v>
      </c>
      <c r="F18" s="21"/>
      <c r="G18" s="21"/>
      <c r="H18" s="2" t="s">
        <v>78</v>
      </c>
      <c r="I18" s="2" t="s">
        <v>77</v>
      </c>
      <c r="M18" s="13"/>
      <c r="N18" t="s">
        <v>276</v>
      </c>
    </row>
    <row r="19" spans="1:14" ht="16.5">
      <c r="A19" t="s">
        <v>211</v>
      </c>
      <c r="B19" t="s">
        <v>18</v>
      </c>
      <c r="C19" t="s">
        <v>230</v>
      </c>
      <c r="D19" s="12">
        <v>20</v>
      </c>
      <c r="E19" s="2"/>
      <c r="F19" s="21"/>
      <c r="G19" s="21"/>
      <c r="H19" s="2" t="s">
        <v>78</v>
      </c>
      <c r="I19" s="2" t="s">
        <v>77</v>
      </c>
      <c r="L19" s="2" t="s">
        <v>78</v>
      </c>
      <c r="M19" s="13" t="s">
        <v>407</v>
      </c>
      <c r="N19" t="s">
        <v>277</v>
      </c>
    </row>
    <row r="20" spans="1:14" ht="16.5">
      <c r="A20" t="s">
        <v>211</v>
      </c>
      <c r="B20" t="s">
        <v>14</v>
      </c>
      <c r="C20" t="s">
        <v>230</v>
      </c>
      <c r="D20" s="12">
        <v>50</v>
      </c>
      <c r="E20" s="2"/>
      <c r="F20" s="21"/>
      <c r="G20" s="21"/>
      <c r="H20" s="2" t="s">
        <v>78</v>
      </c>
      <c r="M20" s="13"/>
      <c r="N20" t="s">
        <v>278</v>
      </c>
    </row>
    <row r="21" spans="1:14" ht="16.5">
      <c r="A21" t="s">
        <v>211</v>
      </c>
      <c r="B21" t="s">
        <v>220</v>
      </c>
      <c r="C21" t="s">
        <v>72</v>
      </c>
      <c r="D21" s="12"/>
      <c r="E21" t="b">
        <v>0</v>
      </c>
      <c r="F21" s="21"/>
      <c r="G21" s="21"/>
      <c r="H21" s="2" t="s">
        <v>78</v>
      </c>
      <c r="M21" s="13"/>
      <c r="N21" t="s">
        <v>279</v>
      </c>
    </row>
    <row r="22" spans="1:14" ht="16.5">
      <c r="A22" t="s">
        <v>211</v>
      </c>
      <c r="B22" t="s">
        <v>221</v>
      </c>
      <c r="C22" t="s">
        <v>72</v>
      </c>
      <c r="D22" s="12"/>
      <c r="E22" t="b">
        <v>0</v>
      </c>
      <c r="F22" s="21"/>
      <c r="G22" s="21"/>
      <c r="H22" s="2" t="s">
        <v>78</v>
      </c>
      <c r="M22" s="13"/>
      <c r="N22" t="s">
        <v>280</v>
      </c>
    </row>
    <row r="23" spans="1:14" ht="16.5">
      <c r="A23" t="s">
        <v>196</v>
      </c>
      <c r="B23" t="s">
        <v>8</v>
      </c>
      <c r="C23" t="s">
        <v>22</v>
      </c>
      <c r="D23" s="12"/>
      <c r="E23" s="2"/>
      <c r="F23" s="21" t="s">
        <v>416</v>
      </c>
      <c r="G23" s="21"/>
      <c r="J23" s="2" t="s">
        <v>78</v>
      </c>
      <c r="K23" s="2" t="s">
        <v>78</v>
      </c>
      <c r="M23" s="13"/>
      <c r="N23" t="s">
        <v>281</v>
      </c>
    </row>
    <row r="24" spans="1:14" ht="16.5">
      <c r="A24" t="s">
        <v>196</v>
      </c>
      <c r="B24" t="s">
        <v>172</v>
      </c>
      <c r="C24" t="s">
        <v>230</v>
      </c>
      <c r="D24" s="12">
        <v>255</v>
      </c>
      <c r="E24" s="2"/>
      <c r="F24" s="21"/>
      <c r="G24" s="21"/>
      <c r="H24" s="2" t="s">
        <v>78</v>
      </c>
      <c r="I24" s="2" t="s">
        <v>77</v>
      </c>
      <c r="M24" s="13"/>
      <c r="N24" t="s">
        <v>282</v>
      </c>
    </row>
    <row r="25" spans="1:14" ht="16.5">
      <c r="A25" t="s">
        <v>171</v>
      </c>
      <c r="B25" t="s">
        <v>8</v>
      </c>
      <c r="C25" t="s">
        <v>22</v>
      </c>
      <c r="D25" s="12"/>
      <c r="E25" s="2"/>
      <c r="F25" s="21" t="s">
        <v>416</v>
      </c>
      <c r="G25" s="21"/>
      <c r="J25" s="2" t="s">
        <v>78</v>
      </c>
      <c r="K25" s="2" t="s">
        <v>78</v>
      </c>
      <c r="M25" s="13" t="s">
        <v>406</v>
      </c>
      <c r="N25" t="s">
        <v>283</v>
      </c>
    </row>
    <row r="26" spans="1:14" ht="16.5">
      <c r="A26" t="s">
        <v>171</v>
      </c>
      <c r="B26" t="s">
        <v>172</v>
      </c>
      <c r="C26" t="s">
        <v>230</v>
      </c>
      <c r="D26" s="12">
        <v>255</v>
      </c>
      <c r="E26" s="2"/>
      <c r="F26" s="21"/>
      <c r="G26" s="21"/>
      <c r="H26" s="2" t="s">
        <v>78</v>
      </c>
      <c r="M26" s="13"/>
      <c r="N26" t="s">
        <v>284</v>
      </c>
    </row>
    <row r="27" spans="1:14" ht="16.5">
      <c r="A27" t="s">
        <v>171</v>
      </c>
      <c r="B27" t="s">
        <v>195</v>
      </c>
      <c r="C27" t="s">
        <v>22</v>
      </c>
      <c r="D27" s="12"/>
      <c r="E27" s="2"/>
      <c r="F27" s="21" t="s">
        <v>417</v>
      </c>
      <c r="G27" s="21"/>
      <c r="H27" s="2" t="s">
        <v>78</v>
      </c>
      <c r="K27" s="2" t="s">
        <v>78</v>
      </c>
      <c r="M27" s="13"/>
      <c r="N27" t="s">
        <v>285</v>
      </c>
    </row>
    <row r="28" spans="1:14" ht="16.5">
      <c r="A28" t="s">
        <v>171</v>
      </c>
      <c r="B28" t="s">
        <v>174</v>
      </c>
      <c r="C28" t="s">
        <v>230</v>
      </c>
      <c r="D28" s="12">
        <v>64</v>
      </c>
      <c r="E28" s="2"/>
      <c r="F28" s="21"/>
      <c r="G28" s="21"/>
      <c r="H28" s="2" t="s">
        <v>78</v>
      </c>
      <c r="M28" s="13" t="s">
        <v>408</v>
      </c>
      <c r="N28" t="s">
        <v>286</v>
      </c>
    </row>
    <row r="29" spans="1:14" ht="16.5">
      <c r="A29" t="s">
        <v>171</v>
      </c>
      <c r="B29" t="s">
        <v>175</v>
      </c>
      <c r="C29" t="s">
        <v>20</v>
      </c>
      <c r="D29" s="12"/>
      <c r="E29" s="2"/>
      <c r="F29" s="21"/>
      <c r="G29" s="21"/>
      <c r="H29" s="2" t="s">
        <v>78</v>
      </c>
      <c r="K29" s="2" t="s">
        <v>78</v>
      </c>
      <c r="M29" s="13" t="s">
        <v>409</v>
      </c>
      <c r="N29" t="s">
        <v>287</v>
      </c>
    </row>
    <row r="30" spans="1:14" ht="16.5">
      <c r="A30" t="s">
        <v>171</v>
      </c>
      <c r="B30" t="s">
        <v>176</v>
      </c>
      <c r="C30" t="s">
        <v>230</v>
      </c>
      <c r="D30" s="12">
        <v>50</v>
      </c>
      <c r="E30" s="2"/>
      <c r="F30" s="21"/>
      <c r="G30" s="21"/>
      <c r="H30" s="2" t="s">
        <v>78</v>
      </c>
      <c r="M30" s="13" t="s">
        <v>410</v>
      </c>
      <c r="N30" t="s">
        <v>288</v>
      </c>
    </row>
    <row r="31" spans="1:14" ht="16.5">
      <c r="A31" t="s">
        <v>171</v>
      </c>
      <c r="B31" t="s">
        <v>177</v>
      </c>
      <c r="C31" t="s">
        <v>17</v>
      </c>
      <c r="D31" s="12"/>
      <c r="E31" s="2"/>
      <c r="F31" s="21"/>
      <c r="G31" s="21"/>
      <c r="H31" s="2" t="s">
        <v>78</v>
      </c>
      <c r="K31" s="2" t="s">
        <v>78</v>
      </c>
      <c r="M31" s="13" t="s">
        <v>411</v>
      </c>
      <c r="N31" t="s">
        <v>289</v>
      </c>
    </row>
    <row r="32" spans="1:14" ht="16.5">
      <c r="A32" t="s">
        <v>171</v>
      </c>
      <c r="B32" t="s">
        <v>178</v>
      </c>
      <c r="C32" t="s">
        <v>17</v>
      </c>
      <c r="D32" s="12"/>
      <c r="E32" s="2"/>
      <c r="F32" s="21"/>
      <c r="G32" s="21"/>
      <c r="H32" s="2" t="s">
        <v>78</v>
      </c>
      <c r="K32" s="2" t="s">
        <v>78</v>
      </c>
      <c r="M32" s="13" t="s">
        <v>412</v>
      </c>
      <c r="N32" t="s">
        <v>290</v>
      </c>
    </row>
    <row r="33" spans="1:14" ht="16.5">
      <c r="A33" t="s">
        <v>171</v>
      </c>
      <c r="B33" t="s">
        <v>179</v>
      </c>
      <c r="C33" t="s">
        <v>17</v>
      </c>
      <c r="D33" s="12"/>
      <c r="E33" s="2"/>
      <c r="F33" s="21"/>
      <c r="G33" s="21"/>
      <c r="H33" s="2" t="s">
        <v>78</v>
      </c>
      <c r="K33" s="2" t="s">
        <v>78</v>
      </c>
      <c r="M33" s="13" t="s">
        <v>412</v>
      </c>
      <c r="N33" t="s">
        <v>291</v>
      </c>
    </row>
    <row r="34" spans="1:14" ht="16.5">
      <c r="A34" t="s">
        <v>171</v>
      </c>
      <c r="B34" t="s">
        <v>180</v>
      </c>
      <c r="C34" t="s">
        <v>17</v>
      </c>
      <c r="D34" s="12"/>
      <c r="E34" s="2"/>
      <c r="F34" s="21"/>
      <c r="G34" s="21"/>
      <c r="H34" s="2" t="s">
        <v>78</v>
      </c>
      <c r="K34" s="2" t="s">
        <v>78</v>
      </c>
      <c r="M34" s="13" t="s">
        <v>412</v>
      </c>
      <c r="N34" t="s">
        <v>292</v>
      </c>
    </row>
    <row r="35" spans="1:14" ht="16.5">
      <c r="A35" t="s">
        <v>171</v>
      </c>
      <c r="B35" t="s">
        <v>181</v>
      </c>
      <c r="C35" t="s">
        <v>17</v>
      </c>
      <c r="D35" s="12"/>
      <c r="E35" s="2"/>
      <c r="F35" s="21"/>
      <c r="G35" s="21"/>
      <c r="H35" s="2" t="s">
        <v>78</v>
      </c>
      <c r="K35" s="2" t="s">
        <v>78</v>
      </c>
      <c r="M35" s="13" t="s">
        <v>412</v>
      </c>
      <c r="N35" t="s">
        <v>293</v>
      </c>
    </row>
    <row r="36" spans="1:14" ht="16.5">
      <c r="A36" t="s">
        <v>171</v>
      </c>
      <c r="B36" t="s">
        <v>182</v>
      </c>
      <c r="C36" t="s">
        <v>17</v>
      </c>
      <c r="D36" s="12"/>
      <c r="E36" s="2"/>
      <c r="F36" s="21"/>
      <c r="G36" s="21"/>
      <c r="H36" s="2" t="s">
        <v>78</v>
      </c>
      <c r="K36" s="2" t="s">
        <v>78</v>
      </c>
      <c r="M36" s="13" t="s">
        <v>413</v>
      </c>
      <c r="N36" t="s">
        <v>294</v>
      </c>
    </row>
    <row r="37" spans="1:14" ht="16.5">
      <c r="A37" t="s">
        <v>171</v>
      </c>
      <c r="B37" t="s">
        <v>183</v>
      </c>
      <c r="C37" t="s">
        <v>17</v>
      </c>
      <c r="D37" s="12"/>
      <c r="E37" s="2"/>
      <c r="F37" s="21"/>
      <c r="G37" s="21"/>
      <c r="H37" s="2" t="s">
        <v>78</v>
      </c>
      <c r="K37" s="2" t="s">
        <v>78</v>
      </c>
      <c r="M37" s="13" t="s">
        <v>413</v>
      </c>
      <c r="N37" t="s">
        <v>295</v>
      </c>
    </row>
    <row r="38" spans="1:14" ht="16.5">
      <c r="A38" t="s">
        <v>171</v>
      </c>
      <c r="B38" t="s">
        <v>184</v>
      </c>
      <c r="C38" t="s">
        <v>17</v>
      </c>
      <c r="D38" s="12"/>
      <c r="E38" s="2"/>
      <c r="F38" s="21"/>
      <c r="G38" s="21"/>
      <c r="H38" s="2" t="s">
        <v>78</v>
      </c>
      <c r="K38" s="2" t="s">
        <v>78</v>
      </c>
      <c r="M38" s="13" t="s">
        <v>413</v>
      </c>
      <c r="N38" t="s">
        <v>296</v>
      </c>
    </row>
    <row r="39" spans="1:14" ht="16.5">
      <c r="A39" t="s">
        <v>171</v>
      </c>
      <c r="B39" t="s">
        <v>217</v>
      </c>
      <c r="C39" t="s">
        <v>17</v>
      </c>
      <c r="D39" s="12"/>
      <c r="E39" s="2"/>
      <c r="F39" s="21" t="s">
        <v>417</v>
      </c>
      <c r="G39" s="21" t="s">
        <v>231</v>
      </c>
      <c r="H39" s="2" t="s">
        <v>78</v>
      </c>
      <c r="K39" s="2" t="s">
        <v>78</v>
      </c>
      <c r="M39" s="13"/>
      <c r="N39" t="s">
        <v>297</v>
      </c>
    </row>
    <row r="40" spans="1:14" ht="16.5">
      <c r="A40" t="s">
        <v>171</v>
      </c>
      <c r="B40" t="s">
        <v>218</v>
      </c>
      <c r="C40" t="s">
        <v>17</v>
      </c>
      <c r="D40" s="12"/>
      <c r="E40" s="2"/>
      <c r="F40" s="21" t="s">
        <v>417</v>
      </c>
      <c r="G40" s="21" t="s">
        <v>231</v>
      </c>
      <c r="H40" s="2" t="s">
        <v>78</v>
      </c>
      <c r="K40" s="2" t="s">
        <v>78</v>
      </c>
      <c r="M40" s="13"/>
      <c r="N40" t="s">
        <v>298</v>
      </c>
    </row>
    <row r="41" spans="1:14" ht="16.5">
      <c r="A41" t="s">
        <v>171</v>
      </c>
      <c r="B41" t="s">
        <v>219</v>
      </c>
      <c r="C41" t="s">
        <v>17</v>
      </c>
      <c r="D41" s="12"/>
      <c r="E41" s="2"/>
      <c r="F41" s="21" t="s">
        <v>417</v>
      </c>
      <c r="G41" s="21" t="s">
        <v>231</v>
      </c>
      <c r="H41" s="2" t="s">
        <v>78</v>
      </c>
      <c r="K41" s="2" t="s">
        <v>78</v>
      </c>
      <c r="M41" s="13"/>
      <c r="N41" t="s">
        <v>299</v>
      </c>
    </row>
    <row r="42" spans="1:14" ht="16.5">
      <c r="A42" t="s">
        <v>171</v>
      </c>
      <c r="B42" t="s">
        <v>242</v>
      </c>
      <c r="C42" t="s">
        <v>17</v>
      </c>
      <c r="D42" s="12"/>
      <c r="E42" s="2"/>
      <c r="F42" s="21" t="s">
        <v>417</v>
      </c>
      <c r="G42" s="21" t="s">
        <v>433</v>
      </c>
      <c r="H42" s="2" t="s">
        <v>78</v>
      </c>
      <c r="K42" s="2" t="s">
        <v>78</v>
      </c>
      <c r="M42" s="13"/>
      <c r="N42" t="s">
        <v>300</v>
      </c>
    </row>
    <row r="43" spans="1:14" ht="16.5">
      <c r="A43" t="s">
        <v>171</v>
      </c>
      <c r="B43" t="s">
        <v>185</v>
      </c>
      <c r="C43" t="s">
        <v>17</v>
      </c>
      <c r="D43" s="12"/>
      <c r="E43" s="2"/>
      <c r="F43" s="21"/>
      <c r="G43" s="21"/>
      <c r="H43" s="2" t="s">
        <v>78</v>
      </c>
      <c r="K43" s="2" t="s">
        <v>78</v>
      </c>
      <c r="M43" s="13" t="s">
        <v>414</v>
      </c>
      <c r="N43" t="s">
        <v>301</v>
      </c>
    </row>
    <row r="44" spans="1:14" ht="16.5">
      <c r="A44" t="s">
        <v>171</v>
      </c>
      <c r="B44" t="s">
        <v>243</v>
      </c>
      <c r="C44" t="s">
        <v>17</v>
      </c>
      <c r="D44" s="12"/>
      <c r="E44" s="2"/>
      <c r="F44" s="21" t="s">
        <v>417</v>
      </c>
      <c r="G44" s="21" t="s">
        <v>231</v>
      </c>
      <c r="H44" s="2" t="s">
        <v>78</v>
      </c>
      <c r="K44" s="2" t="s">
        <v>78</v>
      </c>
      <c r="M44" s="13"/>
      <c r="N44" t="s">
        <v>302</v>
      </c>
    </row>
    <row r="45" spans="1:14" ht="16.5">
      <c r="A45" t="s">
        <v>171</v>
      </c>
      <c r="B45" t="s">
        <v>186</v>
      </c>
      <c r="C45" t="s">
        <v>17</v>
      </c>
      <c r="D45" s="12"/>
      <c r="E45" s="2"/>
      <c r="F45" s="21"/>
      <c r="G45" s="21"/>
      <c r="H45" s="2" t="s">
        <v>78</v>
      </c>
      <c r="K45" s="2" t="s">
        <v>78</v>
      </c>
      <c r="M45" s="13" t="s">
        <v>415</v>
      </c>
      <c r="N45" t="s">
        <v>303</v>
      </c>
    </row>
    <row r="46" spans="1:14" ht="16.5">
      <c r="A46" t="s">
        <v>171</v>
      </c>
      <c r="B46" t="s">
        <v>173</v>
      </c>
      <c r="C46" t="s">
        <v>76</v>
      </c>
      <c r="D46" s="12" t="s">
        <v>376</v>
      </c>
      <c r="E46" s="2"/>
      <c r="F46" s="21"/>
      <c r="G46" s="21"/>
      <c r="H46" s="2" t="s">
        <v>78</v>
      </c>
      <c r="M46" s="13"/>
      <c r="N46" t="s">
        <v>304</v>
      </c>
    </row>
    <row r="47" spans="1:14" ht="16.5">
      <c r="A47" t="s">
        <v>216</v>
      </c>
      <c r="B47" t="s">
        <v>8</v>
      </c>
      <c r="C47" t="s">
        <v>22</v>
      </c>
      <c r="D47" s="12"/>
      <c r="E47" s="2"/>
      <c r="F47" s="21" t="s">
        <v>416</v>
      </c>
      <c r="G47" s="21"/>
      <c r="J47" s="2" t="s">
        <v>78</v>
      </c>
      <c r="K47" s="2" t="s">
        <v>78</v>
      </c>
      <c r="M47" s="13"/>
      <c r="N47" t="s">
        <v>305</v>
      </c>
    </row>
    <row r="48" spans="1:14" ht="16.5">
      <c r="A48" t="s">
        <v>216</v>
      </c>
      <c r="B48" t="s">
        <v>172</v>
      </c>
      <c r="C48" t="s">
        <v>230</v>
      </c>
      <c r="D48" s="12">
        <v>255</v>
      </c>
      <c r="E48" s="2"/>
      <c r="F48" s="21"/>
      <c r="G48" s="21"/>
      <c r="H48" s="2" t="s">
        <v>78</v>
      </c>
      <c r="I48" s="2" t="s">
        <v>77</v>
      </c>
      <c r="M48" s="13"/>
      <c r="N48" t="s">
        <v>306</v>
      </c>
    </row>
    <row r="49" spans="1:14" ht="16.5">
      <c r="A49" t="s">
        <v>214</v>
      </c>
      <c r="B49" t="s">
        <v>8</v>
      </c>
      <c r="C49" t="s">
        <v>22</v>
      </c>
      <c r="D49" s="12"/>
      <c r="E49" s="2"/>
      <c r="F49" s="21" t="s">
        <v>416</v>
      </c>
      <c r="G49" s="21"/>
      <c r="J49" s="2" t="s">
        <v>78</v>
      </c>
      <c r="K49" s="2" t="s">
        <v>78</v>
      </c>
      <c r="M49" s="13"/>
      <c r="N49" t="s">
        <v>307</v>
      </c>
    </row>
    <row r="50" spans="1:14" ht="16.5">
      <c r="A50" t="s">
        <v>214</v>
      </c>
      <c r="B50" t="s">
        <v>172</v>
      </c>
      <c r="C50" t="s">
        <v>230</v>
      </c>
      <c r="D50" s="12">
        <v>255</v>
      </c>
      <c r="E50" s="2"/>
      <c r="F50" s="21"/>
      <c r="G50" s="21"/>
      <c r="H50" s="2" t="s">
        <v>78</v>
      </c>
      <c r="I50" s="2" t="s">
        <v>77</v>
      </c>
      <c r="M50" s="13"/>
      <c r="N50" t="s">
        <v>308</v>
      </c>
    </row>
    <row r="51" spans="1:14" ht="16.5">
      <c r="A51" t="s">
        <v>214</v>
      </c>
      <c r="B51" t="s">
        <v>16</v>
      </c>
      <c r="C51" t="s">
        <v>73</v>
      </c>
      <c r="D51" s="12" t="s">
        <v>377</v>
      </c>
      <c r="E51" s="2"/>
      <c r="F51" s="21"/>
      <c r="G51" s="21"/>
      <c r="H51" s="2" t="s">
        <v>78</v>
      </c>
      <c r="I51" s="2" t="s">
        <v>77</v>
      </c>
      <c r="M51" s="13"/>
      <c r="N51" t="s">
        <v>309</v>
      </c>
    </row>
    <row r="52" spans="1:14" ht="16.5">
      <c r="A52" t="s">
        <v>214</v>
      </c>
      <c r="B52" t="s">
        <v>215</v>
      </c>
      <c r="C52" t="s">
        <v>17</v>
      </c>
      <c r="D52" s="12"/>
      <c r="E52" s="2"/>
      <c r="F52" s="21"/>
      <c r="G52" s="21"/>
      <c r="H52" s="2" t="s">
        <v>78</v>
      </c>
      <c r="I52" s="2" t="s">
        <v>77</v>
      </c>
      <c r="K52" s="2" t="s">
        <v>78</v>
      </c>
      <c r="M52" s="13" t="s">
        <v>419</v>
      </c>
      <c r="N52" t="s">
        <v>310</v>
      </c>
    </row>
    <row r="53" spans="1:14" ht="16.5">
      <c r="A53" t="s">
        <v>7</v>
      </c>
      <c r="B53" t="s">
        <v>8</v>
      </c>
      <c r="C53" t="s">
        <v>22</v>
      </c>
      <c r="D53" s="12"/>
      <c r="E53" s="2"/>
      <c r="F53" s="21" t="s">
        <v>416</v>
      </c>
      <c r="G53" s="21"/>
      <c r="J53" s="2" t="s">
        <v>78</v>
      </c>
      <c r="K53" s="2" t="s">
        <v>78</v>
      </c>
      <c r="M53" s="13"/>
      <c r="N53" t="s">
        <v>311</v>
      </c>
    </row>
    <row r="54" spans="1:14" ht="16.5">
      <c r="A54" t="s">
        <v>7</v>
      </c>
      <c r="B54" t="s">
        <v>9</v>
      </c>
      <c r="C54" t="s">
        <v>22</v>
      </c>
      <c r="D54" s="12"/>
      <c r="E54" s="2"/>
      <c r="F54" s="21" t="s">
        <v>417</v>
      </c>
      <c r="G54" s="21"/>
      <c r="H54" s="2" t="s">
        <v>78</v>
      </c>
      <c r="I54" s="2" t="s">
        <v>77</v>
      </c>
      <c r="K54" s="2" t="s">
        <v>78</v>
      </c>
      <c r="M54" s="13"/>
      <c r="N54" t="s">
        <v>312</v>
      </c>
    </row>
    <row r="55" spans="1:14" ht="16.5">
      <c r="A55" t="s">
        <v>7</v>
      </c>
      <c r="B55" t="s">
        <v>421</v>
      </c>
      <c r="C55" t="s">
        <v>22</v>
      </c>
      <c r="D55" s="12"/>
      <c r="E55" s="2"/>
      <c r="F55" s="21" t="s">
        <v>417</v>
      </c>
      <c r="G55" s="21"/>
      <c r="H55" s="2" t="s">
        <v>78</v>
      </c>
      <c r="I55" s="2" t="s">
        <v>77</v>
      </c>
      <c r="K55" s="2" t="s">
        <v>78</v>
      </c>
      <c r="M55" s="13"/>
      <c r="N55" t="s">
        <v>313</v>
      </c>
    </row>
    <row r="56" spans="1:14" ht="16.5">
      <c r="A56" t="s">
        <v>7</v>
      </c>
      <c r="B56" t="s">
        <v>10</v>
      </c>
      <c r="C56" t="s">
        <v>22</v>
      </c>
      <c r="D56" s="12"/>
      <c r="E56" s="2"/>
      <c r="F56" s="21"/>
      <c r="G56" s="21"/>
      <c r="H56" s="2" t="s">
        <v>78</v>
      </c>
      <c r="I56" s="2" t="s">
        <v>77</v>
      </c>
      <c r="K56" s="2" t="s">
        <v>77</v>
      </c>
      <c r="M56" s="13" t="s">
        <v>422</v>
      </c>
      <c r="N56" t="s">
        <v>314</v>
      </c>
    </row>
    <row r="57" spans="1:14" ht="16.5">
      <c r="A57" t="s">
        <v>7</v>
      </c>
      <c r="B57" t="s">
        <v>13</v>
      </c>
      <c r="C57" t="s">
        <v>45</v>
      </c>
      <c r="D57" s="12"/>
      <c r="E57" s="2"/>
      <c r="F57" s="21"/>
      <c r="G57" s="21"/>
      <c r="H57" s="2" t="s">
        <v>78</v>
      </c>
      <c r="M57" s="13" t="s">
        <v>426</v>
      </c>
      <c r="N57" t="s">
        <v>315</v>
      </c>
    </row>
    <row r="58" spans="1:14" ht="16.5">
      <c r="A58" t="s">
        <v>7</v>
      </c>
      <c r="B58" t="s">
        <v>244</v>
      </c>
      <c r="C58" t="s">
        <v>72</v>
      </c>
      <c r="D58" s="12"/>
      <c r="E58" s="2"/>
      <c r="F58" s="21"/>
      <c r="G58" s="21"/>
      <c r="H58" s="2" t="s">
        <v>78</v>
      </c>
      <c r="M58" s="13"/>
      <c r="N58" t="s">
        <v>316</v>
      </c>
    </row>
    <row r="59" spans="1:14" ht="16.5">
      <c r="A59" t="s">
        <v>7</v>
      </c>
      <c r="B59" t="s">
        <v>12</v>
      </c>
      <c r="C59" t="s">
        <v>73</v>
      </c>
      <c r="D59" s="12" t="s">
        <v>378</v>
      </c>
      <c r="E59" s="2" t="s">
        <v>79</v>
      </c>
      <c r="F59" s="21"/>
      <c r="G59" s="21"/>
      <c r="H59" s="2" t="s">
        <v>78</v>
      </c>
      <c r="M59" s="13"/>
      <c r="N59" t="s">
        <v>317</v>
      </c>
    </row>
    <row r="60" spans="1:14" ht="16.5">
      <c r="A60" t="s">
        <v>245</v>
      </c>
      <c r="B60" t="s">
        <v>8</v>
      </c>
      <c r="C60" t="s">
        <v>22</v>
      </c>
      <c r="D60" s="12"/>
      <c r="E60" s="2"/>
      <c r="F60" s="21" t="s">
        <v>416</v>
      </c>
      <c r="G60" s="21"/>
      <c r="J60" s="2" t="s">
        <v>78</v>
      </c>
      <c r="K60" s="2" t="s">
        <v>78</v>
      </c>
      <c r="M60" s="13"/>
      <c r="N60" t="s">
        <v>318</v>
      </c>
    </row>
    <row r="61" spans="1:14" ht="16.5">
      <c r="A61" t="s">
        <v>245</v>
      </c>
      <c r="B61" t="s">
        <v>172</v>
      </c>
      <c r="C61" t="s">
        <v>230</v>
      </c>
      <c r="D61" s="12">
        <v>64</v>
      </c>
      <c r="E61" s="2"/>
      <c r="F61" s="21"/>
      <c r="G61" s="21"/>
      <c r="H61" s="2" t="s">
        <v>78</v>
      </c>
      <c r="I61" s="2" t="s">
        <v>77</v>
      </c>
      <c r="M61" s="13" t="s">
        <v>420</v>
      </c>
      <c r="N61" t="s">
        <v>319</v>
      </c>
    </row>
    <row r="62" spans="1:14" ht="16.5">
      <c r="A62" t="s">
        <v>162</v>
      </c>
      <c r="B62" t="s">
        <v>8</v>
      </c>
      <c r="C62" t="s">
        <v>22</v>
      </c>
      <c r="D62" s="12"/>
      <c r="E62" s="2"/>
      <c r="F62" s="21" t="s">
        <v>416</v>
      </c>
      <c r="G62" s="21"/>
      <c r="J62" s="2" t="s">
        <v>78</v>
      </c>
      <c r="K62" s="2" t="s">
        <v>78</v>
      </c>
      <c r="M62" s="13"/>
      <c r="N62" t="s">
        <v>320</v>
      </c>
    </row>
    <row r="63" spans="1:14" ht="16.5">
      <c r="A63" t="s">
        <v>162</v>
      </c>
      <c r="B63" t="s">
        <v>161</v>
      </c>
      <c r="C63" t="s">
        <v>22</v>
      </c>
      <c r="D63" s="12"/>
      <c r="E63" s="2"/>
      <c r="F63" s="21" t="s">
        <v>417</v>
      </c>
      <c r="G63" s="21"/>
      <c r="H63" s="2" t="s">
        <v>78</v>
      </c>
      <c r="I63" s="2" t="s">
        <v>77</v>
      </c>
      <c r="K63" s="2" t="s">
        <v>78</v>
      </c>
      <c r="M63" s="13"/>
      <c r="N63" t="s">
        <v>321</v>
      </c>
    </row>
    <row r="64" spans="1:14" ht="16.5">
      <c r="A64" t="s">
        <v>162</v>
      </c>
      <c r="B64" t="s">
        <v>423</v>
      </c>
      <c r="C64" t="s">
        <v>22</v>
      </c>
      <c r="D64" s="12"/>
      <c r="E64" s="2"/>
      <c r="F64" s="21"/>
      <c r="G64" s="21"/>
      <c r="H64" s="2" t="s">
        <v>78</v>
      </c>
      <c r="I64" s="2" t="s">
        <v>77</v>
      </c>
      <c r="K64" s="2" t="s">
        <v>78</v>
      </c>
      <c r="M64" s="13" t="s">
        <v>424</v>
      </c>
      <c r="N64" t="s">
        <v>322</v>
      </c>
    </row>
    <row r="65" spans="1:14" ht="16.5">
      <c r="A65" t="s">
        <v>162</v>
      </c>
      <c r="B65" t="s">
        <v>163</v>
      </c>
      <c r="C65" t="s">
        <v>45</v>
      </c>
      <c r="D65" s="12"/>
      <c r="E65" s="2"/>
      <c r="F65" s="21"/>
      <c r="G65" s="21"/>
      <c r="H65" s="2" t="s">
        <v>78</v>
      </c>
      <c r="I65" s="2" t="s">
        <v>77</v>
      </c>
      <c r="M65" s="13" t="s">
        <v>425</v>
      </c>
      <c r="N65" t="s">
        <v>323</v>
      </c>
    </row>
    <row r="66" spans="1:14" ht="16.5">
      <c r="A66" t="s">
        <v>246</v>
      </c>
      <c r="B66" t="s">
        <v>8</v>
      </c>
      <c r="C66" t="s">
        <v>22</v>
      </c>
      <c r="D66" s="12"/>
      <c r="E66" s="2"/>
      <c r="F66" s="21" t="s">
        <v>416</v>
      </c>
      <c r="G66" s="21"/>
      <c r="J66" s="2" t="s">
        <v>78</v>
      </c>
      <c r="K66" s="2" t="s">
        <v>78</v>
      </c>
      <c r="M66" s="13"/>
      <c r="N66" t="s">
        <v>324</v>
      </c>
    </row>
    <row r="67" spans="1:14" ht="16.5">
      <c r="A67" t="s">
        <v>246</v>
      </c>
      <c r="B67" t="s">
        <v>160</v>
      </c>
      <c r="C67" t="s">
        <v>22</v>
      </c>
      <c r="D67" s="12"/>
      <c r="E67" s="2"/>
      <c r="F67" s="21" t="s">
        <v>417</v>
      </c>
      <c r="G67" s="21"/>
      <c r="H67" s="2" t="s">
        <v>78</v>
      </c>
      <c r="I67" s="2" t="s">
        <v>77</v>
      </c>
      <c r="K67" s="2" t="s">
        <v>78</v>
      </c>
      <c r="M67" s="13"/>
      <c r="N67" t="s">
        <v>325</v>
      </c>
    </row>
    <row r="68" spans="1:14" ht="16.5">
      <c r="A68" t="s">
        <v>246</v>
      </c>
      <c r="B68" t="s">
        <v>161</v>
      </c>
      <c r="C68" t="s">
        <v>22</v>
      </c>
      <c r="D68" s="12"/>
      <c r="E68" s="2"/>
      <c r="F68" s="21" t="s">
        <v>417</v>
      </c>
      <c r="G68" s="21"/>
      <c r="H68" s="2" t="s">
        <v>78</v>
      </c>
      <c r="I68" s="2" t="s">
        <v>77</v>
      </c>
      <c r="K68" s="2" t="s">
        <v>78</v>
      </c>
      <c r="M68" s="13"/>
      <c r="N68" t="s">
        <v>326</v>
      </c>
    </row>
    <row r="69" spans="1:14" ht="16.5">
      <c r="A69" t="s">
        <v>246</v>
      </c>
      <c r="B69" t="s">
        <v>10</v>
      </c>
      <c r="C69" t="s">
        <v>22</v>
      </c>
      <c r="D69" s="12"/>
      <c r="E69" s="2"/>
      <c r="F69" s="21"/>
      <c r="G69" s="21"/>
      <c r="H69" s="2" t="s">
        <v>78</v>
      </c>
      <c r="I69" s="2" t="s">
        <v>77</v>
      </c>
      <c r="K69" s="2" t="s">
        <v>78</v>
      </c>
      <c r="M69" s="13" t="s">
        <v>427</v>
      </c>
      <c r="N69" t="s">
        <v>327</v>
      </c>
    </row>
    <row r="70" spans="1:14" ht="16.5">
      <c r="A70" t="s">
        <v>164</v>
      </c>
      <c r="B70" t="s">
        <v>8</v>
      </c>
      <c r="C70" t="s">
        <v>22</v>
      </c>
      <c r="D70" s="12"/>
      <c r="E70" s="2"/>
      <c r="F70" s="21" t="s">
        <v>416</v>
      </c>
      <c r="G70" s="21"/>
      <c r="J70" s="2" t="s">
        <v>78</v>
      </c>
      <c r="K70" s="2" t="s">
        <v>78</v>
      </c>
      <c r="M70" s="13"/>
      <c r="N70" t="s">
        <v>328</v>
      </c>
    </row>
    <row r="71" spans="1:14" ht="16.5">
      <c r="A71" t="s">
        <v>164</v>
      </c>
      <c r="B71" t="s">
        <v>9</v>
      </c>
      <c r="C71" t="s">
        <v>22</v>
      </c>
      <c r="D71" s="12"/>
      <c r="E71" s="2"/>
      <c r="F71" s="21" t="s">
        <v>417</v>
      </c>
      <c r="G71" s="21"/>
      <c r="H71" s="2" t="s">
        <v>78</v>
      </c>
      <c r="I71" s="2" t="s">
        <v>77</v>
      </c>
      <c r="K71" s="2" t="s">
        <v>78</v>
      </c>
      <c r="M71" s="13"/>
      <c r="N71" t="s">
        <v>329</v>
      </c>
    </row>
    <row r="72" spans="1:14" ht="16.5">
      <c r="A72" t="s">
        <v>164</v>
      </c>
      <c r="B72" t="s">
        <v>46</v>
      </c>
      <c r="C72" t="s">
        <v>45</v>
      </c>
      <c r="D72" s="12"/>
      <c r="E72" s="2"/>
      <c r="F72" s="21"/>
      <c r="G72" s="21"/>
      <c r="H72" s="2" t="s">
        <v>78</v>
      </c>
      <c r="I72" s="2" t="s">
        <v>77</v>
      </c>
      <c r="M72" s="13"/>
      <c r="N72" t="s">
        <v>330</v>
      </c>
    </row>
    <row r="73" spans="1:14" ht="16.5">
      <c r="A73" t="s">
        <v>164</v>
      </c>
      <c r="B73" t="s">
        <v>10</v>
      </c>
      <c r="C73" t="s">
        <v>22</v>
      </c>
      <c r="D73" s="12"/>
      <c r="E73" s="2"/>
      <c r="F73" s="21"/>
      <c r="G73" s="21"/>
      <c r="H73" s="2" t="s">
        <v>78</v>
      </c>
      <c r="I73" s="2" t="s">
        <v>77</v>
      </c>
      <c r="K73" s="2" t="s">
        <v>78</v>
      </c>
      <c r="M73" s="13" t="s">
        <v>427</v>
      </c>
      <c r="N73" t="s">
        <v>331</v>
      </c>
    </row>
    <row r="74" spans="1:14" ht="16.5">
      <c r="A74" t="s">
        <v>165</v>
      </c>
      <c r="B74" t="s">
        <v>8</v>
      </c>
      <c r="C74" t="s">
        <v>22</v>
      </c>
      <c r="D74" s="12"/>
      <c r="E74" s="2"/>
      <c r="F74" s="21" t="s">
        <v>416</v>
      </c>
      <c r="G74" s="21"/>
      <c r="J74" s="2" t="s">
        <v>78</v>
      </c>
      <c r="K74" s="2" t="s">
        <v>78</v>
      </c>
      <c r="M74" s="13"/>
      <c r="N74" t="s">
        <v>332</v>
      </c>
    </row>
    <row r="75" spans="1:14" ht="16.5">
      <c r="A75" t="s">
        <v>165</v>
      </c>
      <c r="B75" t="s">
        <v>161</v>
      </c>
      <c r="C75" t="s">
        <v>22</v>
      </c>
      <c r="D75" s="12"/>
      <c r="E75" s="2"/>
      <c r="F75" s="21" t="s">
        <v>417</v>
      </c>
      <c r="G75" s="21"/>
      <c r="H75" s="2" t="s">
        <v>78</v>
      </c>
      <c r="I75" s="2" t="s">
        <v>77</v>
      </c>
      <c r="K75" s="2" t="s">
        <v>78</v>
      </c>
      <c r="M75" s="13"/>
      <c r="N75" t="s">
        <v>333</v>
      </c>
    </row>
    <row r="76" spans="1:14" ht="16.5">
      <c r="A76" t="s">
        <v>165</v>
      </c>
      <c r="B76" t="s">
        <v>10</v>
      </c>
      <c r="C76" t="s">
        <v>22</v>
      </c>
      <c r="D76" s="12"/>
      <c r="E76" s="2"/>
      <c r="F76" s="21"/>
      <c r="G76" s="21"/>
      <c r="H76" s="2" t="s">
        <v>78</v>
      </c>
      <c r="I76" s="2" t="s">
        <v>77</v>
      </c>
      <c r="K76" s="2" t="s">
        <v>77</v>
      </c>
      <c r="M76" s="13" t="s">
        <v>428</v>
      </c>
      <c r="N76" t="s">
        <v>334</v>
      </c>
    </row>
    <row r="77" spans="1:14" ht="16.5">
      <c r="A77" t="s">
        <v>165</v>
      </c>
      <c r="B77" t="s">
        <v>166</v>
      </c>
      <c r="C77" t="s">
        <v>22</v>
      </c>
      <c r="D77" s="12"/>
      <c r="E77" s="2"/>
      <c r="F77" s="21"/>
      <c r="G77" s="21"/>
      <c r="H77" s="2" t="s">
        <v>78</v>
      </c>
      <c r="I77" s="2" t="s">
        <v>77</v>
      </c>
      <c r="K77" s="2" t="s">
        <v>78</v>
      </c>
      <c r="M77" s="13" t="s">
        <v>429</v>
      </c>
      <c r="N77" t="s">
        <v>335</v>
      </c>
    </row>
    <row r="78" spans="1:14" ht="16.5">
      <c r="A78" t="s">
        <v>165</v>
      </c>
      <c r="B78" t="s">
        <v>167</v>
      </c>
      <c r="C78" t="s">
        <v>50</v>
      </c>
      <c r="D78" s="12"/>
      <c r="E78" s="2"/>
      <c r="F78" s="21"/>
      <c r="G78" s="21"/>
      <c r="M78" s="13"/>
      <c r="N78" t="s">
        <v>336</v>
      </c>
    </row>
    <row r="79" spans="1:14" ht="16.5">
      <c r="A79" t="s">
        <v>165</v>
      </c>
      <c r="B79" t="s">
        <v>168</v>
      </c>
      <c r="C79" t="s">
        <v>45</v>
      </c>
      <c r="D79" s="12"/>
      <c r="E79" s="2"/>
      <c r="F79" s="21"/>
      <c r="G79" s="21"/>
      <c r="H79" s="2" t="s">
        <v>78</v>
      </c>
      <c r="M79" s="13"/>
      <c r="N79" t="s">
        <v>337</v>
      </c>
    </row>
    <row r="80" spans="1:14" ht="16.5">
      <c r="A80" t="s">
        <v>169</v>
      </c>
      <c r="B80" t="s">
        <v>8</v>
      </c>
      <c r="C80" t="s">
        <v>22</v>
      </c>
      <c r="D80" s="12"/>
      <c r="E80" s="2"/>
      <c r="F80" s="21" t="s">
        <v>416</v>
      </c>
      <c r="G80" s="21"/>
      <c r="J80" s="2" t="s">
        <v>78</v>
      </c>
      <c r="K80" s="2" t="s">
        <v>78</v>
      </c>
      <c r="M80" s="13"/>
      <c r="N80" t="s">
        <v>338</v>
      </c>
    </row>
    <row r="81" spans="1:14" ht="16.5">
      <c r="A81" t="s">
        <v>169</v>
      </c>
      <c r="B81" t="s">
        <v>170</v>
      </c>
      <c r="C81" t="s">
        <v>22</v>
      </c>
      <c r="D81" s="12"/>
      <c r="E81" s="2"/>
      <c r="F81" s="21" t="s">
        <v>417</v>
      </c>
      <c r="G81" s="21"/>
      <c r="H81" s="2" t="s">
        <v>78</v>
      </c>
      <c r="I81" s="2" t="s">
        <v>77</v>
      </c>
      <c r="K81" s="2" t="s">
        <v>78</v>
      </c>
      <c r="M81" s="13"/>
      <c r="N81" t="s">
        <v>339</v>
      </c>
    </row>
    <row r="82" spans="1:14" ht="16.5">
      <c r="A82" t="s">
        <v>169</v>
      </c>
      <c r="B82" t="s">
        <v>10</v>
      </c>
      <c r="C82" t="s">
        <v>20</v>
      </c>
      <c r="D82" s="12"/>
      <c r="E82" s="2"/>
      <c r="F82" s="21"/>
      <c r="G82" s="21"/>
      <c r="H82" s="2" t="s">
        <v>78</v>
      </c>
      <c r="I82" s="2" t="s">
        <v>77</v>
      </c>
      <c r="K82" s="2" t="s">
        <v>77</v>
      </c>
      <c r="M82" s="13" t="s">
        <v>429</v>
      </c>
      <c r="N82" t="s">
        <v>340</v>
      </c>
    </row>
    <row r="83" spans="1:14" ht="16.5">
      <c r="A83" t="s">
        <v>169</v>
      </c>
      <c r="B83" t="s">
        <v>167</v>
      </c>
      <c r="C83" t="s">
        <v>50</v>
      </c>
      <c r="D83" s="12"/>
      <c r="E83" s="2"/>
      <c r="F83" s="21"/>
      <c r="G83" s="21"/>
      <c r="M83" s="13"/>
      <c r="N83" t="s">
        <v>341</v>
      </c>
    </row>
    <row r="84" spans="1:14" ht="16.5">
      <c r="A84" t="s">
        <v>187</v>
      </c>
      <c r="B84" t="s">
        <v>8</v>
      </c>
      <c r="C84" t="s">
        <v>22</v>
      </c>
      <c r="D84" s="12"/>
      <c r="E84" s="2"/>
      <c r="F84" s="21" t="s">
        <v>416</v>
      </c>
      <c r="G84" s="21"/>
      <c r="J84" s="2" t="s">
        <v>78</v>
      </c>
      <c r="K84" s="2" t="s">
        <v>78</v>
      </c>
      <c r="M84" s="13"/>
      <c r="N84" t="s">
        <v>342</v>
      </c>
    </row>
    <row r="85" spans="1:14" ht="16.5">
      <c r="A85" t="s">
        <v>187</v>
      </c>
      <c r="B85" t="s">
        <v>205</v>
      </c>
      <c r="C85" t="s">
        <v>22</v>
      </c>
      <c r="D85" s="12"/>
      <c r="E85" s="2"/>
      <c r="F85" s="21" t="s">
        <v>417</v>
      </c>
      <c r="G85" s="21"/>
      <c r="H85" s="2" t="s">
        <v>78</v>
      </c>
      <c r="I85" s="2" t="s">
        <v>77</v>
      </c>
      <c r="K85" s="2" t="s">
        <v>78</v>
      </c>
      <c r="M85" s="13"/>
      <c r="N85" t="s">
        <v>343</v>
      </c>
    </row>
    <row r="86" spans="1:14" ht="16.5">
      <c r="A86" t="s">
        <v>187</v>
      </c>
      <c r="B86" t="s">
        <v>224</v>
      </c>
      <c r="C86" t="s">
        <v>17</v>
      </c>
      <c r="D86" s="12"/>
      <c r="E86" s="2"/>
      <c r="F86" s="21" t="s">
        <v>417</v>
      </c>
      <c r="G86" s="21"/>
      <c r="H86" s="2" t="s">
        <v>78</v>
      </c>
      <c r="I86" s="2" t="s">
        <v>77</v>
      </c>
      <c r="K86" s="2" t="s">
        <v>78</v>
      </c>
      <c r="M86" s="13"/>
      <c r="N86" t="s">
        <v>344</v>
      </c>
    </row>
    <row r="87" spans="1:14" ht="16.5">
      <c r="A87" t="s">
        <v>187</v>
      </c>
      <c r="B87" t="s">
        <v>225</v>
      </c>
      <c r="C87" t="s">
        <v>17</v>
      </c>
      <c r="D87" s="12"/>
      <c r="E87" s="2"/>
      <c r="F87" s="21" t="s">
        <v>417</v>
      </c>
      <c r="G87" s="21"/>
      <c r="H87" s="2" t="s">
        <v>78</v>
      </c>
      <c r="K87" s="2" t="s">
        <v>78</v>
      </c>
      <c r="M87" s="13"/>
      <c r="N87" t="s">
        <v>345</v>
      </c>
    </row>
    <row r="88" spans="1:14" ht="16.5">
      <c r="A88" t="s">
        <v>187</v>
      </c>
      <c r="B88" t="s">
        <v>228</v>
      </c>
      <c r="C88" t="s">
        <v>20</v>
      </c>
      <c r="D88" s="12">
        <v>50</v>
      </c>
      <c r="E88" s="2"/>
      <c r="F88" s="21"/>
      <c r="G88" s="21"/>
      <c r="H88" s="2" t="s">
        <v>78</v>
      </c>
      <c r="I88" s="2" t="s">
        <v>77</v>
      </c>
      <c r="K88" s="2" t="s">
        <v>78</v>
      </c>
      <c r="L88" s="2" t="s">
        <v>78</v>
      </c>
      <c r="M88" s="13" t="s">
        <v>430</v>
      </c>
      <c r="N88" t="s">
        <v>346</v>
      </c>
    </row>
    <row r="89" spans="1:14" ht="16.5">
      <c r="A89" t="s">
        <v>187</v>
      </c>
      <c r="B89" t="s">
        <v>226</v>
      </c>
      <c r="C89" t="s">
        <v>45</v>
      </c>
      <c r="D89" s="12"/>
      <c r="E89" s="2"/>
      <c r="F89" s="21"/>
      <c r="G89" s="21"/>
      <c r="H89" s="2" t="s">
        <v>78</v>
      </c>
      <c r="M89" s="13"/>
      <c r="N89" t="s">
        <v>347</v>
      </c>
    </row>
    <row r="90" spans="1:14" ht="16.5">
      <c r="A90" t="s">
        <v>227</v>
      </c>
      <c r="B90" t="s">
        <v>8</v>
      </c>
      <c r="C90" t="s">
        <v>17</v>
      </c>
      <c r="D90" s="12"/>
      <c r="E90" s="2"/>
      <c r="F90" s="21" t="s">
        <v>416</v>
      </c>
      <c r="G90" s="21"/>
      <c r="J90" s="2" t="s">
        <v>78</v>
      </c>
      <c r="K90" s="2" t="s">
        <v>78</v>
      </c>
      <c r="M90" s="13"/>
      <c r="N90" t="s">
        <v>348</v>
      </c>
    </row>
    <row r="91" spans="1:14" ht="16.5">
      <c r="A91" t="s">
        <v>227</v>
      </c>
      <c r="B91" t="s">
        <v>172</v>
      </c>
      <c r="C91" t="s">
        <v>230</v>
      </c>
      <c r="D91" s="12">
        <v>255</v>
      </c>
      <c r="E91" s="2"/>
      <c r="F91" s="21"/>
      <c r="G91" s="21"/>
      <c r="H91" s="2" t="s">
        <v>78</v>
      </c>
      <c r="I91" s="2" t="s">
        <v>77</v>
      </c>
      <c r="M91" s="13"/>
      <c r="N91" t="s">
        <v>349</v>
      </c>
    </row>
    <row r="92" spans="1:14" ht="16.5">
      <c r="A92" t="s">
        <v>229</v>
      </c>
      <c r="B92" t="s">
        <v>8</v>
      </c>
      <c r="C92" t="s">
        <v>17</v>
      </c>
      <c r="D92" s="12"/>
      <c r="E92" s="2"/>
      <c r="F92" s="21" t="s">
        <v>416</v>
      </c>
      <c r="G92" s="21"/>
      <c r="J92" s="2" t="s">
        <v>78</v>
      </c>
      <c r="K92" s="2" t="s">
        <v>78</v>
      </c>
      <c r="M92" s="13"/>
      <c r="N92" t="s">
        <v>350</v>
      </c>
    </row>
    <row r="93" spans="1:14" ht="16.5">
      <c r="A93" t="s">
        <v>229</v>
      </c>
      <c r="B93" t="s">
        <v>224</v>
      </c>
      <c r="C93" t="s">
        <v>17</v>
      </c>
      <c r="D93" s="12"/>
      <c r="E93" s="2"/>
      <c r="F93" s="21" t="s">
        <v>417</v>
      </c>
      <c r="G93" s="21"/>
      <c r="H93" s="2" t="s">
        <v>78</v>
      </c>
      <c r="I93" s="2" t="s">
        <v>77</v>
      </c>
      <c r="K93" s="2" t="s">
        <v>78</v>
      </c>
      <c r="M93" s="13"/>
      <c r="N93" t="s">
        <v>351</v>
      </c>
    </row>
    <row r="94" spans="1:14" ht="16.5">
      <c r="A94" t="s">
        <v>229</v>
      </c>
      <c r="B94" t="s">
        <v>172</v>
      </c>
      <c r="C94" t="s">
        <v>230</v>
      </c>
      <c r="D94" s="12">
        <v>255</v>
      </c>
      <c r="E94" s="2"/>
      <c r="F94" s="21"/>
      <c r="G94" s="21"/>
      <c r="H94" s="2" t="s">
        <v>78</v>
      </c>
      <c r="I94" s="2" t="s">
        <v>77</v>
      </c>
      <c r="M94" s="13"/>
      <c r="N94" t="s">
        <v>352</v>
      </c>
    </row>
    <row r="95" spans="1:14" ht="16.5">
      <c r="A95" t="s">
        <v>194</v>
      </c>
      <c r="B95" t="s">
        <v>8</v>
      </c>
      <c r="C95" t="s">
        <v>22</v>
      </c>
      <c r="D95" s="12"/>
      <c r="E95" s="2"/>
      <c r="F95" s="21" t="s">
        <v>416</v>
      </c>
      <c r="G95" s="21"/>
      <c r="J95" s="2" t="s">
        <v>78</v>
      </c>
      <c r="K95" s="2" t="s">
        <v>78</v>
      </c>
      <c r="M95" s="13"/>
      <c r="N95" t="s">
        <v>353</v>
      </c>
    </row>
    <row r="96" spans="1:14" ht="16.5">
      <c r="A96" t="s">
        <v>194</v>
      </c>
      <c r="B96" t="s">
        <v>172</v>
      </c>
      <c r="C96" t="s">
        <v>230</v>
      </c>
      <c r="D96" s="12">
        <v>255</v>
      </c>
      <c r="E96" s="2"/>
      <c r="F96" s="21"/>
      <c r="G96" s="21"/>
      <c r="H96" s="2" t="s">
        <v>78</v>
      </c>
      <c r="I96" s="2" t="s">
        <v>77</v>
      </c>
      <c r="M96" s="13"/>
      <c r="N96" t="s">
        <v>354</v>
      </c>
    </row>
    <row r="97" spans="1:14" ht="16.5">
      <c r="A97" t="s">
        <v>194</v>
      </c>
      <c r="B97" t="s">
        <v>202</v>
      </c>
      <c r="C97" t="s">
        <v>230</v>
      </c>
      <c r="D97" s="12">
        <v>255</v>
      </c>
      <c r="E97" s="2"/>
      <c r="F97" s="21"/>
      <c r="G97" s="21"/>
      <c r="H97" s="2" t="s">
        <v>78</v>
      </c>
      <c r="L97" s="2" t="s">
        <v>78</v>
      </c>
      <c r="M97" s="13"/>
      <c r="N97" t="s">
        <v>355</v>
      </c>
    </row>
    <row r="98" spans="1:14" ht="16.5">
      <c r="A98" t="s">
        <v>197</v>
      </c>
      <c r="B98" t="s">
        <v>8</v>
      </c>
      <c r="C98" t="s">
        <v>22</v>
      </c>
      <c r="D98" s="12"/>
      <c r="E98" s="2"/>
      <c r="F98" s="21" t="s">
        <v>416</v>
      </c>
      <c r="G98" s="21"/>
      <c r="J98" s="2" t="s">
        <v>78</v>
      </c>
      <c r="K98" s="2" t="s">
        <v>78</v>
      </c>
      <c r="M98" s="13"/>
      <c r="N98" t="s">
        <v>356</v>
      </c>
    </row>
    <row r="99" spans="1:14" ht="16.5">
      <c r="A99" t="s">
        <v>197</v>
      </c>
      <c r="B99" t="s">
        <v>9</v>
      </c>
      <c r="C99" t="s">
        <v>22</v>
      </c>
      <c r="D99" s="12"/>
      <c r="E99" s="2"/>
      <c r="F99" s="21" t="s">
        <v>417</v>
      </c>
      <c r="G99" s="21"/>
      <c r="H99" s="2" t="s">
        <v>78</v>
      </c>
      <c r="I99" s="2" t="s">
        <v>77</v>
      </c>
      <c r="K99" s="2" t="s">
        <v>78</v>
      </c>
      <c r="M99" s="13"/>
      <c r="N99" t="s">
        <v>357</v>
      </c>
    </row>
    <row r="100" spans="1:14" ht="16.5">
      <c r="A100" t="s">
        <v>197</v>
      </c>
      <c r="B100" t="s">
        <v>193</v>
      </c>
      <c r="C100" t="s">
        <v>22</v>
      </c>
      <c r="D100" s="12"/>
      <c r="E100" s="2"/>
      <c r="F100" s="21" t="s">
        <v>417</v>
      </c>
      <c r="G100" s="21"/>
      <c r="H100" s="2" t="s">
        <v>78</v>
      </c>
      <c r="I100" s="2" t="s">
        <v>77</v>
      </c>
      <c r="K100" s="2" t="s">
        <v>78</v>
      </c>
      <c r="M100" s="13"/>
      <c r="N100" t="s">
        <v>358</v>
      </c>
    </row>
    <row r="101" spans="1:14" ht="16.5">
      <c r="A101" t="s">
        <v>197</v>
      </c>
      <c r="B101" t="s">
        <v>198</v>
      </c>
      <c r="C101" t="s">
        <v>30</v>
      </c>
      <c r="D101" s="12"/>
      <c r="E101" s="2"/>
      <c r="F101" s="21"/>
      <c r="G101" s="21"/>
      <c r="H101" s="2" t="s">
        <v>78</v>
      </c>
      <c r="M101" s="13" t="s">
        <v>431</v>
      </c>
      <c r="N101" t="s">
        <v>359</v>
      </c>
    </row>
    <row r="102" spans="1:14" ht="16.5">
      <c r="A102" t="s">
        <v>191</v>
      </c>
      <c r="B102" t="s">
        <v>8</v>
      </c>
      <c r="C102" t="s">
        <v>22</v>
      </c>
      <c r="D102" s="12"/>
      <c r="E102" s="2"/>
      <c r="F102" s="21" t="s">
        <v>416</v>
      </c>
      <c r="G102" s="21"/>
      <c r="J102" s="2" t="s">
        <v>78</v>
      </c>
      <c r="K102" s="2" t="s">
        <v>78</v>
      </c>
      <c r="M102" s="13"/>
      <c r="N102" t="s">
        <v>360</v>
      </c>
    </row>
    <row r="103" spans="1:14" ht="16.5">
      <c r="A103" t="s">
        <v>191</v>
      </c>
      <c r="B103" t="s">
        <v>204</v>
      </c>
      <c r="C103" t="s">
        <v>22</v>
      </c>
      <c r="D103" s="12"/>
      <c r="E103" s="2"/>
      <c r="F103" s="21" t="s">
        <v>417</v>
      </c>
      <c r="G103" s="21"/>
      <c r="H103" s="2" t="s">
        <v>78</v>
      </c>
      <c r="I103" s="2" t="s">
        <v>77</v>
      </c>
      <c r="K103" s="2" t="s">
        <v>78</v>
      </c>
      <c r="M103" s="13"/>
      <c r="N103" t="s">
        <v>361</v>
      </c>
    </row>
    <row r="104" spans="1:14" ht="16.5">
      <c r="A104" t="s">
        <v>191</v>
      </c>
      <c r="B104" t="s">
        <v>192</v>
      </c>
      <c r="C104" t="s">
        <v>22</v>
      </c>
      <c r="D104" s="12"/>
      <c r="E104" s="2"/>
      <c r="F104" s="21" t="s">
        <v>417</v>
      </c>
      <c r="G104" s="21"/>
      <c r="H104" s="2" t="s">
        <v>78</v>
      </c>
      <c r="I104" s="2" t="s">
        <v>77</v>
      </c>
      <c r="K104" s="2" t="s">
        <v>78</v>
      </c>
      <c r="M104" s="13"/>
      <c r="N104" t="s">
        <v>362</v>
      </c>
    </row>
    <row r="105" spans="1:14" ht="16.5">
      <c r="A105" t="s">
        <v>191</v>
      </c>
      <c r="B105" t="s">
        <v>193</v>
      </c>
      <c r="C105" t="s">
        <v>22</v>
      </c>
      <c r="D105" s="12"/>
      <c r="E105" s="2"/>
      <c r="F105" s="21" t="s">
        <v>417</v>
      </c>
      <c r="G105" s="21"/>
      <c r="H105" s="2" t="s">
        <v>78</v>
      </c>
      <c r="I105" s="2" t="s">
        <v>77</v>
      </c>
      <c r="K105" s="2" t="s">
        <v>78</v>
      </c>
      <c r="M105" s="13"/>
      <c r="N105" t="s">
        <v>363</v>
      </c>
    </row>
    <row r="106" spans="1:14" ht="16.5">
      <c r="A106" t="s">
        <v>191</v>
      </c>
      <c r="B106" t="s">
        <v>10</v>
      </c>
      <c r="C106" t="s">
        <v>22</v>
      </c>
      <c r="D106" s="12"/>
      <c r="E106" s="2"/>
      <c r="F106" s="21"/>
      <c r="G106" s="21"/>
      <c r="H106" s="2" t="s">
        <v>78</v>
      </c>
      <c r="I106" s="2" t="s">
        <v>77</v>
      </c>
      <c r="K106" s="2" t="s">
        <v>78</v>
      </c>
      <c r="M106" s="13"/>
      <c r="N106" t="s">
        <v>364</v>
      </c>
    </row>
    <row r="107" spans="1:14" ht="16.5">
      <c r="A107" t="s">
        <v>191</v>
      </c>
      <c r="B107" t="s">
        <v>46</v>
      </c>
      <c r="C107" t="s">
        <v>45</v>
      </c>
      <c r="D107" s="12"/>
      <c r="E107" s="2"/>
      <c r="F107" s="21"/>
      <c r="G107" s="21"/>
      <c r="H107" s="2" t="s">
        <v>78</v>
      </c>
      <c r="I107" s="2" t="s">
        <v>77</v>
      </c>
      <c r="M107" s="13"/>
      <c r="N107" t="s">
        <v>365</v>
      </c>
    </row>
    <row r="108" spans="1:14" ht="16.5">
      <c r="A108" t="s">
        <v>203</v>
      </c>
      <c r="B108" t="s">
        <v>8</v>
      </c>
      <c r="C108" t="s">
        <v>22</v>
      </c>
      <c r="D108" s="12"/>
      <c r="E108" s="2"/>
      <c r="F108" s="21" t="s">
        <v>416</v>
      </c>
      <c r="G108" s="21"/>
      <c r="J108" s="2" t="s">
        <v>78</v>
      </c>
      <c r="K108" s="2" t="s">
        <v>78</v>
      </c>
      <c r="M108" s="13"/>
      <c r="N108" t="s">
        <v>366</v>
      </c>
    </row>
    <row r="109" spans="1:14" ht="16.5">
      <c r="A109" t="s">
        <v>203</v>
      </c>
      <c r="B109" t="s">
        <v>204</v>
      </c>
      <c r="C109" t="s">
        <v>22</v>
      </c>
      <c r="D109" s="12"/>
      <c r="E109" s="2"/>
      <c r="F109" s="21" t="s">
        <v>417</v>
      </c>
      <c r="G109" s="21"/>
      <c r="K109" s="2" t="s">
        <v>78</v>
      </c>
      <c r="M109" s="13"/>
      <c r="N109" t="s">
        <v>367</v>
      </c>
    </row>
    <row r="110" spans="1:14" ht="16.5">
      <c r="A110" t="s">
        <v>203</v>
      </c>
      <c r="B110" t="s">
        <v>46</v>
      </c>
      <c r="C110" t="s">
        <v>45</v>
      </c>
      <c r="D110" s="12"/>
      <c r="E110" s="2"/>
      <c r="F110" s="21"/>
      <c r="G110" s="21"/>
      <c r="M110" s="13"/>
      <c r="N110" t="s">
        <v>368</v>
      </c>
    </row>
    <row r="111" spans="1:14" ht="16.5">
      <c r="A111" t="s">
        <v>203</v>
      </c>
      <c r="B111" t="s">
        <v>247</v>
      </c>
      <c r="C111" t="s">
        <v>30</v>
      </c>
      <c r="D111" s="12">
        <v>5</v>
      </c>
      <c r="E111" s="2"/>
      <c r="F111" s="21"/>
      <c r="G111" s="21"/>
      <c r="M111" s="13" t="s">
        <v>432</v>
      </c>
      <c r="N111" t="s">
        <v>369</v>
      </c>
    </row>
    <row r="112" spans="1:14" ht="16.5">
      <c r="A112" s="18" t="s">
        <v>213</v>
      </c>
      <c r="B112" s="18" t="s">
        <v>11</v>
      </c>
      <c r="C112" s="18" t="s">
        <v>37</v>
      </c>
      <c r="D112" s="19"/>
      <c r="E112" s="20"/>
      <c r="F112" s="22"/>
      <c r="G112" s="22"/>
      <c r="H112" s="20" t="s">
        <v>78</v>
      </c>
      <c r="I112" s="20"/>
      <c r="J112" s="20"/>
      <c r="K112" s="20"/>
      <c r="L112" s="20"/>
      <c r="M112" s="23"/>
      <c r="N112" s="18" t="s">
        <v>370</v>
      </c>
    </row>
    <row r="113" spans="1:14" ht="16.5">
      <c r="A113" t="s">
        <v>213</v>
      </c>
      <c r="B113" t="s">
        <v>12</v>
      </c>
      <c r="C113" t="s">
        <v>72</v>
      </c>
      <c r="D113" s="12"/>
      <c r="E113" s="2"/>
      <c r="F113" s="21"/>
      <c r="G113" s="21"/>
      <c r="H113" s="2" t="s">
        <v>78</v>
      </c>
      <c r="M113" s="13"/>
      <c r="N113" t="s">
        <v>371</v>
      </c>
    </row>
    <row r="114" spans="1:14" ht="16.5">
      <c r="A114" t="s">
        <v>213</v>
      </c>
      <c r="B114" t="s">
        <v>199</v>
      </c>
      <c r="C114" t="s">
        <v>22</v>
      </c>
      <c r="D114" s="12"/>
      <c r="E114" s="2"/>
      <c r="F114" s="21"/>
      <c r="G114" s="21"/>
      <c r="K114" s="2" t="s">
        <v>78</v>
      </c>
      <c r="M114" s="13"/>
      <c r="N114" t="s">
        <v>372</v>
      </c>
    </row>
    <row r="115" spans="1:14" ht="16.5">
      <c r="A115" t="s">
        <v>213</v>
      </c>
      <c r="B115" t="s">
        <v>200</v>
      </c>
      <c r="C115" t="s">
        <v>50</v>
      </c>
      <c r="D115" s="12"/>
      <c r="E115" s="2"/>
      <c r="F115" s="21"/>
      <c r="G115" s="21"/>
      <c r="M115" s="13"/>
      <c r="N115" t="s">
        <v>373</v>
      </c>
    </row>
    <row r="116" spans="1:14" ht="16.5">
      <c r="A116" t="s">
        <v>213</v>
      </c>
      <c r="B116" t="s">
        <v>201</v>
      </c>
      <c r="C116" t="s">
        <v>50</v>
      </c>
      <c r="D116" s="12"/>
      <c r="E116" s="2"/>
      <c r="F116" s="21"/>
      <c r="G116" s="21"/>
      <c r="M116" s="13"/>
      <c r="N116" t="s">
        <v>374</v>
      </c>
    </row>
  </sheetData>
  <phoneticPr fontId="2" type="noConversion"/>
  <conditionalFormatting sqref="J7:N7 J6:M6 J3:N5 A17:G20 J17:N20 A72:G73 H17:I22 A2:N2 A3:I7 A8:N16 A71:H71 A23:N54 A55:L55 A61:L61 N61 N55 A56:N60 A62:N70 I71:N73 A74:N87 A90:N111 A88:L89 N88:N89">
    <cfRule type="expression" dxfId="6" priority="6">
      <formula>$F2="PRIMARY"</formula>
    </cfRule>
  </conditionalFormatting>
  <conditionalFormatting sqref="E21:E22 J21:N22">
    <cfRule type="expression" dxfId="5" priority="8">
      <formula>$E21="PRIMARY"</formula>
    </cfRule>
  </conditionalFormatting>
  <conditionalFormatting sqref="H72:H73">
    <cfRule type="expression" dxfId="4" priority="3">
      <formula>$F72="PRIMARY"</formula>
    </cfRule>
  </conditionalFormatting>
  <conditionalFormatting sqref="H112:H114">
    <cfRule type="expression" dxfId="3" priority="2">
      <formula>$F112="PRIMARY"</formula>
    </cfRule>
  </conditionalFormatting>
  <conditionalFormatting sqref="I112:I113">
    <cfRule type="expression" dxfId="2" priority="1">
      <formula>$F112="PRIMARY"</formula>
    </cfRule>
  </conditionalFormatting>
  <conditionalFormatting sqref="M61">
    <cfRule type="expression" dxfId="1" priority="10">
      <formula>$F55="PRIMARY"</formula>
    </cfRule>
  </conditionalFormatting>
  <conditionalFormatting sqref="M88">
    <cfRule type="expression" dxfId="0" priority="12">
      <formula>$F89="PRIMARY"</formula>
    </cfRule>
  </conditionalFormatting>
  <dataValidations count="4">
    <dataValidation showInputMessage="1" showErrorMessage="1" sqref="E80:E81 E74 E70:E71 E66 E84:E114 G2:G116 E2:E62" xr:uid="{0C9737F9-47D1-4D27-ABFE-5C60B13EEDB7}"/>
    <dataValidation type="list" showInputMessage="1" showErrorMessage="1" sqref="E21:E22" xr:uid="{58167AC9-F84C-4871-ACFB-8AA2EBFB0336}">
      <formula1>"PRIMARY,INDEX,FOREIGN"</formula1>
    </dataValidation>
    <dataValidation type="list" allowBlank="1" showInputMessage="1" showErrorMessage="1" sqref="H2:L116" xr:uid="{1F12121D-625D-4308-835F-6DC7C734AF6C}">
      <formula1>"yes,no"</formula1>
    </dataValidation>
    <dataValidation type="list" showInputMessage="1" showErrorMessage="1" sqref="F2:F116" xr:uid="{0E87CB4E-80A8-4055-B5CE-68030D205976}">
      <formula1>"Primary,Index,Foreign"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812DAC-71F5-4AD8-BA52-761CE5752BF5}">
          <x14:formula1>
            <xm:f>types!$A$2:$A$28</xm:f>
          </x14:formula1>
          <xm:sqref>C2:C116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4D01-C476-4A57-A723-9CAC1590B148}">
  <sheetPr codeName="Sheet3"/>
  <dimension ref="A1:C28"/>
  <sheetViews>
    <sheetView workbookViewId="0">
      <selection activeCell="C5" sqref="C5"/>
    </sheetView>
  </sheetViews>
  <sheetFormatPr defaultRowHeight="15"/>
  <cols>
    <col min="1" max="1" width="13.85546875" bestFit="1" customWidth="1"/>
    <col min="2" max="2" width="13.140625" bestFit="1" customWidth="1"/>
    <col min="3" max="3" width="103.85546875" bestFit="1" customWidth="1"/>
  </cols>
  <sheetData>
    <row r="1" spans="1:3">
      <c r="A1" s="1" t="s">
        <v>14</v>
      </c>
      <c r="B1" s="1" t="s">
        <v>16</v>
      </c>
      <c r="C1" s="3" t="s">
        <v>11</v>
      </c>
    </row>
    <row r="2" spans="1:3">
      <c r="A2" s="6" t="s">
        <v>17</v>
      </c>
      <c r="B2" s="4" t="s">
        <v>18</v>
      </c>
      <c r="C2" s="4" t="s">
        <v>19</v>
      </c>
    </row>
    <row r="3" spans="1:3">
      <c r="A3" s="5" t="s">
        <v>20</v>
      </c>
      <c r="B3" s="4" t="s">
        <v>18</v>
      </c>
      <c r="C3" s="4" t="s">
        <v>21</v>
      </c>
    </row>
    <row r="4" spans="1:3">
      <c r="A4" s="5" t="s">
        <v>22</v>
      </c>
      <c r="B4" s="4" t="s">
        <v>18</v>
      </c>
      <c r="C4" s="4" t="s">
        <v>23</v>
      </c>
    </row>
    <row r="5" spans="1:3">
      <c r="A5" s="5" t="s">
        <v>24</v>
      </c>
      <c r="B5" s="4" t="s">
        <v>18</v>
      </c>
      <c r="C5" s="4" t="s">
        <v>25</v>
      </c>
    </row>
    <row r="6" spans="1:3">
      <c r="A6" s="5" t="s">
        <v>26</v>
      </c>
      <c r="B6" s="4" t="s">
        <v>18</v>
      </c>
      <c r="C6" s="4" t="s">
        <v>27</v>
      </c>
    </row>
    <row r="7" spans="1:3">
      <c r="A7" s="5" t="s">
        <v>28</v>
      </c>
      <c r="B7" s="4" t="s">
        <v>18</v>
      </c>
      <c r="C7" s="4" t="s">
        <v>29</v>
      </c>
    </row>
    <row r="8" spans="1:3">
      <c r="A8" s="5" t="s">
        <v>30</v>
      </c>
      <c r="B8" s="4" t="s">
        <v>18</v>
      </c>
      <c r="C8" s="4" t="s">
        <v>31</v>
      </c>
    </row>
    <row r="9" spans="1:3">
      <c r="A9" s="5" t="s">
        <v>32</v>
      </c>
      <c r="B9" s="4" t="s">
        <v>18</v>
      </c>
      <c r="C9" s="4" t="s">
        <v>33</v>
      </c>
    </row>
    <row r="10" spans="1:3">
      <c r="A10" s="7" t="s">
        <v>74</v>
      </c>
      <c r="B10" s="8" t="s">
        <v>34</v>
      </c>
      <c r="C10" s="8" t="s">
        <v>35</v>
      </c>
    </row>
    <row r="11" spans="1:3">
      <c r="A11" s="7" t="s">
        <v>75</v>
      </c>
      <c r="B11" s="8" t="s">
        <v>34</v>
      </c>
      <c r="C11" s="8" t="s">
        <v>36</v>
      </c>
    </row>
    <row r="12" spans="1:3">
      <c r="A12" s="7" t="s">
        <v>37</v>
      </c>
      <c r="B12" s="8" t="s">
        <v>34</v>
      </c>
      <c r="C12" s="8" t="s">
        <v>38</v>
      </c>
    </row>
    <row r="13" spans="1:3">
      <c r="A13" s="7" t="s">
        <v>39</v>
      </c>
      <c r="B13" s="8" t="s">
        <v>34</v>
      </c>
      <c r="C13" s="8" t="s">
        <v>40</v>
      </c>
    </row>
    <row r="14" spans="1:3">
      <c r="A14" s="7" t="s">
        <v>41</v>
      </c>
      <c r="B14" s="8" t="s">
        <v>34</v>
      </c>
      <c r="C14" s="8" t="s">
        <v>42</v>
      </c>
    </row>
    <row r="15" spans="1:3">
      <c r="A15" s="7" t="s">
        <v>43</v>
      </c>
      <c r="B15" s="8" t="s">
        <v>34</v>
      </c>
      <c r="C15" s="8" t="s">
        <v>44</v>
      </c>
    </row>
    <row r="16" spans="1:3">
      <c r="A16" s="5" t="s">
        <v>45</v>
      </c>
      <c r="B16" s="4" t="s">
        <v>46</v>
      </c>
      <c r="C16" s="4" t="s">
        <v>47</v>
      </c>
    </row>
    <row r="17" spans="1:3">
      <c r="A17" s="5" t="s">
        <v>48</v>
      </c>
      <c r="B17" s="4" t="s">
        <v>46</v>
      </c>
      <c r="C17" s="4" t="s">
        <v>49</v>
      </c>
    </row>
    <row r="18" spans="1:3">
      <c r="A18" s="5" t="s">
        <v>50</v>
      </c>
      <c r="B18" s="4" t="s">
        <v>46</v>
      </c>
      <c r="C18" s="4" t="s">
        <v>51</v>
      </c>
    </row>
    <row r="19" spans="1:3">
      <c r="A19" s="5" t="s">
        <v>52</v>
      </c>
      <c r="B19" s="4" t="s">
        <v>46</v>
      </c>
      <c r="C19" s="4" t="s">
        <v>53</v>
      </c>
    </row>
    <row r="20" spans="1:3">
      <c r="A20" s="5" t="s">
        <v>54</v>
      </c>
      <c r="B20" s="4" t="s">
        <v>46</v>
      </c>
      <c r="C20" s="4" t="s">
        <v>55</v>
      </c>
    </row>
    <row r="21" spans="1:3">
      <c r="A21" s="5" t="s">
        <v>72</v>
      </c>
      <c r="B21" s="4" t="s">
        <v>15</v>
      </c>
      <c r="C21" s="4" t="s">
        <v>56</v>
      </c>
    </row>
    <row r="22" spans="1:3">
      <c r="A22" s="10" t="s">
        <v>76</v>
      </c>
      <c r="B22" s="4"/>
      <c r="C22" s="9"/>
    </row>
    <row r="23" spans="1:3">
      <c r="A23" s="5" t="s">
        <v>57</v>
      </c>
      <c r="B23" s="4" t="s">
        <v>58</v>
      </c>
      <c r="C23" s="4" t="s">
        <v>59</v>
      </c>
    </row>
    <row r="24" spans="1:3">
      <c r="A24" s="5" t="s">
        <v>60</v>
      </c>
      <c r="B24" s="4" t="s">
        <v>58</v>
      </c>
      <c r="C24" s="4" t="s">
        <v>61</v>
      </c>
    </row>
    <row r="25" spans="1:3">
      <c r="A25" s="5" t="s">
        <v>62</v>
      </c>
      <c r="B25" s="4" t="s">
        <v>58</v>
      </c>
      <c r="C25" s="4" t="s">
        <v>63</v>
      </c>
    </row>
    <row r="26" spans="1:3">
      <c r="A26" s="5" t="s">
        <v>64</v>
      </c>
      <c r="B26" s="4" t="s">
        <v>58</v>
      </c>
      <c r="C26" s="4" t="s">
        <v>65</v>
      </c>
    </row>
    <row r="27" spans="1:3">
      <c r="A27" s="5" t="s">
        <v>66</v>
      </c>
      <c r="B27" s="4" t="s">
        <v>67</v>
      </c>
      <c r="C27" s="4" t="s">
        <v>68</v>
      </c>
    </row>
    <row r="28" spans="1:3">
      <c r="A28" s="5" t="s">
        <v>69</v>
      </c>
      <c r="B28" s="4" t="s">
        <v>70</v>
      </c>
      <c r="C28" s="4" t="s">
        <v>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278CB-DD4C-4825-A166-6EC0EB55F3D5}">
  <sheetPr codeName="Sheet4"/>
  <dimension ref="A1:F19"/>
  <sheetViews>
    <sheetView workbookViewId="0">
      <selection activeCell="A2" sqref="A2"/>
    </sheetView>
  </sheetViews>
  <sheetFormatPr defaultRowHeight="15"/>
  <cols>
    <col min="1" max="1" width="20.140625" bestFit="1" customWidth="1"/>
    <col min="2" max="2" width="11" customWidth="1"/>
    <col min="3" max="3" width="36.7109375" bestFit="1" customWidth="1"/>
    <col min="4" max="4" width="21.7109375" bestFit="1" customWidth="1"/>
    <col min="5" max="5" width="19.85546875" bestFit="1" customWidth="1"/>
    <col min="6" max="6" width="33.85546875" bestFit="1" customWidth="1"/>
  </cols>
  <sheetData>
    <row r="1" spans="1:6">
      <c r="A1" t="s">
        <v>159</v>
      </c>
      <c r="B1" t="s">
        <v>16</v>
      </c>
      <c r="C1" t="s">
        <v>6</v>
      </c>
      <c r="D1" t="s">
        <v>155</v>
      </c>
      <c r="E1" t="s">
        <v>158</v>
      </c>
      <c r="F1" t="s">
        <v>157</v>
      </c>
    </row>
    <row r="2" spans="1:6">
      <c r="A2" t="s">
        <v>80</v>
      </c>
      <c r="B2" t="s">
        <v>18</v>
      </c>
      <c r="C2" t="s">
        <v>81</v>
      </c>
      <c r="D2" t="s">
        <v>82</v>
      </c>
      <c r="E2" t="s">
        <v>83</v>
      </c>
      <c r="F2" t="s">
        <v>84</v>
      </c>
    </row>
    <row r="3" spans="1:6">
      <c r="A3" t="s">
        <v>85</v>
      </c>
      <c r="B3" t="s">
        <v>18</v>
      </c>
      <c r="C3" t="s">
        <v>86</v>
      </c>
      <c r="D3" t="s">
        <v>87</v>
      </c>
      <c r="E3" t="s">
        <v>88</v>
      </c>
      <c r="F3" t="s">
        <v>89</v>
      </c>
    </row>
    <row r="4" spans="1:6">
      <c r="A4" t="s">
        <v>90</v>
      </c>
      <c r="B4" t="s">
        <v>18</v>
      </c>
      <c r="C4" t="s">
        <v>91</v>
      </c>
      <c r="D4" t="s">
        <v>92</v>
      </c>
      <c r="E4" t="s">
        <v>88</v>
      </c>
      <c r="F4" t="s">
        <v>93</v>
      </c>
    </row>
    <row r="5" spans="1:6">
      <c r="A5" t="s">
        <v>34</v>
      </c>
      <c r="B5" t="s">
        <v>34</v>
      </c>
      <c r="C5" t="s">
        <v>94</v>
      </c>
      <c r="D5" t="s">
        <v>95</v>
      </c>
      <c r="E5" t="s">
        <v>34</v>
      </c>
      <c r="F5" t="s">
        <v>96</v>
      </c>
    </row>
    <row r="6" spans="1:6">
      <c r="A6" t="s">
        <v>15</v>
      </c>
      <c r="B6" t="s">
        <v>15</v>
      </c>
      <c r="C6" t="s">
        <v>97</v>
      </c>
      <c r="D6" t="s">
        <v>98</v>
      </c>
      <c r="E6" t="s">
        <v>99</v>
      </c>
      <c r="F6" t="s">
        <v>100</v>
      </c>
    </row>
    <row r="7" spans="1:6">
      <c r="A7" t="s">
        <v>101</v>
      </c>
      <c r="B7" t="s">
        <v>101</v>
      </c>
      <c r="C7" t="s">
        <v>102</v>
      </c>
      <c r="D7" t="s">
        <v>103</v>
      </c>
      <c r="E7" t="s">
        <v>104</v>
      </c>
      <c r="F7" t="s">
        <v>105</v>
      </c>
    </row>
    <row r="8" spans="1:6">
      <c r="A8" t="s">
        <v>106</v>
      </c>
      <c r="B8" t="s">
        <v>106</v>
      </c>
      <c r="C8" t="s">
        <v>107</v>
      </c>
      <c r="D8" t="s">
        <v>103</v>
      </c>
      <c r="E8" t="s">
        <v>106</v>
      </c>
      <c r="F8" t="s">
        <v>108</v>
      </c>
    </row>
    <row r="9" spans="1:6">
      <c r="A9" t="s">
        <v>109</v>
      </c>
      <c r="B9" t="s">
        <v>109</v>
      </c>
      <c r="C9" t="s">
        <v>110</v>
      </c>
      <c r="D9" t="s">
        <v>103</v>
      </c>
      <c r="E9" t="s">
        <v>111</v>
      </c>
      <c r="F9" t="s">
        <v>112</v>
      </c>
    </row>
    <row r="10" spans="1:6">
      <c r="A10" t="s">
        <v>46</v>
      </c>
      <c r="B10" t="s">
        <v>46</v>
      </c>
      <c r="C10" t="s">
        <v>113</v>
      </c>
      <c r="D10" t="s">
        <v>114</v>
      </c>
      <c r="E10" t="s">
        <v>115</v>
      </c>
      <c r="F10" t="s">
        <v>116</v>
      </c>
    </row>
    <row r="11" spans="1:6">
      <c r="A11" t="s">
        <v>117</v>
      </c>
      <c r="B11" t="s">
        <v>46</v>
      </c>
      <c r="C11" t="s">
        <v>118</v>
      </c>
      <c r="D11" t="s">
        <v>119</v>
      </c>
      <c r="E11" t="s">
        <v>120</v>
      </c>
      <c r="F11" t="s">
        <v>121</v>
      </c>
    </row>
    <row r="12" spans="1:6">
      <c r="A12" t="s">
        <v>122</v>
      </c>
      <c r="B12" t="s">
        <v>46</v>
      </c>
      <c r="C12" t="s">
        <v>123</v>
      </c>
      <c r="D12" t="s">
        <v>124</v>
      </c>
      <c r="E12" t="s">
        <v>120</v>
      </c>
      <c r="F12" t="s">
        <v>125</v>
      </c>
    </row>
    <row r="13" spans="1:6">
      <c r="A13" t="s">
        <v>126</v>
      </c>
      <c r="B13" t="s">
        <v>127</v>
      </c>
      <c r="C13" t="s">
        <v>128</v>
      </c>
      <c r="D13" t="s">
        <v>129</v>
      </c>
      <c r="E13" t="s">
        <v>130</v>
      </c>
      <c r="F13" t="s">
        <v>131</v>
      </c>
    </row>
    <row r="14" spans="1:6">
      <c r="A14" t="s">
        <v>132</v>
      </c>
      <c r="B14" t="s">
        <v>127</v>
      </c>
      <c r="C14" t="s">
        <v>133</v>
      </c>
      <c r="D14" t="s">
        <v>37</v>
      </c>
      <c r="E14" t="s">
        <v>134</v>
      </c>
      <c r="F14" t="s">
        <v>135</v>
      </c>
    </row>
    <row r="15" spans="1:6">
      <c r="A15" t="s">
        <v>136</v>
      </c>
      <c r="B15" t="s">
        <v>127</v>
      </c>
      <c r="C15" t="s">
        <v>137</v>
      </c>
      <c r="D15" t="s">
        <v>37</v>
      </c>
      <c r="E15" t="s">
        <v>138</v>
      </c>
      <c r="F15" t="s">
        <v>139</v>
      </c>
    </row>
    <row r="16" spans="1:6">
      <c r="A16" t="s">
        <v>140</v>
      </c>
      <c r="B16" t="s">
        <v>46</v>
      </c>
      <c r="C16" t="s">
        <v>141</v>
      </c>
      <c r="D16" t="s">
        <v>50</v>
      </c>
      <c r="E16" t="s">
        <v>120</v>
      </c>
      <c r="F16" t="s">
        <v>142</v>
      </c>
    </row>
    <row r="17" spans="1:6">
      <c r="A17" t="s">
        <v>143</v>
      </c>
      <c r="B17" t="s">
        <v>46</v>
      </c>
      <c r="C17" t="s">
        <v>144</v>
      </c>
      <c r="D17" t="s">
        <v>50</v>
      </c>
      <c r="E17" t="s">
        <v>145</v>
      </c>
      <c r="F17" t="s">
        <v>146</v>
      </c>
    </row>
    <row r="18" spans="1:6">
      <c r="A18" t="s">
        <v>147</v>
      </c>
      <c r="B18" t="s">
        <v>46</v>
      </c>
      <c r="C18" t="s">
        <v>148</v>
      </c>
      <c r="D18" t="s">
        <v>45</v>
      </c>
      <c r="E18" t="s">
        <v>145</v>
      </c>
      <c r="F18" t="s">
        <v>149</v>
      </c>
    </row>
    <row r="19" spans="1:6">
      <c r="A19" t="s">
        <v>150</v>
      </c>
      <c r="B19" t="s">
        <v>151</v>
      </c>
      <c r="C19" t="s">
        <v>152</v>
      </c>
      <c r="D19" t="s">
        <v>153</v>
      </c>
      <c r="E19" t="s">
        <v>154</v>
      </c>
      <c r="F19" t="s">
        <v>156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53F0B-ADEC-4839-BC06-8340371CB47A}">
  <sheetPr codeName="Sheet5"/>
  <dimension ref="A1:C11"/>
  <sheetViews>
    <sheetView workbookViewId="0">
      <selection activeCell="G4" sqref="G4"/>
    </sheetView>
  </sheetViews>
  <sheetFormatPr defaultRowHeight="15"/>
  <cols>
    <col min="1" max="1" width="23.28515625" style="1" bestFit="1" customWidth="1"/>
    <col min="2" max="2" width="9.140625" style="1"/>
    <col min="3" max="3" width="10.140625" bestFit="1" customWidth="1"/>
    <col min="4" max="16384" width="9.140625" style="1"/>
  </cols>
  <sheetData>
    <row r="1" spans="1:3">
      <c r="A1" s="1" t="s">
        <v>1</v>
      </c>
      <c r="B1" s="1" t="s">
        <v>254</v>
      </c>
      <c r="C1" s="1" t="s">
        <v>257</v>
      </c>
    </row>
    <row r="2" spans="1:3">
      <c r="A2" s="12" t="s">
        <v>250</v>
      </c>
      <c r="B2" s="12" t="s">
        <v>255</v>
      </c>
      <c r="C2" s="12" t="s">
        <v>258</v>
      </c>
    </row>
    <row r="3" spans="1:3">
      <c r="A3" s="12" t="s">
        <v>251</v>
      </c>
      <c r="B3" s="12" t="s">
        <v>256</v>
      </c>
      <c r="C3" s="12" t="s">
        <v>259</v>
      </c>
    </row>
    <row r="4" spans="1:3">
      <c r="A4" s="12" t="s">
        <v>252</v>
      </c>
      <c r="B4" s="12"/>
      <c r="C4" s="12" t="s">
        <v>2</v>
      </c>
    </row>
    <row r="5" spans="1:3">
      <c r="A5" s="12" t="s">
        <v>253</v>
      </c>
      <c r="B5" s="12"/>
      <c r="C5" s="12"/>
    </row>
    <row r="6" spans="1:3">
      <c r="A6" s="12" t="s">
        <v>3</v>
      </c>
      <c r="B6" s="12"/>
      <c r="C6" s="12"/>
    </row>
    <row r="7" spans="1:3">
      <c r="A7" s="12" t="s">
        <v>3</v>
      </c>
      <c r="B7" s="12"/>
      <c r="C7" s="12"/>
    </row>
    <row r="8" spans="1:3">
      <c r="A8" s="12" t="s">
        <v>4</v>
      </c>
      <c r="B8" s="12"/>
      <c r="C8" s="12"/>
    </row>
    <row r="9" spans="1:3">
      <c r="A9" s="12" t="s">
        <v>4</v>
      </c>
      <c r="B9" s="12"/>
      <c r="C9" s="12"/>
    </row>
    <row r="10" spans="1:3">
      <c r="A10" s="6" t="s">
        <v>5</v>
      </c>
      <c r="B10" s="12"/>
      <c r="C10" s="12"/>
    </row>
    <row r="11" spans="1:3">
      <c r="A11" s="15" t="s">
        <v>5</v>
      </c>
      <c r="B11" s="12"/>
      <c r="C11" s="1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C09FC-D0A0-4AA7-AD80-49C4399BBA92}">
  <sheetPr codeName="Sheet6"/>
  <dimension ref="A1:F68"/>
  <sheetViews>
    <sheetView tabSelected="1" topLeftCell="A29" workbookViewId="0">
      <selection activeCell="D45" sqref="D45:D68"/>
    </sheetView>
  </sheetViews>
  <sheetFormatPr defaultRowHeight="15"/>
  <cols>
    <col min="1" max="1" width="19.42578125" customWidth="1"/>
    <col min="2" max="6" width="20.7109375" customWidth="1"/>
  </cols>
  <sheetData>
    <row r="1" spans="1:6">
      <c r="B1" s="26" t="s">
        <v>403</v>
      </c>
      <c r="C1" s="27" t="s">
        <v>402</v>
      </c>
      <c r="D1" s="27" t="s">
        <v>401</v>
      </c>
      <c r="E1" s="27" t="s">
        <v>435</v>
      </c>
      <c r="F1" s="28" t="s">
        <v>434</v>
      </c>
    </row>
    <row r="2" spans="1:6">
      <c r="A2" t="str" cm="1">
        <f t="array" ref="A2:A24">_xlfn.UNIQUE(database[tableName])</f>
        <v>users</v>
      </c>
      <c r="B2" s="29" t="str">
        <f t="shared" ref="B2:B23" si="0">SUBSTITUTE(PROPER(SUBSTITUTE(TRIM(A2),"_"," "))," ","")</f>
        <v>Users</v>
      </c>
      <c r="C2" s="30" t="str">
        <f>_xlfn.CONCAT("'",B2,"',")</f>
        <v>'Users',</v>
      </c>
      <c r="D2" s="30" t="s">
        <v>380</v>
      </c>
      <c r="E2" s="30"/>
      <c r="F2" s="31" t="str">
        <f>_xlfn.CONCAT("php artisan migrate:reset --path=database/migrations/",A2,".php")</f>
        <v>php artisan migrate:reset --path=database/migrations/users.php</v>
      </c>
    </row>
    <row r="3" spans="1:6">
      <c r="A3" t="str">
        <v>roles</v>
      </c>
      <c r="B3" s="32" t="str">
        <f t="shared" si="0"/>
        <v>Roles</v>
      </c>
      <c r="C3" s="33" t="str">
        <f t="shared" ref="C3:C23" si="1">_xlfn.CONCAT("'",B3,"',")</f>
        <v>'Roles',</v>
      </c>
      <c r="D3" s="33" t="s">
        <v>381</v>
      </c>
      <c r="E3" s="33"/>
      <c r="F3" s="31" t="str">
        <f t="shared" ref="F3:F23" si="2">_xlfn.CONCAT("php artisan migrate:refresh create_",A3,"_table")</f>
        <v>php artisan migrate:refresh create_roles_table</v>
      </c>
    </row>
    <row r="4" spans="1:6">
      <c r="A4" t="str">
        <v>role_user</v>
      </c>
      <c r="B4" s="29" t="str">
        <f t="shared" si="0"/>
        <v>RoleUser</v>
      </c>
      <c r="C4" s="30" t="str">
        <f t="shared" si="1"/>
        <v>'RoleUser',</v>
      </c>
      <c r="D4" s="30" t="s">
        <v>382</v>
      </c>
      <c r="E4" s="30"/>
      <c r="F4" s="31" t="str">
        <f t="shared" si="2"/>
        <v>php artisan migrate:refresh create_role_user_table</v>
      </c>
    </row>
    <row r="5" spans="1:6">
      <c r="A5" t="str">
        <v>phones</v>
      </c>
      <c r="B5" s="32" t="str">
        <f t="shared" si="0"/>
        <v>Phones</v>
      </c>
      <c r="C5" s="33" t="str">
        <f t="shared" si="1"/>
        <v>'Phones',</v>
      </c>
      <c r="D5" s="30" t="s">
        <v>383</v>
      </c>
      <c r="E5" s="33"/>
      <c r="F5" s="31" t="str">
        <f t="shared" si="2"/>
        <v>php artisan migrate:refresh create_phones_table</v>
      </c>
    </row>
    <row r="6" spans="1:6">
      <c r="A6" t="str">
        <v>customers</v>
      </c>
      <c r="B6" s="29" t="str">
        <f t="shared" si="0"/>
        <v>Customers</v>
      </c>
      <c r="C6" s="30" t="str">
        <f t="shared" si="1"/>
        <v>'Customers',</v>
      </c>
      <c r="D6" s="33" t="s">
        <v>384</v>
      </c>
      <c r="E6" s="30"/>
      <c r="F6" s="31" t="str">
        <f t="shared" si="2"/>
        <v>php artisan migrate:refresh create_customers_table</v>
      </c>
    </row>
    <row r="7" spans="1:6">
      <c r="A7" t="str">
        <v>products</v>
      </c>
      <c r="B7" s="32" t="str">
        <f t="shared" si="0"/>
        <v>Products</v>
      </c>
      <c r="C7" s="33" t="str">
        <f t="shared" si="1"/>
        <v>'Products',</v>
      </c>
      <c r="D7" s="30" t="s">
        <v>385</v>
      </c>
      <c r="E7" s="33"/>
      <c r="F7" s="31" t="str">
        <f t="shared" si="2"/>
        <v>php artisan migrate:refresh create_products_table</v>
      </c>
    </row>
    <row r="8" spans="1:6">
      <c r="A8" t="str">
        <v>applicators</v>
      </c>
      <c r="B8" s="29" t="str">
        <f t="shared" si="0"/>
        <v>Applicators</v>
      </c>
      <c r="C8" s="30" t="str">
        <f t="shared" si="1"/>
        <v>'Applicators',</v>
      </c>
      <c r="D8" s="33" t="s">
        <v>386</v>
      </c>
      <c r="E8" s="30"/>
      <c r="F8" s="31" t="str">
        <f t="shared" si="2"/>
        <v>php artisan migrate:refresh create_applicators_table</v>
      </c>
    </row>
    <row r="9" spans="1:6">
      <c r="A9" t="str">
        <v>molds</v>
      </c>
      <c r="B9" s="32" t="str">
        <f t="shared" si="0"/>
        <v>Molds</v>
      </c>
      <c r="C9" s="33" t="str">
        <f t="shared" si="1"/>
        <v>'Molds',</v>
      </c>
      <c r="D9" s="30" t="s">
        <v>387</v>
      </c>
      <c r="E9" s="33"/>
      <c r="F9" s="31" t="str">
        <f t="shared" si="2"/>
        <v>php artisan migrate:refresh create_molds_table</v>
      </c>
    </row>
    <row r="10" spans="1:6">
      <c r="A10" t="str">
        <v>orders</v>
      </c>
      <c r="B10" s="29" t="str">
        <f t="shared" si="0"/>
        <v>Orders</v>
      </c>
      <c r="C10" s="30" t="str">
        <f t="shared" si="1"/>
        <v>'Orders',</v>
      </c>
      <c r="D10" s="33" t="s">
        <v>388</v>
      </c>
      <c r="E10" s="30"/>
      <c r="F10" s="31" t="str">
        <f t="shared" si="2"/>
        <v>php artisan migrate:refresh create_orders_table</v>
      </c>
    </row>
    <row r="11" spans="1:6">
      <c r="A11" t="str">
        <v>months</v>
      </c>
      <c r="B11" s="32" t="str">
        <f t="shared" si="0"/>
        <v>Months</v>
      </c>
      <c r="C11" s="33" t="str">
        <f t="shared" si="1"/>
        <v>'Months',</v>
      </c>
      <c r="D11" s="30" t="s">
        <v>389</v>
      </c>
      <c r="E11" s="33"/>
      <c r="F11" s="31" t="str">
        <f t="shared" si="2"/>
        <v>php artisan migrate:refresh create_months_table</v>
      </c>
    </row>
    <row r="12" spans="1:6">
      <c r="A12" t="str">
        <v>deadlines</v>
      </c>
      <c r="B12" s="29" t="str">
        <f t="shared" si="0"/>
        <v>Deadlines</v>
      </c>
      <c r="C12" s="30" t="str">
        <f t="shared" si="1"/>
        <v>'Deadlines',</v>
      </c>
      <c r="D12" s="33" t="s">
        <v>390</v>
      </c>
      <c r="E12" s="30"/>
      <c r="F12" s="31" t="str">
        <f t="shared" si="2"/>
        <v>php artisan migrate:refresh create_deadlines_table</v>
      </c>
    </row>
    <row r="13" spans="1:6">
      <c r="A13" t="str">
        <v>delivery_order</v>
      </c>
      <c r="B13" s="32" t="str">
        <f t="shared" si="0"/>
        <v>DeliveryOrder</v>
      </c>
      <c r="C13" s="33" t="str">
        <f t="shared" si="1"/>
        <v>'DeliveryOrder',</v>
      </c>
      <c r="D13" s="30" t="s">
        <v>391</v>
      </c>
      <c r="E13" s="33"/>
      <c r="F13" s="31" t="str">
        <f t="shared" si="2"/>
        <v>php artisan migrate:refresh create_delivery_order_table</v>
      </c>
    </row>
    <row r="14" spans="1:6">
      <c r="A14" t="str">
        <v>deliveries</v>
      </c>
      <c r="B14" s="29" t="str">
        <f t="shared" si="0"/>
        <v>Deliveries</v>
      </c>
      <c r="C14" s="30" t="str">
        <f t="shared" si="1"/>
        <v>'Deliveries',</v>
      </c>
      <c r="D14" s="33" t="s">
        <v>392</v>
      </c>
      <c r="E14" s="30"/>
      <c r="F14" s="31" t="str">
        <f t="shared" si="2"/>
        <v>php artisan migrate:refresh create_deliveries_table</v>
      </c>
    </row>
    <row r="15" spans="1:6">
      <c r="A15" t="str">
        <v>cutts</v>
      </c>
      <c r="B15" s="32" t="str">
        <f t="shared" si="0"/>
        <v>Cutts</v>
      </c>
      <c r="C15" s="33" t="str">
        <f t="shared" si="1"/>
        <v>'Cutts',</v>
      </c>
      <c r="D15" s="30" t="s">
        <v>393</v>
      </c>
      <c r="E15" s="33"/>
      <c r="F15" s="31" t="str">
        <f t="shared" si="2"/>
        <v>php artisan migrate:refresh create_cutts_table</v>
      </c>
    </row>
    <row r="16" spans="1:6">
      <c r="A16" t="str">
        <v>batches</v>
      </c>
      <c r="B16" s="29" t="str">
        <f t="shared" si="0"/>
        <v>Batches</v>
      </c>
      <c r="C16" s="30" t="str">
        <f t="shared" si="1"/>
        <v>'Batches',</v>
      </c>
      <c r="D16" s="33" t="s">
        <v>394</v>
      </c>
      <c r="E16" s="30"/>
      <c r="F16" s="31" t="str">
        <f t="shared" si="2"/>
        <v>php artisan migrate:refresh create_batches_table</v>
      </c>
    </row>
    <row r="17" spans="1:6">
      <c r="A17" t="str">
        <v>employees</v>
      </c>
      <c r="B17" s="32" t="str">
        <f t="shared" si="0"/>
        <v>Employees</v>
      </c>
      <c r="C17" s="33" t="str">
        <f t="shared" si="1"/>
        <v>'Employees',</v>
      </c>
      <c r="D17" s="30" t="s">
        <v>395</v>
      </c>
      <c r="E17" s="33"/>
      <c r="F17" s="31" t="str">
        <f t="shared" si="2"/>
        <v>php artisan migrate:refresh create_employees_table</v>
      </c>
    </row>
    <row r="18" spans="1:6">
      <c r="A18" t="str">
        <v>departments</v>
      </c>
      <c r="B18" s="29" t="str">
        <f t="shared" si="0"/>
        <v>Departments</v>
      </c>
      <c r="C18" s="30" t="str">
        <f t="shared" si="1"/>
        <v>'Departments',</v>
      </c>
      <c r="D18" s="33" t="s">
        <v>396</v>
      </c>
      <c r="E18" s="30"/>
      <c r="F18" s="31" t="str">
        <f t="shared" si="2"/>
        <v>php artisan migrate:refresh create_departments_table</v>
      </c>
    </row>
    <row r="19" spans="1:6">
      <c r="A19" t="str">
        <v>sub_departments</v>
      </c>
      <c r="B19" s="32" t="str">
        <f t="shared" si="0"/>
        <v>SubDepartments</v>
      </c>
      <c r="C19" s="33" t="str">
        <f t="shared" si="1"/>
        <v>'SubDepartments',</v>
      </c>
      <c r="D19" s="30" t="s">
        <v>397</v>
      </c>
      <c r="E19" s="33"/>
      <c r="F19" s="31" t="str">
        <f t="shared" si="2"/>
        <v>php artisan migrate:refresh create_sub_departments_table</v>
      </c>
    </row>
    <row r="20" spans="1:6">
      <c r="A20" t="str">
        <v>activities</v>
      </c>
      <c r="B20" s="29" t="str">
        <f t="shared" si="0"/>
        <v>Activities</v>
      </c>
      <c r="C20" s="30" t="str">
        <f t="shared" si="1"/>
        <v>'Activities',</v>
      </c>
      <c r="D20" s="33" t="s">
        <v>398</v>
      </c>
      <c r="E20" s="30"/>
      <c r="F20" s="31" t="str">
        <f t="shared" si="2"/>
        <v>php artisan migrate:refresh create_activities_table</v>
      </c>
    </row>
    <row r="21" spans="1:6">
      <c r="A21" t="str">
        <v>cycletimes</v>
      </c>
      <c r="B21" s="32" t="str">
        <f t="shared" si="0"/>
        <v>Cycletimes</v>
      </c>
      <c r="C21" s="33" t="str">
        <f t="shared" si="1"/>
        <v>'Cycletimes',</v>
      </c>
      <c r="D21" s="30" t="s">
        <v>399</v>
      </c>
      <c r="E21" s="33"/>
      <c r="F21" s="31" t="str">
        <f t="shared" si="2"/>
        <v>php artisan migrate:refresh create_cycletimes_table</v>
      </c>
    </row>
    <row r="22" spans="1:6">
      <c r="A22" t="str">
        <v>timesheets</v>
      </c>
      <c r="B22" s="29" t="str">
        <f t="shared" si="0"/>
        <v>Timesheets</v>
      </c>
      <c r="C22" s="30" t="str">
        <f t="shared" si="1"/>
        <v>'Timesheets',</v>
      </c>
      <c r="D22" s="25" t="s">
        <v>400</v>
      </c>
      <c r="E22" s="30"/>
      <c r="F22" s="31" t="str">
        <f t="shared" si="2"/>
        <v>php artisan migrate:refresh create_timesheets_table</v>
      </c>
    </row>
    <row r="23" spans="1:6">
      <c r="A23" t="str">
        <v>effeciencies</v>
      </c>
      <c r="B23" s="24" t="str">
        <f t="shared" si="0"/>
        <v>Effeciencies</v>
      </c>
      <c r="C23" s="25" t="str">
        <f t="shared" si="1"/>
        <v>'Effeciencies',</v>
      </c>
      <c r="D23" t="s">
        <v>436</v>
      </c>
      <c r="E23" s="25"/>
      <c r="F23" s="31" t="str">
        <f t="shared" si="2"/>
        <v>php artisan migrate:refresh create_effeciencies_table</v>
      </c>
    </row>
    <row r="24" spans="1:6">
      <c r="A24" t="str">
        <v>For-all-tables-except-those-in-which-this-field-is-explicitly-defined</v>
      </c>
    </row>
    <row r="44" spans="1:4">
      <c r="A44" t="s">
        <v>461</v>
      </c>
    </row>
    <row r="45" spans="1:4">
      <c r="A45" t="s">
        <v>437</v>
      </c>
      <c r="D45" t="str">
        <f>_xlfn.CONCAT("php artisan migrate:reset --path=database/migrations/",A45,".php")</f>
        <v>php artisan migrate:reset --path=database/migrations/0001_01_01_000001_create_cache_table.php.php</v>
      </c>
    </row>
    <row r="46" spans="1:4">
      <c r="A46" t="s">
        <v>438</v>
      </c>
      <c r="D46" t="str">
        <f t="shared" ref="D46:D68" si="3">_xlfn.CONCAT("php artisan migrate:reset --path=database/migrations/",A46,".php")</f>
        <v>php artisan migrate:reset --path=database/migrations/0001_01_01_000002_create_jobs_table.php.php</v>
      </c>
    </row>
    <row r="47" spans="1:4">
      <c r="A47" t="s">
        <v>439</v>
      </c>
      <c r="D47" t="str">
        <f t="shared" si="3"/>
        <v>php artisan migrate:reset --path=database/migrations/2025_09_01_145725_create_applicators_table.php.php</v>
      </c>
    </row>
    <row r="48" spans="1:4">
      <c r="A48" t="s">
        <v>440</v>
      </c>
      <c r="D48" t="str">
        <f t="shared" si="3"/>
        <v>php artisan migrate:reset --path=database/migrations/2025_09_01_145725_create_customers_table.php.php</v>
      </c>
    </row>
    <row r="49" spans="1:4">
      <c r="A49" t="s">
        <v>441</v>
      </c>
      <c r="D49" t="str">
        <f t="shared" si="3"/>
        <v>php artisan migrate:reset --path=database/migrations/2025_09_01_145725_create_molds_table.php.php</v>
      </c>
    </row>
    <row r="50" spans="1:4">
      <c r="A50" t="s">
        <v>442</v>
      </c>
      <c r="D50" t="str">
        <f t="shared" si="3"/>
        <v>php artisan migrate:reset --path=database/migrations/2025_09_01_145725_create_phones_table.php.php</v>
      </c>
    </row>
    <row r="51" spans="1:4">
      <c r="A51" t="s">
        <v>443</v>
      </c>
      <c r="D51" t="str">
        <f t="shared" si="3"/>
        <v>php artisan migrate:reset --path=database/migrations/2025_09_01_145725_create_products_table.php.php</v>
      </c>
    </row>
    <row r="52" spans="1:4">
      <c r="A52" t="s">
        <v>444</v>
      </c>
      <c r="D52" t="str">
        <f t="shared" si="3"/>
        <v>php artisan migrate:reset --path=database/migrations/2025_09_01_145725_create_roles_table.php.php</v>
      </c>
    </row>
    <row r="53" spans="1:4">
      <c r="A53" t="s">
        <v>445</v>
      </c>
      <c r="D53" t="str">
        <f t="shared" si="3"/>
        <v>php artisan migrate:reset --path=database/migrations/2025_09_01_145725_create_role_users_table.php.php</v>
      </c>
    </row>
    <row r="54" spans="1:4">
      <c r="A54" t="s">
        <v>446</v>
      </c>
      <c r="D54" t="str">
        <f t="shared" si="3"/>
        <v>php artisan migrate:reset --path=database/migrations/2025_09_01_145725_create_users_table.php.php</v>
      </c>
    </row>
    <row r="55" spans="1:4">
      <c r="A55" t="s">
        <v>447</v>
      </c>
      <c r="D55" t="str">
        <f t="shared" si="3"/>
        <v>php artisan migrate:reset --path=database/migrations/2025_09_01_145726_create_deadlines_table.php.php</v>
      </c>
    </row>
    <row r="56" spans="1:4">
      <c r="A56" t="s">
        <v>448</v>
      </c>
      <c r="D56" t="str">
        <f t="shared" si="3"/>
        <v>php artisan migrate:reset --path=database/migrations/2025_09_01_145726_create_delivery_orders_table.php.php</v>
      </c>
    </row>
    <row r="57" spans="1:4">
      <c r="A57" t="s">
        <v>449</v>
      </c>
      <c r="D57" t="str">
        <f t="shared" si="3"/>
        <v>php artisan migrate:reset --path=database/migrations/2025_09_01_145726_create_months_table.php.php</v>
      </c>
    </row>
    <row r="58" spans="1:4">
      <c r="A58" t="s">
        <v>450</v>
      </c>
      <c r="D58" t="str">
        <f t="shared" si="3"/>
        <v>php artisan migrate:reset --path=database/migrations/2025_09_01_145726_create_orders_table.php.php</v>
      </c>
    </row>
    <row r="59" spans="1:4">
      <c r="A59" t="s">
        <v>451</v>
      </c>
      <c r="D59" t="str">
        <f t="shared" si="3"/>
        <v>php artisan migrate:reset --path=database/migrations/2025_09_01_145727_create_batches_table.php.php</v>
      </c>
    </row>
    <row r="60" spans="1:4">
      <c r="A60" t="s">
        <v>452</v>
      </c>
      <c r="D60" t="str">
        <f t="shared" si="3"/>
        <v>php artisan migrate:reset --path=database/migrations/2025_09_01_145727_create_cuts_table.php.php</v>
      </c>
    </row>
    <row r="61" spans="1:4">
      <c r="A61" t="s">
        <v>453</v>
      </c>
      <c r="D61" t="str">
        <f t="shared" si="3"/>
        <v>php artisan migrate:reset --path=database/migrations/2025_09_01_145727_create_deliveries_table.php.php</v>
      </c>
    </row>
    <row r="62" spans="1:4">
      <c r="A62" t="s">
        <v>454</v>
      </c>
      <c r="D62" t="str">
        <f t="shared" si="3"/>
        <v>php artisan migrate:reset --path=database/migrations/2025_09_01_145727_create_departments_table.php.php</v>
      </c>
    </row>
    <row r="63" spans="1:4">
      <c r="A63" t="s">
        <v>455</v>
      </c>
      <c r="D63" t="str">
        <f t="shared" si="3"/>
        <v>php artisan migrate:reset --path=database/migrations/2025_09_01_145727_create_employees_table.php.php</v>
      </c>
    </row>
    <row r="64" spans="1:4">
      <c r="A64" t="s">
        <v>456</v>
      </c>
      <c r="D64" t="str">
        <f t="shared" si="3"/>
        <v>php artisan migrate:reset --path=database/migrations/2025_09_01_145728_create_activities_table.php.php</v>
      </c>
    </row>
    <row r="65" spans="1:4">
      <c r="A65" t="s">
        <v>457</v>
      </c>
      <c r="D65" t="str">
        <f t="shared" si="3"/>
        <v>php artisan migrate:reset --path=database/migrations/2025_09_01_145728_create_cycletimes_table.php.php</v>
      </c>
    </row>
    <row r="66" spans="1:4">
      <c r="A66" t="s">
        <v>458</v>
      </c>
      <c r="D66" t="str">
        <f t="shared" si="3"/>
        <v>php artisan migrate:reset --path=database/migrations/2025_09_01_145728_create_sub_departments_table.php.php</v>
      </c>
    </row>
    <row r="67" spans="1:4">
      <c r="A67" t="s">
        <v>459</v>
      </c>
      <c r="D67" t="str">
        <f t="shared" si="3"/>
        <v>php artisan migrate:reset --path=database/migrations/2025_09_01_145728_create_timesheets_table.php.php</v>
      </c>
    </row>
    <row r="68" spans="1:4">
      <c r="A68" t="s">
        <v>460</v>
      </c>
      <c r="D68" t="str">
        <f t="shared" si="3"/>
        <v>php artisan migrate:reset --path=database/migrations/2025_09_01_145729_create_effeciencies_table.php.php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</vt:lpstr>
      <vt:lpstr>types</vt:lpstr>
      <vt:lpstr>casts</vt:lpstr>
      <vt:lpstr>relations</vt:lpstr>
      <vt:lpstr>Artisans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SE7EN-PC</dc:creator>
  <cp:keywords>Keywords</cp:keywords>
  <cp:lastModifiedBy>bakhtiar sadeghi</cp:lastModifiedBy>
  <dcterms:created xsi:type="dcterms:W3CDTF">2015-06-05T18:17:20Z</dcterms:created>
  <dcterms:modified xsi:type="dcterms:W3CDTF">2025-09-06T18:32:29Z</dcterms:modified>
</cp:coreProperties>
</file>